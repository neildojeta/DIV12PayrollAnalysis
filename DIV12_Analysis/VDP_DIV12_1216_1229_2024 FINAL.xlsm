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2\DIV12_Analysis\"/>
    </mc:Choice>
  </mc:AlternateContent>
  <xr:revisionPtr revIDLastSave="0" documentId="13_ncr:1_{DFC492FA-F3C5-4F57-8FC1-CECFA02D430D}" xr6:coauthVersionLast="47" xr6:coauthVersionMax="47" xr10:uidLastSave="{00000000-0000-0000-0000-000000000000}"/>
  <bookViews>
    <workbookView xWindow="-120" yWindow="-120" windowWidth="29040" windowHeight="15840" firstSheet="2" activeTab="10" xr2:uid="{B8D06934-52C6-4BB8-B059-005FB850008B}"/>
  </bookViews>
  <sheets>
    <sheet name="Div12PartnerRateCheck" sheetId="18" state="hidden" r:id="rId1"/>
    <sheet name="SEND VDP Statement" sheetId="20" r:id="rId2"/>
    <sheet name="Pay Period" sheetId="3" r:id="rId3"/>
    <sheet name="Deduction and other Revenue" sheetId="11" state="hidden" r:id="rId4"/>
    <sheet name="PR" sheetId="12" r:id="rId5"/>
    <sheet name="PRExportPrep" sheetId="16" state="veryHidden" r:id="rId6"/>
    <sheet name="NewSheet" sheetId="8" r:id="rId7"/>
    <sheet name="FirstReport" sheetId="14" state="hidden" r:id="rId8"/>
    <sheet name="VDPMVReport" sheetId="7" r:id="rId9"/>
    <sheet name="Sheet1" sheetId="21" r:id="rId10"/>
    <sheet name="SumVDPMVReport" sheetId="10" r:id="rId11"/>
    <sheet name="TollsChecks" sheetId="19" r:id="rId12"/>
    <sheet name="Div2PartnerOperatorCheck" sheetId="17" r:id="rId13"/>
    <sheet name="ExPre" sheetId="15" state="hidden" r:id="rId14"/>
    <sheet name="Div2PartnerListPR" sheetId="13" state="hidden" r:id="rId15"/>
    <sheet name="Div2PartnerList" sheetId="6" state="hidden" r:id="rId16"/>
    <sheet name="FilePath" sheetId="1" state="veryHidden" r:id="rId17"/>
    <sheet name="DropDown" sheetId="9" state="veryHidden" r:id="rId18"/>
  </sheets>
  <functionGroups builtInGroupCount="19"/>
  <externalReferences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xlnm._FilterDatabase" localSheetId="6" hidden="1">NewSheet!$B$11:$L$78</definedName>
    <definedName name="_xlnm._FilterDatabase" localSheetId="4" hidden="1">PR!$A$4:$Q$32</definedName>
    <definedName name="_xleta.AVERAGE" hidden="1" xlm="1">#NAME?</definedName>
    <definedName name="_xleta.TYPE" hidden="1" xlm="1">#NAME?</definedName>
    <definedName name="Base">OFFSET(#REF!,1,,COUNTA(#REF!)-1,1)</definedName>
    <definedName name="Customer_ID">[1]INVOICE!$C$11</definedName>
    <definedName name="Customer_Name">[1]INVOICE!$H$7</definedName>
    <definedName name="Date_News">OFFSET([2]NewSheet!#REF!,1,,COUNTA([2]NewSheet!#REF!)-1,1)</definedName>
    <definedName name="EndDateWK1">'[2]Pay Period'!$C$2</definedName>
    <definedName name="EndDateWK2">'[2]Pay Period'!$C$3</definedName>
    <definedName name="ExternalData_1" localSheetId="0" hidden="1">Div12PartnerRateCheck!$A$1:$D$24</definedName>
    <definedName name="ExternalData_1" localSheetId="15" hidden="1">Div2PartnerList!$A$1:$T$201</definedName>
    <definedName name="ExternalData_1" localSheetId="7" hidden="1">FirstReport!$A$1:$R$1144</definedName>
    <definedName name="ExternalData_1" localSheetId="10" hidden="1">SumVDPMVReport!$A$1:$BG$43</definedName>
    <definedName name="ExternalData_1" localSheetId="11" hidden="1">TollsChecks!$A$1:$F$2</definedName>
    <definedName name="ExternalData_2" localSheetId="3" hidden="1">'Deduction and other Revenue'!$A$1:$Q$55</definedName>
    <definedName name="ExternalData_2" localSheetId="14" hidden="1">Div2PartnerListPR!$A$1:$E$24</definedName>
    <definedName name="ExternalData_2" localSheetId="12" hidden="1">Div2PartnerOperatorCheck!$A$1:$G$2</definedName>
    <definedName name="ExternalData_2" localSheetId="8" hidden="1">VDPMVReport!$A$1:$AH$174</definedName>
    <definedName name="FARECOLLECTED">OFFSET(#REF!,1,,COUNTA(#REF!)-1,1)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 localSheetId="1">OFFSET([3]DropDown!$A$3,1,,COUNTA([3]DropDown!$A$3:$A$99999)-1,1)</definedName>
    <definedName name="List_Partners">OFFSET([4]DropDown!$A$3,1,,COUNTA([4]DropDown!$A$3:$A$99999)-1,1)</definedName>
    <definedName name="OperatorNewSheet">OFFSET([2]NewSheet!#REF!,1,,COUNTA([2]NewSheet!#REF!)-1,1)</definedName>
    <definedName name="Partner">OFFSET([5]DropDown!#REF!,1,,COUNTA([5]DropDown!#REF!)-1,1)</definedName>
    <definedName name="PartnerList">[6]!DIV10PartnerList[PARTNER NAME]</definedName>
    <definedName name="PartnerListDynamic">OFFSET([2]Dropdown!$B$3,1,,COUNTA([2]Dropdown!$B$3:$B$100002)-1,1)</definedName>
    <definedName name="PartnerListDynamic1">OFFSET([2]Dropdown!$F$3,1,,COUNTA([2]Dropdown!$F$3:$F$100002)-1,1)</definedName>
    <definedName name="Pay_Hours">OFFSET([2]NewSheet!#REF!,1,,COUNTA([2]NewSheet!#REF!)-1,1)</definedName>
    <definedName name="PVRPart">OFFSET(#REF!,1,,COUNTA(#REF!)-1,1)</definedName>
    <definedName name="PVRTTLRev">OFFSET(#REF!,1,,COUNTA(#REF!)-1,1)</definedName>
    <definedName name="ref_ExportRange">PRExportPrep!$A$1</definedName>
    <definedName name="ref_MPG_BIGVAN">SUMIF(#REF!,"BIGVAN",#REF!)</definedName>
    <definedName name="ref_MPG_SEDAN">SUMIF(#REF!,"SEDAN",#REF!)</definedName>
    <definedName name="ref_MPG_WAV">SUMIF(#REF!,"WAV",#REF!)</definedName>
    <definedName name="Service_Miles_Operated">OFFSET([2]NewSheet!#REF!,1,,COUNTA([2]NewSheet!#REF!)-1,1)</definedName>
    <definedName name="Trip_Hours">OFFSET([2]NewSheet!#REF!,1,,COUNTA([2]NewSheet!#REF!)-1,1)</definedName>
    <definedName name="Trip_Time">OFFSET([2]NewSheet!$D$11,1,,COUNTA([2]NewSheet!$E$11:$E$100002)-1,1)</definedName>
    <definedName name="TripDistance">OFFSET(#REF!,1,,COUNTA(#REF!)-1,1)</definedName>
    <definedName name="TTL_REV">OFFSET([2]NewSheet!#REF!,1,,COUNTA([2]NewSheet!#REF!)-1,1)</definedName>
    <definedName name="Week_NewS">OFFSET([2]NewSheet!#REF!,1,,COUNTA([2]NewSheet!#REF!)-1,1)</definedName>
  </definedNames>
  <calcPr calcId="191029"/>
  <pivotCaches>
    <pivotCache cacheId="1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5" i="21" l="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12" i="21"/>
  <c r="E11" i="21"/>
  <c r="E10" i="21"/>
  <c r="E9" i="21"/>
  <c r="E8" i="21"/>
  <c r="E7" i="21"/>
  <c r="E6" i="21"/>
  <c r="E5" i="21"/>
  <c r="E4" i="21"/>
  <c r="B12" i="8" l="1" a="1"/>
  <c r="B12" i="8" s="1"/>
  <c r="D3" i="3"/>
  <c r="Z6" i="8"/>
  <c r="D2" i="3"/>
  <c r="F36" i="12"/>
  <c r="E36" i="12"/>
  <c r="B6" i="8" a="1"/>
  <c r="S8" i="8" l="1"/>
  <c r="T8" i="8"/>
  <c r="B6" i="8"/>
  <c r="M8" i="8"/>
  <c r="C8" i="8"/>
  <c r="N8" i="8"/>
  <c r="J8" i="8"/>
  <c r="E8" i="8"/>
  <c r="P8" i="8"/>
  <c r="D8" i="8"/>
  <c r="G8" i="8"/>
  <c r="Q8" i="8"/>
  <c r="I8" i="8"/>
  <c r="H8" i="8"/>
  <c r="R8" i="8"/>
  <c r="B3" i="1" l="1" a="1"/>
  <c r="B3" i="1" s="1"/>
  <c r="E17" i="1" l="1"/>
  <c r="E19" i="1"/>
  <c r="E18" i="1"/>
  <c r="E16" i="1"/>
  <c r="E39" i="12" l="1"/>
  <c r="AC6" i="8"/>
  <c r="AC5" i="8"/>
  <c r="AC4" i="8"/>
  <c r="AC3" i="8"/>
  <c r="AC7" i="8" l="1"/>
  <c r="A1" i="9" a="1"/>
  <c r="A1" i="9" s="1"/>
  <c r="V12" i="8" l="1" a="1"/>
  <c r="V12" i="8" s="1"/>
  <c r="Z4" i="8"/>
  <c r="A6" i="12" l="1" a="1"/>
  <c r="D7" i="12" l="1"/>
  <c r="M7" i="12" a="1"/>
  <c r="M7" i="12" s="1"/>
  <c r="I7" i="12" a="1"/>
  <c r="I7" i="12" s="1"/>
  <c r="K7" i="12" a="1"/>
  <c r="K7" i="12" s="1"/>
  <c r="G7" i="12" a="1"/>
  <c r="G7" i="12" s="1"/>
  <c r="N7" i="12" a="1"/>
  <c r="N7" i="12" s="1"/>
  <c r="P7" i="12" a="1"/>
  <c r="P7" i="12" s="1"/>
  <c r="H7" i="12" a="1"/>
  <c r="H7" i="12" s="1"/>
  <c r="O7" i="12" a="1"/>
  <c r="O7" i="12" s="1"/>
  <c r="J7" i="12" a="1"/>
  <c r="J7" i="12" s="1"/>
  <c r="L7" i="12" a="1"/>
  <c r="L7" i="12" s="1"/>
  <c r="D31" i="12"/>
  <c r="G32" i="12" a="1"/>
  <c r="G32" i="12" s="1"/>
  <c r="H32" i="12" a="1"/>
  <c r="H32" i="12" s="1"/>
  <c r="K31" i="12" a="1"/>
  <c r="K31" i="12" s="1"/>
  <c r="G31" i="12" a="1"/>
  <c r="G31" i="12" s="1"/>
  <c r="J31" i="12" a="1"/>
  <c r="J31" i="12" s="1"/>
  <c r="L32" i="12" a="1"/>
  <c r="L32" i="12" s="1"/>
  <c r="H31" i="12" a="1"/>
  <c r="H31" i="12" s="1"/>
  <c r="I32" i="12" a="1"/>
  <c r="I32" i="12" s="1"/>
  <c r="P31" i="12" a="1"/>
  <c r="P31" i="12" s="1"/>
  <c r="I31" i="12" a="1"/>
  <c r="I31" i="12" s="1"/>
  <c r="J32" i="12" a="1"/>
  <c r="J32" i="12" s="1"/>
  <c r="K32" i="12" a="1"/>
  <c r="K32" i="12" s="1"/>
  <c r="L31" i="12" a="1"/>
  <c r="L31" i="12" s="1"/>
  <c r="M32" i="12" a="1"/>
  <c r="M32" i="12" s="1"/>
  <c r="N31" i="12" a="1"/>
  <c r="N31" i="12" s="1"/>
  <c r="M31" i="12" a="1"/>
  <c r="M31" i="12" s="1"/>
  <c r="N32" i="12" a="1"/>
  <c r="N32" i="12" s="1"/>
  <c r="O32" i="12" a="1"/>
  <c r="O32" i="12" s="1"/>
  <c r="O31" i="12" a="1"/>
  <c r="O31" i="12" s="1"/>
  <c r="P32" i="12" a="1"/>
  <c r="P32" i="12" s="1"/>
  <c r="D32" i="12"/>
  <c r="D30" i="12"/>
  <c r="N30" i="12" a="1"/>
  <c r="N30" i="12" s="1"/>
  <c r="G30" i="12" a="1"/>
  <c r="G30" i="12" s="1"/>
  <c r="O30" i="12" a="1"/>
  <c r="O30" i="12" s="1"/>
  <c r="H30" i="12" a="1"/>
  <c r="H30" i="12" s="1"/>
  <c r="P30" i="12" a="1"/>
  <c r="P30" i="12" s="1"/>
  <c r="I30" i="12" a="1"/>
  <c r="I30" i="12" s="1"/>
  <c r="J30" i="12" a="1"/>
  <c r="J30" i="12" s="1"/>
  <c r="M30" i="12" a="1"/>
  <c r="M30" i="12" s="1"/>
  <c r="K30" i="12" a="1"/>
  <c r="K30" i="12" s="1"/>
  <c r="L30" i="12" a="1"/>
  <c r="L30" i="12" s="1"/>
  <c r="D27" i="12"/>
  <c r="N27" i="12" a="1"/>
  <c r="N27" i="12" s="1"/>
  <c r="K28" i="12" a="1"/>
  <c r="K28" i="12" s="1"/>
  <c r="H29" i="12" a="1"/>
  <c r="H29" i="12" s="1"/>
  <c r="P29" i="12" a="1"/>
  <c r="P29" i="12" s="1"/>
  <c r="G29" i="12" a="1"/>
  <c r="G29" i="12" s="1"/>
  <c r="G27" i="12" a="1"/>
  <c r="G27" i="12" s="1"/>
  <c r="O27" i="12" a="1"/>
  <c r="O27" i="12" s="1"/>
  <c r="L28" i="12" a="1"/>
  <c r="L28" i="12" s="1"/>
  <c r="I29" i="12" a="1"/>
  <c r="I29" i="12" s="1"/>
  <c r="M29" i="12" a="1"/>
  <c r="M29" i="12" s="1"/>
  <c r="H27" i="12" a="1"/>
  <c r="H27" i="12" s="1"/>
  <c r="P27" i="12" a="1"/>
  <c r="P27" i="12" s="1"/>
  <c r="M28" i="12" a="1"/>
  <c r="M28" i="12" s="1"/>
  <c r="J29" i="12" a="1"/>
  <c r="J29" i="12" s="1"/>
  <c r="J28" i="12" a="1"/>
  <c r="J28" i="12" s="1"/>
  <c r="I27" i="12" a="1"/>
  <c r="I27" i="12" s="1"/>
  <c r="D28" i="12"/>
  <c r="N28" i="12" a="1"/>
  <c r="N28" i="12" s="1"/>
  <c r="K29" i="12" a="1"/>
  <c r="K29" i="12" s="1"/>
  <c r="H28" i="12" a="1"/>
  <c r="H28" i="12" s="1"/>
  <c r="J27" i="12" a="1"/>
  <c r="J27" i="12" s="1"/>
  <c r="G28" i="12" a="1"/>
  <c r="G28" i="12" s="1"/>
  <c r="O28" i="12" a="1"/>
  <c r="O28" i="12" s="1"/>
  <c r="L29" i="12" a="1"/>
  <c r="L29" i="12" s="1"/>
  <c r="P28" i="12" a="1"/>
  <c r="P28" i="12" s="1"/>
  <c r="K27" i="12" a="1"/>
  <c r="K27" i="12" s="1"/>
  <c r="L27" i="12" a="1"/>
  <c r="L27" i="12" s="1"/>
  <c r="I28" i="12" a="1"/>
  <c r="I28" i="12" s="1"/>
  <c r="D29" i="12"/>
  <c r="N29" i="12" a="1"/>
  <c r="N29" i="12" s="1"/>
  <c r="M27" i="12" a="1"/>
  <c r="M27" i="12" s="1"/>
  <c r="O29" i="12" a="1"/>
  <c r="O29" i="12" s="1"/>
  <c r="D25" i="12"/>
  <c r="N25" i="12" a="1"/>
  <c r="N25" i="12" s="1"/>
  <c r="K26" i="12" a="1"/>
  <c r="K26" i="12" s="1"/>
  <c r="G25" i="12" a="1"/>
  <c r="G25" i="12" s="1"/>
  <c r="O25" i="12" a="1"/>
  <c r="O25" i="12" s="1"/>
  <c r="L26" i="12" a="1"/>
  <c r="L26" i="12" s="1"/>
  <c r="H25" i="12" a="1"/>
  <c r="H25" i="12" s="1"/>
  <c r="P25" i="12" a="1"/>
  <c r="P25" i="12" s="1"/>
  <c r="M26" i="12" a="1"/>
  <c r="M26" i="12" s="1"/>
  <c r="J26" i="12" a="1"/>
  <c r="J26" i="12" s="1"/>
  <c r="I25" i="12" a="1"/>
  <c r="I25" i="12" s="1"/>
  <c r="D26" i="12"/>
  <c r="N26" i="12" a="1"/>
  <c r="N26" i="12" s="1"/>
  <c r="M25" i="12" a="1"/>
  <c r="M25" i="12" s="1"/>
  <c r="J25" i="12" a="1"/>
  <c r="J25" i="12" s="1"/>
  <c r="G26" i="12" a="1"/>
  <c r="G26" i="12" s="1"/>
  <c r="O26" i="12" a="1"/>
  <c r="O26" i="12" s="1"/>
  <c r="K25" i="12" a="1"/>
  <c r="K25" i="12" s="1"/>
  <c r="H26" i="12" a="1"/>
  <c r="H26" i="12" s="1"/>
  <c r="P26" i="12" a="1"/>
  <c r="P26" i="12" s="1"/>
  <c r="L25" i="12" a="1"/>
  <c r="L25" i="12" s="1"/>
  <c r="I26" i="12" a="1"/>
  <c r="I26" i="12" s="1"/>
  <c r="D23" i="12"/>
  <c r="G23" i="12" a="1"/>
  <c r="G23" i="12" s="1"/>
  <c r="K23" i="12" a="1"/>
  <c r="K23" i="12" s="1"/>
  <c r="O23" i="12" a="1"/>
  <c r="O23" i="12" s="1"/>
  <c r="H24" i="12" a="1"/>
  <c r="H24" i="12" s="1"/>
  <c r="L24" i="12" a="1"/>
  <c r="L24" i="12" s="1"/>
  <c r="P24" i="12" a="1"/>
  <c r="P24" i="12" s="1"/>
  <c r="H23" i="12" a="1"/>
  <c r="H23" i="12" s="1"/>
  <c r="L23" i="12" a="1"/>
  <c r="L23" i="12" s="1"/>
  <c r="P23" i="12" a="1"/>
  <c r="P23" i="12" s="1"/>
  <c r="I24" i="12" a="1"/>
  <c r="I24" i="12" s="1"/>
  <c r="M24" i="12" a="1"/>
  <c r="M24" i="12" s="1"/>
  <c r="I23" i="12" a="1"/>
  <c r="I23" i="12" s="1"/>
  <c r="M23" i="12" a="1"/>
  <c r="M23" i="12" s="1"/>
  <c r="J24" i="12" a="1"/>
  <c r="J24" i="12" s="1"/>
  <c r="N24" i="12" a="1"/>
  <c r="N24" i="12" s="1"/>
  <c r="D24" i="12"/>
  <c r="N23" i="12" a="1"/>
  <c r="N23" i="12" s="1"/>
  <c r="G24" i="12" a="1"/>
  <c r="G24" i="12" s="1"/>
  <c r="K24" i="12" a="1"/>
  <c r="K24" i="12" s="1"/>
  <c r="O24" i="12" a="1"/>
  <c r="O24" i="12" s="1"/>
  <c r="J23" i="12" a="1"/>
  <c r="J23" i="12" s="1"/>
  <c r="P22" i="12" a="1"/>
  <c r="P22" i="12" s="1"/>
  <c r="H22" i="12" a="1"/>
  <c r="H22" i="12" s="1"/>
  <c r="K21" i="12" a="1"/>
  <c r="K21" i="12" s="1"/>
  <c r="N20" i="12" a="1"/>
  <c r="N20" i="12" s="1"/>
  <c r="D20" i="12"/>
  <c r="I19" i="12" a="1"/>
  <c r="I19" i="12" s="1"/>
  <c r="H19" i="12" a="1"/>
  <c r="H19" i="12" s="1"/>
  <c r="J20" i="12" a="1"/>
  <c r="J20" i="12" s="1"/>
  <c r="O22" i="12" a="1"/>
  <c r="O22" i="12" s="1"/>
  <c r="G22" i="12" a="1"/>
  <c r="G22" i="12" s="1"/>
  <c r="J21" i="12" a="1"/>
  <c r="J21" i="12" s="1"/>
  <c r="M20" i="12" a="1"/>
  <c r="M20" i="12" s="1"/>
  <c r="P19" i="12" a="1"/>
  <c r="P19" i="12" s="1"/>
  <c r="L22" i="12" a="1"/>
  <c r="L22" i="12" s="1"/>
  <c r="M19" i="12" a="1"/>
  <c r="M19" i="12" s="1"/>
  <c r="N22" i="12" a="1"/>
  <c r="N22" i="12" s="1"/>
  <c r="D22" i="12"/>
  <c r="I21" i="12" a="1"/>
  <c r="I21" i="12" s="1"/>
  <c r="L20" i="12" a="1"/>
  <c r="L20" i="12" s="1"/>
  <c r="O19" i="12" a="1"/>
  <c r="O19" i="12" s="1"/>
  <c r="G19" i="12" a="1"/>
  <c r="G19" i="12" s="1"/>
  <c r="G21" i="12" a="1"/>
  <c r="G21" i="12" s="1"/>
  <c r="M22" i="12" a="1"/>
  <c r="M22" i="12" s="1"/>
  <c r="P21" i="12" a="1"/>
  <c r="P21" i="12" s="1"/>
  <c r="H21" i="12" a="1"/>
  <c r="H21" i="12" s="1"/>
  <c r="K20" i="12" a="1"/>
  <c r="K20" i="12" s="1"/>
  <c r="N19" i="12" a="1"/>
  <c r="N19" i="12" s="1"/>
  <c r="D19" i="12"/>
  <c r="O21" i="12" a="1"/>
  <c r="O21" i="12" s="1"/>
  <c r="J19" i="12" a="1"/>
  <c r="J19" i="12" s="1"/>
  <c r="K22" i="12" a="1"/>
  <c r="K22" i="12" s="1"/>
  <c r="N21" i="12" a="1"/>
  <c r="N21" i="12" s="1"/>
  <c r="D21" i="12"/>
  <c r="I20" i="12" a="1"/>
  <c r="I20" i="12" s="1"/>
  <c r="L19" i="12" a="1"/>
  <c r="L19" i="12" s="1"/>
  <c r="I22" i="12" a="1"/>
  <c r="I22" i="12" s="1"/>
  <c r="O20" i="12" a="1"/>
  <c r="O20" i="12" s="1"/>
  <c r="J22" i="12" a="1"/>
  <c r="J22" i="12" s="1"/>
  <c r="M21" i="12" a="1"/>
  <c r="M21" i="12" s="1"/>
  <c r="P20" i="12" a="1"/>
  <c r="P20" i="12" s="1"/>
  <c r="H20" i="12" a="1"/>
  <c r="H20" i="12" s="1"/>
  <c r="K19" i="12" a="1"/>
  <c r="K19" i="12" s="1"/>
  <c r="L21" i="12" a="1"/>
  <c r="L21" i="12" s="1"/>
  <c r="G20" i="12" a="1"/>
  <c r="G20" i="12" s="1"/>
  <c r="H18" i="12" a="1"/>
  <c r="H18" i="12" s="1"/>
  <c r="I18" i="12" a="1"/>
  <c r="I18" i="12" s="1"/>
  <c r="G18" i="12" a="1"/>
  <c r="G18" i="12" s="1"/>
  <c r="J18" i="12" a="1"/>
  <c r="J18" i="12" s="1"/>
  <c r="P18" i="12" a="1"/>
  <c r="P18" i="12" s="1"/>
  <c r="K18" i="12" a="1"/>
  <c r="K18" i="12" s="1"/>
  <c r="O18" i="12" a="1"/>
  <c r="O18" i="12" s="1"/>
  <c r="L18" i="12" a="1"/>
  <c r="L18" i="12" s="1"/>
  <c r="D18" i="12"/>
  <c r="M18" i="12" a="1"/>
  <c r="M18" i="12" s="1"/>
  <c r="N18" i="12" a="1"/>
  <c r="N18" i="12" s="1"/>
  <c r="K17" i="12" a="1"/>
  <c r="K17" i="12" s="1"/>
  <c r="K16" i="12" a="1"/>
  <c r="K16" i="12" s="1"/>
  <c r="K15" i="12" a="1"/>
  <c r="K15" i="12" s="1"/>
  <c r="K14" i="12" a="1"/>
  <c r="K14" i="12" s="1"/>
  <c r="K13" i="12" a="1"/>
  <c r="K13" i="12" s="1"/>
  <c r="K12" i="12" a="1"/>
  <c r="K12" i="12" s="1"/>
  <c r="K9" i="12" a="1"/>
  <c r="K9" i="12" s="1"/>
  <c r="K8" i="12" a="1"/>
  <c r="K8" i="12" s="1"/>
  <c r="K11" i="12" a="1"/>
  <c r="K11" i="12" s="1"/>
  <c r="K10" i="12" a="1"/>
  <c r="K10" i="12" s="1"/>
  <c r="P17" i="12" a="1"/>
  <c r="P17" i="12" s="1"/>
  <c r="H17" i="12" a="1"/>
  <c r="H17" i="12" s="1"/>
  <c r="N15" i="12" a="1"/>
  <c r="N15" i="12" s="1"/>
  <c r="D15" i="12"/>
  <c r="I14" i="12" a="1"/>
  <c r="I14" i="12" s="1"/>
  <c r="H15" i="12" a="1"/>
  <c r="H15" i="12" s="1"/>
  <c r="O17" i="12" a="1"/>
  <c r="O17" i="12" s="1"/>
  <c r="G17" i="12" a="1"/>
  <c r="G17" i="12" s="1"/>
  <c r="J16" i="12" a="1"/>
  <c r="J16" i="12" s="1"/>
  <c r="M15" i="12" a="1"/>
  <c r="M15" i="12" s="1"/>
  <c r="P14" i="12" a="1"/>
  <c r="P14" i="12" s="1"/>
  <c r="H14" i="12" a="1"/>
  <c r="H14" i="12" s="1"/>
  <c r="N17" i="12" a="1"/>
  <c r="N17" i="12" s="1"/>
  <c r="D17" i="12"/>
  <c r="I16" i="12" a="1"/>
  <c r="I16" i="12" s="1"/>
  <c r="L15" i="12" a="1"/>
  <c r="L15" i="12" s="1"/>
  <c r="O14" i="12" a="1"/>
  <c r="O14" i="12" s="1"/>
  <c r="G14" i="12" a="1"/>
  <c r="G14" i="12" s="1"/>
  <c r="M17" i="12" a="1"/>
  <c r="M17" i="12" s="1"/>
  <c r="P16" i="12" a="1"/>
  <c r="P16" i="12" s="1"/>
  <c r="H16" i="12" a="1"/>
  <c r="H16" i="12" s="1"/>
  <c r="N14" i="12" a="1"/>
  <c r="N14" i="12" s="1"/>
  <c r="D14" i="12"/>
  <c r="L17" i="12" a="1"/>
  <c r="L17" i="12" s="1"/>
  <c r="O16" i="12" a="1"/>
  <c r="O16" i="12" s="1"/>
  <c r="G16" i="12" a="1"/>
  <c r="G16" i="12" s="1"/>
  <c r="J15" i="12" a="1"/>
  <c r="J15" i="12" s="1"/>
  <c r="M14" i="12" a="1"/>
  <c r="M14" i="12" s="1"/>
  <c r="M16" i="12" a="1"/>
  <c r="M16" i="12" s="1"/>
  <c r="N16" i="12" a="1"/>
  <c r="N16" i="12" s="1"/>
  <c r="D16" i="12"/>
  <c r="I15" i="12" a="1"/>
  <c r="I15" i="12" s="1"/>
  <c r="L14" i="12" a="1"/>
  <c r="L14" i="12" s="1"/>
  <c r="J17" i="12" a="1"/>
  <c r="J17" i="12" s="1"/>
  <c r="I17" i="12" a="1"/>
  <c r="I17" i="12" s="1"/>
  <c r="L16" i="12" a="1"/>
  <c r="L16" i="12" s="1"/>
  <c r="O15" i="12" a="1"/>
  <c r="O15" i="12" s="1"/>
  <c r="G15" i="12" a="1"/>
  <c r="G15" i="12" s="1"/>
  <c r="J14" i="12" a="1"/>
  <c r="J14" i="12" s="1"/>
  <c r="P15" i="12" a="1"/>
  <c r="P15" i="12" s="1"/>
  <c r="D10" i="12"/>
  <c r="D11" i="12"/>
  <c r="D12" i="12"/>
  <c r="D13" i="12"/>
  <c r="O11" i="12" a="1"/>
  <c r="O11" i="12" s="1"/>
  <c r="M11" i="12" a="1"/>
  <c r="M11" i="12" s="1"/>
  <c r="J11" i="12" a="1"/>
  <c r="J11" i="12" s="1"/>
  <c r="H11" i="12" a="1"/>
  <c r="H11" i="12" s="1"/>
  <c r="P11" i="12" a="1"/>
  <c r="P11" i="12" s="1"/>
  <c r="N10" i="12" a="1"/>
  <c r="N10" i="12" s="1"/>
  <c r="O10" i="12" a="1"/>
  <c r="O10" i="12" s="1"/>
  <c r="M10" i="12" a="1"/>
  <c r="M10" i="12" s="1"/>
  <c r="J10" i="12" a="1"/>
  <c r="J10" i="12" s="1"/>
  <c r="H10" i="12" a="1"/>
  <c r="H10" i="12" s="1"/>
  <c r="G13" i="12" a="1"/>
  <c r="G13" i="12" s="1"/>
  <c r="N11" i="12" a="1"/>
  <c r="N11" i="12" s="1"/>
  <c r="P10" i="12" a="1"/>
  <c r="P10" i="12" s="1"/>
  <c r="G10" i="12" a="1"/>
  <c r="G10" i="12" s="1"/>
  <c r="P13" i="12" a="1"/>
  <c r="P13" i="12" s="1"/>
  <c r="N13" i="12" a="1"/>
  <c r="N13" i="12" s="1"/>
  <c r="L13" i="12" a="1"/>
  <c r="L13" i="12" s="1"/>
  <c r="I13" i="12" a="1"/>
  <c r="I13" i="12" s="1"/>
  <c r="I12" i="12" a="1"/>
  <c r="I12" i="12" s="1"/>
  <c r="L11" i="12" a="1"/>
  <c r="L11" i="12" s="1"/>
  <c r="L10" i="12" a="1"/>
  <c r="L10" i="12" s="1"/>
  <c r="P12" i="12" a="1"/>
  <c r="P12" i="12" s="1"/>
  <c r="N12" i="12" a="1"/>
  <c r="N12" i="12" s="1"/>
  <c r="L12" i="12" a="1"/>
  <c r="L12" i="12" s="1"/>
  <c r="G12" i="12" a="1"/>
  <c r="G12" i="12" s="1"/>
  <c r="G11" i="12" a="1"/>
  <c r="G11" i="12" s="1"/>
  <c r="I10" i="12" a="1"/>
  <c r="I10" i="12" s="1"/>
  <c r="I11" i="12" a="1"/>
  <c r="I11" i="12" s="1"/>
  <c r="O13" i="12" a="1"/>
  <c r="O13" i="12" s="1"/>
  <c r="M13" i="12" a="1"/>
  <c r="M13" i="12" s="1"/>
  <c r="J13" i="12" a="1"/>
  <c r="J13" i="12" s="1"/>
  <c r="H13" i="12" a="1"/>
  <c r="H13" i="12" s="1"/>
  <c r="M12" i="12" a="1"/>
  <c r="M12" i="12" s="1"/>
  <c r="J12" i="12" a="1"/>
  <c r="J12" i="12" s="1"/>
  <c r="O12" i="12" a="1"/>
  <c r="O12" i="12" s="1"/>
  <c r="H12" i="12" a="1"/>
  <c r="H12" i="12" s="1"/>
  <c r="D8" i="12"/>
  <c r="D9" i="12"/>
  <c r="L9" i="12" a="1"/>
  <c r="L9" i="12" s="1"/>
  <c r="H8" i="12" a="1"/>
  <c r="H8" i="12" s="1"/>
  <c r="O9" i="12" a="1"/>
  <c r="O9" i="12" s="1"/>
  <c r="L8" i="12" a="1"/>
  <c r="L8" i="12" s="1"/>
  <c r="O8" i="12" a="1"/>
  <c r="O8" i="12" s="1"/>
  <c r="I9" i="12" a="1"/>
  <c r="I9" i="12" s="1"/>
  <c r="M9" i="12" a="1"/>
  <c r="M9" i="12" s="1"/>
  <c r="I8" i="12" a="1"/>
  <c r="I8" i="12" s="1"/>
  <c r="P9" i="12" a="1"/>
  <c r="P9" i="12" s="1"/>
  <c r="M8" i="12" a="1"/>
  <c r="M8" i="12" s="1"/>
  <c r="G9" i="12" a="1"/>
  <c r="G9" i="12" s="1"/>
  <c r="P8" i="12" a="1"/>
  <c r="P8" i="12" s="1"/>
  <c r="J9" i="12" a="1"/>
  <c r="J9" i="12" s="1"/>
  <c r="G8" i="12" a="1"/>
  <c r="G8" i="12" s="1"/>
  <c r="N9" i="12" a="1"/>
  <c r="N9" i="12" s="1"/>
  <c r="J8" i="12" a="1"/>
  <c r="J8" i="12" s="1"/>
  <c r="N8" i="12" a="1"/>
  <c r="N8" i="12" s="1"/>
  <c r="H9" i="12" a="1"/>
  <c r="H9" i="12" s="1"/>
  <c r="A6" i="12"/>
  <c r="L6" i="12" s="1" a="1"/>
  <c r="L6" i="12" s="1"/>
  <c r="Z3" i="8"/>
  <c r="Q7" i="12" l="1"/>
  <c r="Q32" i="12"/>
  <c r="Q31" i="12"/>
  <c r="Q30" i="12"/>
  <c r="Q29" i="12"/>
  <c r="Q28" i="12"/>
  <c r="Q27" i="12"/>
  <c r="Q26" i="12"/>
  <c r="Q25" i="12"/>
  <c r="Q24" i="12"/>
  <c r="Q23" i="12"/>
  <c r="Q20" i="12"/>
  <c r="Q19" i="12"/>
  <c r="Q21" i="12"/>
  <c r="Q22" i="12"/>
  <c r="Q18" i="12"/>
  <c r="Q17" i="12"/>
  <c r="Q15" i="12"/>
  <c r="Q16" i="12"/>
  <c r="Q14" i="12"/>
  <c r="D6" i="12"/>
  <c r="C2" i="16" a="1"/>
  <c r="C2" i="16" s="1"/>
  <c r="G6" i="12" a="1"/>
  <c r="G6" i="12" s="1"/>
  <c r="G36" i="12" s="1"/>
  <c r="G39" i="12" s="1"/>
  <c r="Q13" i="12"/>
  <c r="Q12" i="12"/>
  <c r="J6" i="12" a="1"/>
  <c r="J6" i="12" s="1"/>
  <c r="N6" i="12" a="1"/>
  <c r="N6" i="12" s="1"/>
  <c r="H6" i="12" a="1"/>
  <c r="H6" i="12" s="1"/>
  <c r="O6" i="12" a="1"/>
  <c r="O6" i="12" s="1"/>
  <c r="I6" i="12" a="1"/>
  <c r="I6" i="12" s="1"/>
  <c r="M6" i="12" a="1"/>
  <c r="M6" i="12" s="1"/>
  <c r="P6" i="12" a="1"/>
  <c r="P6" i="12" s="1"/>
  <c r="K6" i="12" a="1"/>
  <c r="K6" i="12" s="1"/>
  <c r="Q11" i="12"/>
  <c r="Q10" i="12"/>
  <c r="Q9" i="12"/>
  <c r="Q8" i="12"/>
  <c r="F39" i="12"/>
  <c r="H2" i="16" l="1" a="1"/>
  <c r="H2" i="16" s="1"/>
  <c r="D36" i="12"/>
  <c r="D39" i="12" s="1"/>
  <c r="H36" i="12"/>
  <c r="H39" i="12" s="1"/>
  <c r="P36" i="12"/>
  <c r="P39" i="12" s="1"/>
  <c r="K36" i="12"/>
  <c r="M36" i="12"/>
  <c r="M39" i="12" s="1"/>
  <c r="J36" i="12"/>
  <c r="J39" i="12" s="1"/>
  <c r="I36" i="12"/>
  <c r="I39" i="12" s="1"/>
  <c r="O36" i="12"/>
  <c r="O39" i="12" s="1"/>
  <c r="N36" i="12"/>
  <c r="N39" i="12" s="1"/>
  <c r="L36" i="12"/>
  <c r="L39" i="12" s="1"/>
  <c r="Q6" i="12"/>
  <c r="Z5" i="8"/>
  <c r="K39" i="12" l="1"/>
  <c r="Q36" i="12"/>
  <c r="Q39" i="12" s="1"/>
  <c r="E2" i="16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Z7" i="8"/>
  <c r="W3" i="8"/>
  <c r="W5" i="8"/>
  <c r="W4" i="8"/>
  <c r="W6" i="8" l="1"/>
  <c r="I2" i="8" s="1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12PartnerList" description="Connection to the 'Div12PartnerList' query in the workbook." type="5" refreshedVersion="8" background="1" saveData="1">
    <dbPr connection="Provider=Microsoft.Mashup.OleDb.1;Data Source=$Workbook$;Location=Div12PartnerList;Extended Properties=&quot;&quot;" command="SELECT * FROM [Div12PartnerList]"/>
  </connection>
  <connection id="3" xr16:uid="{0DB1C7E5-56F2-45C2-A46F-37675FF4BD2F}" keepAlive="1" name="Query - Div12PartnerListPR" description="Connection to the 'Div12PartnerListPR' query in the workbook." type="5" refreshedVersion="8" background="1" saveData="1">
    <dbPr connection="Provider=Microsoft.Mashup.OleDb.1;Data Source=$Workbook$;Location=Div12PartnerListPR;Extended Properties=&quot;&quot;" command="SELECT * FROM [Div12PartnerListPR]"/>
  </connection>
  <connection id="4" xr16:uid="{CC1A1F4F-FACF-488B-8173-B1A2F43DEA7C}" keepAlive="1" name="Query - Div12PartnerOperatorCheck" description="Connection to the 'Div12PartnerOperatorCheck' query in the workbook." type="5" refreshedVersion="8" background="1" saveData="1">
    <dbPr connection="Provider=Microsoft.Mashup.OleDb.1;Data Source=$Workbook$;Location=Div12PartnerOperatorCheck;Extended Properties=&quot;&quot;" command="SELECT * FROM [Div12PartnerOperatorCheck]"/>
  </connection>
  <connection id="5" xr16:uid="{DB1172BF-3495-4CE5-9674-CB05DA15AB07}" keepAlive="1" name="Query - Div12PartnerRateCheck" description="Connection to the 'Div12PartnerRateCheck' query in the workbook." type="5" refreshedVersion="8" background="1" saveData="1">
    <dbPr connection="Provider=Microsoft.Mashup.OleDb.1;Data Source=$Workbook$;Location=Div12PartnerRateCheck;Extended Properties=&quot;&quot;" command="SELECT * FROM [Div12PartnerRateCheck]"/>
  </connection>
  <connection id="6" xr16:uid="{9E7A1643-46DF-4F73-B3D6-C0B515E8898E}" keepAlive="1" name="Query - MissingOperatorsInUberPartnerList" description="Connection to the 'MissingOperatorsInUberPartnerList' query in the workbook." type="5" refreshedVersion="8" background="1" saveData="1">
    <dbPr connection="Provider=Microsoft.Mashup.OleDb.1;Data Source=$Workbook$;Location=MissingOperatorsInUberPartnerList;Extended Properties=&quot;&quot;" command="SELECT * FROM [MissingOperatorsInUberPartnerList]"/>
  </connection>
  <connection id="7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8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9" xr16:uid="{D7A63856-AB6B-4B7A-A575-9066AAE71C3D}" keepAlive="1" name="Query - PartnerRatesCheck" description="Connection to the 'PartnerRatesCheck' query in the workbook." type="5" refreshedVersion="8" background="1" saveData="1">
    <dbPr connection="Provider=Microsoft.Mashup.OleDb.1;Data Source=$Workbook$;Location=PartnerRatesCheck;Extended Properties=&quot;&quot;" command="SELECT * FROM [PartnerRatesCheck]"/>
  </connection>
  <connection id="10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1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12" xr16:uid="{5284E903-F009-4260-A3F4-42CE48B94A34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3" xr16:uid="{357DD51B-CF1A-40CF-BCE3-5FF32B4F7073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4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5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<sst xmlns="http://schemas.openxmlformats.org/spreadsheetml/2006/main" count="10901" uniqueCount="2148">
  <si>
    <t>RAW DATA\</t>
  </si>
  <si>
    <t>Folder</t>
  </si>
  <si>
    <t>SubFolder</t>
  </si>
  <si>
    <t>File</t>
  </si>
  <si>
    <t>Link</t>
  </si>
  <si>
    <t>FilePath</t>
  </si>
  <si>
    <t>FilePath1</t>
  </si>
  <si>
    <t>Path</t>
  </si>
  <si>
    <t>KPI Hours</t>
  </si>
  <si>
    <t>Tolls</t>
  </si>
  <si>
    <t>Required</t>
  </si>
  <si>
    <t>Normal Hours</t>
  </si>
  <si>
    <t>Bonus Hours</t>
  </si>
  <si>
    <t>VDP Folder</t>
  </si>
  <si>
    <t>Automation Folder</t>
  </si>
  <si>
    <t>FilePath2</t>
  </si>
  <si>
    <t>PARTNER NAME</t>
  </si>
  <si>
    <t>OPERATOR NAME</t>
  </si>
  <si>
    <t>VEHICLE TYPE</t>
  </si>
  <si>
    <t>EMAIL</t>
  </si>
  <si>
    <t>FILE #</t>
  </si>
  <si>
    <t>UBER WAV</t>
  </si>
  <si>
    <t>WC, SEDAN</t>
  </si>
  <si>
    <t>CIRCLE TRANSIT</t>
  </si>
  <si>
    <t>DENNIS JONES</t>
  </si>
  <si>
    <t>STERLING ROGERS</t>
  </si>
  <si>
    <t>YAHSHIRA REINHARD</t>
  </si>
  <si>
    <t>DIJUAN MCCREE</t>
  </si>
  <si>
    <t>DIRECT TRANSIT LLC</t>
  </si>
  <si>
    <t>EDWARD GILLARD</t>
  </si>
  <si>
    <t>GET YOU THERE08</t>
  </si>
  <si>
    <t>ETHEL STEWART</t>
  </si>
  <si>
    <t>Q-TELL TRANSIT LLC</t>
  </si>
  <si>
    <t>WHITEHEAD ENTERPRISES LLC</t>
  </si>
  <si>
    <t>ROBERT WHITEHEAD</t>
  </si>
  <si>
    <t>Week</t>
  </si>
  <si>
    <t>WAV Trips</t>
  </si>
  <si>
    <t>Non WAV Trips</t>
  </si>
  <si>
    <t>Total Comp Trips</t>
  </si>
  <si>
    <t>Online Hours</t>
  </si>
  <si>
    <t>Trips per Hour</t>
  </si>
  <si>
    <t>Operators Name</t>
  </si>
  <si>
    <t>WeekN</t>
  </si>
  <si>
    <t>FUEL RATE</t>
  </si>
  <si>
    <t>FilePath3</t>
  </si>
  <si>
    <t>Total</t>
  </si>
  <si>
    <t>Credentials</t>
  </si>
  <si>
    <t>DEDUCTIONS</t>
  </si>
  <si>
    <t>Compliance</t>
  </si>
  <si>
    <t xml:space="preserve">Lift Lease </t>
  </si>
  <si>
    <t>Violation</t>
  </si>
  <si>
    <t>OTHER REVENUES</t>
  </si>
  <si>
    <t>Bonuses</t>
  </si>
  <si>
    <t>Other Earnings Misc</t>
  </si>
  <si>
    <t xml:space="preserve">Reimbursement </t>
  </si>
  <si>
    <t>TOTAL OTHER REVENUES:</t>
  </si>
  <si>
    <t>UBER TRIPS</t>
  </si>
  <si>
    <t>Fuel Relief</t>
  </si>
  <si>
    <t>Operator Deductions-Other Earnings.xlsx</t>
  </si>
  <si>
    <t>FilePath4</t>
  </si>
  <si>
    <t>PARTNER</t>
  </si>
  <si>
    <t xml:space="preserve"> Lift Lease Rate</t>
  </si>
  <si>
    <t>LIFT LEASE TOTAL</t>
  </si>
  <si>
    <t>Bonus</t>
  </si>
  <si>
    <t>Other Income</t>
  </si>
  <si>
    <t>Reimbursement</t>
  </si>
  <si>
    <t>Other Deductions</t>
  </si>
  <si>
    <t>PAYOUT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</si>
  <si>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</si>
  <si>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</si>
  <si>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</si>
  <si>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</si>
  <si>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</si>
  <si>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</si>
  <si>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</si>
  <si>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</si>
  <si>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Fuel</t>
  </si>
  <si>
    <t>Misc</t>
  </si>
  <si>
    <t xml:space="preserve"> Lift Lease </t>
  </si>
  <si>
    <t xml:space="preserve"> Amount </t>
  </si>
  <si>
    <t>FIRST REPORT\</t>
  </si>
  <si>
    <t>FilePath5</t>
  </si>
  <si>
    <t>Date</t>
  </si>
  <si>
    <t>Provider</t>
  </si>
  <si>
    <t>Fare Type</t>
  </si>
  <si>
    <t>Extra Mileage</t>
  </si>
  <si>
    <t>Extra Mileage Cost</t>
  </si>
  <si>
    <t>Trip Cost</t>
  </si>
  <si>
    <t>Flat Rate Miles</t>
  </si>
  <si>
    <t>Note</t>
  </si>
  <si>
    <t>Trip Earnings</t>
  </si>
  <si>
    <t>DIJUANS TRANSPORTATION LLC</t>
  </si>
  <si>
    <t>IsTripCost20</t>
  </si>
  <si>
    <t>PartnerSort</t>
  </si>
  <si>
    <t>CLIENT TYPE</t>
  </si>
  <si>
    <t>CLIENT TYPE - Copy</t>
  </si>
  <si>
    <t>UBER WAV TRANSIT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</si>
  <si>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</si>
  <si>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</si>
  <si>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</si>
  <si>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</si>
  <si>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</si>
  <si>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</si>
  <si>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</si>
  <si>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</si>
  <si>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</si>
  <si>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</si>
  <si>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</si>
  <si>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</si>
  <si>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Start</t>
  </si>
  <si>
    <t>End</t>
  </si>
  <si>
    <t>Type</t>
  </si>
  <si>
    <t>Uber</t>
  </si>
  <si>
    <t>Week#</t>
  </si>
  <si>
    <t>Week1</t>
  </si>
  <si>
    <t>Week2</t>
  </si>
  <si>
    <t>FilePath6</t>
  </si>
  <si>
    <t>DIAMOND MOORE</t>
  </si>
  <si>
    <t>KINA SHAW</t>
  </si>
  <si>
    <t>Lease Details</t>
  </si>
  <si>
    <t>Lift Lease Unit</t>
  </si>
  <si>
    <t>UNIT</t>
  </si>
  <si>
    <t>VDPMVReportOperatorCheck.Operators Name</t>
  </si>
  <si>
    <t>VDPMVReportOperatorCheck.PARTNER NAME</t>
  </si>
  <si>
    <t>Camera Tickets</t>
  </si>
  <si>
    <t>Parking Tickets</t>
  </si>
  <si>
    <t>Total Violation</t>
  </si>
  <si>
    <t>TOTAL VIOLATION</t>
  </si>
  <si>
    <t>Other Violations</t>
  </si>
  <si>
    <t>KRESHAUNA DIXON</t>
  </si>
  <si>
    <t>BERNADINE SUTTON</t>
  </si>
  <si>
    <t>CASTLE TRANSIT LLC</t>
  </si>
  <si>
    <t>ON TIME CONNECTION LLC</t>
  </si>
  <si>
    <t>ELVIN JONES</t>
  </si>
  <si>
    <t>Bill By</t>
  </si>
  <si>
    <t>HOURLY</t>
  </si>
  <si>
    <t>Hourly Earnings</t>
  </si>
  <si>
    <t>Hourly Cost</t>
  </si>
  <si>
    <t>Hourly</t>
  </si>
  <si>
    <t>Trip</t>
  </si>
  <si>
    <t>Other Deduction</t>
  </si>
  <si>
    <t>BRENDA LUMPKIN</t>
  </si>
  <si>
    <t>A</t>
  </si>
  <si>
    <t xml:space="preserve"> </t>
  </si>
  <si>
    <t>TRIP</t>
  </si>
  <si>
    <t xml:space="preserve">  ready now</t>
  </si>
  <si>
    <t>ANTONIETTE BLACKMON</t>
  </si>
  <si>
    <t>FULTON TRANSIT</t>
  </si>
  <si>
    <t>UDOLPHA FULTON</t>
  </si>
  <si>
    <t>TYPE</t>
  </si>
  <si>
    <t>PLEASANT HELP TRANSPORTATION</t>
  </si>
  <si>
    <t>DEAN LOGISTICS SOLUTIONS LLC</t>
  </si>
  <si>
    <t>JOAN RODECK</t>
  </si>
  <si>
    <t>NORMA LEWIS</t>
  </si>
  <si>
    <t>BOBBY HALL</t>
  </si>
  <si>
    <t>JAWUAN PITTMAN</t>
  </si>
  <si>
    <t>WILLIAM JR WOODS</t>
  </si>
  <si>
    <t>DONNIESE MAXWELL</t>
  </si>
  <si>
    <t>TAKIRA LOWERY</t>
  </si>
  <si>
    <t>DAMARCUS TREADWAY</t>
  </si>
  <si>
    <t>STEVE LAWRENCE</t>
  </si>
  <si>
    <t>JASTAR GORDON</t>
  </si>
  <si>
    <t>First_Name</t>
  </si>
  <si>
    <t>Last_Name</t>
  </si>
  <si>
    <t>Acceptance Rate</t>
  </si>
  <si>
    <t>Cancellation Rate</t>
  </si>
  <si>
    <t>Total Supply Hours</t>
  </si>
  <si>
    <t>Paused Hours</t>
  </si>
  <si>
    <t>Driver_Earnings_Excl_Tips</t>
  </si>
  <si>
    <t>Driver_Tips</t>
  </si>
  <si>
    <t>Driver_UUID</t>
  </si>
  <si>
    <t>Utilized Hours</t>
  </si>
  <si>
    <t>Open Hours</t>
  </si>
  <si>
    <t>Core Hours_Total Supply Hours</t>
  </si>
  <si>
    <t>Core Hours_Utilized Hours</t>
  </si>
  <si>
    <t>Total_Accepts</t>
  </si>
  <si>
    <t>Total_Rejects</t>
  </si>
  <si>
    <t>Total_Cancels</t>
  </si>
  <si>
    <t>Non KPI</t>
  </si>
  <si>
    <t>Driver Tips</t>
  </si>
  <si>
    <t>Tier 1 ARDCRI</t>
  </si>
  <si>
    <t>Tier 2 ARDCRI</t>
  </si>
  <si>
    <t>Tier 1 ARDCRI Rate</t>
  </si>
  <si>
    <t>Tier 2 ARDCRI Rate</t>
  </si>
  <si>
    <t>Utilization Target</t>
  </si>
  <si>
    <t>Driver Earnings Excl Tips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</si>
  <si>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</si>
  <si>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</si>
  <si>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</si>
  <si>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</si>
  <si>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</si>
  <si>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</si>
  <si>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Approved Extra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</si>
  <si>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</si>
  <si>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</si>
  <si>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</si>
  <si>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</si>
  <si>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</si>
  <si>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</si>
  <si>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</si>
  <si>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</si>
  <si>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</si>
  <si>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Payable Online Hours</t>
  </si>
  <si>
    <t>% of Hours to Required</t>
  </si>
  <si>
    <t>CHI Rev</t>
  </si>
  <si>
    <t>Tier 1 ARDCRI KPI</t>
  </si>
  <si>
    <t>Tier 2 ARDCRI KPI</t>
  </si>
  <si>
    <t>ARDCRI Non KPI</t>
  </si>
  <si>
    <t>Tier 1 ARDCRI KPI Rev</t>
  </si>
  <si>
    <t>Tier 2 ARDCRI KPI Rev</t>
  </si>
  <si>
    <t>Total ARDCRI KPI Rev</t>
  </si>
  <si>
    <t>Utilization%</t>
  </si>
  <si>
    <t>Utilization Incentive Rate</t>
  </si>
  <si>
    <t>Utilization Rev</t>
  </si>
  <si>
    <t>Total Rev</t>
  </si>
  <si>
    <t>Allowable Hours</t>
  </si>
  <si>
    <t>CHI Tier 1 Rev</t>
  </si>
  <si>
    <t>CHI Tier 2 Rev</t>
  </si>
  <si>
    <t>CHI Tier 3 Rev</t>
  </si>
  <si>
    <t>Contract Hours Incentive</t>
  </si>
  <si>
    <t>Acceptance and Cancellation Incentive</t>
  </si>
  <si>
    <t>Trip Leg/Driver Name</t>
  </si>
  <si>
    <t>14:41 - 20:04</t>
  </si>
  <si>
    <t>03:47 - 11:42</t>
  </si>
  <si>
    <t>08:26 - 16:58</t>
  </si>
  <si>
    <t>13:04 - 17:59</t>
  </si>
  <si>
    <t>03:57 - 11:56</t>
  </si>
  <si>
    <t>07:54 - 16:16</t>
  </si>
  <si>
    <t>13:49 - 19:22</t>
  </si>
  <si>
    <t>04:14 - 11:31</t>
  </si>
  <si>
    <t>08:27 - 17:05</t>
  </si>
  <si>
    <t>14:51 - 19:17</t>
  </si>
  <si>
    <t>04:16 - 11:57</t>
  </si>
  <si>
    <t>08:00 - 17:53</t>
  </si>
  <si>
    <t>13:06 - 19:48</t>
  </si>
  <si>
    <t>04:08 - 11:20</t>
  </si>
  <si>
    <t>09:07 - 17:31</t>
  </si>
  <si>
    <t>04:30 - 09:40</t>
  </si>
  <si>
    <t>14:29 - 19:12</t>
  </si>
  <si>
    <t>04:34 - 11:57</t>
  </si>
  <si>
    <t>13:41 - 18:35</t>
  </si>
  <si>
    <t>04:01 - 11:36</t>
  </si>
  <si>
    <t>12:24 - 19:08</t>
  </si>
  <si>
    <t>04:32 - 11:45</t>
  </si>
  <si>
    <t>15:04 - 17:15</t>
  </si>
  <si>
    <t>06:33 - 08:10</t>
  </si>
  <si>
    <t>09:30 - 19:24</t>
  </si>
  <si>
    <t>04:00 - 10:26</t>
  </si>
  <si>
    <t>14:21 - 19:35</t>
  </si>
  <si>
    <t>05:15 - 11:42</t>
  </si>
  <si>
    <t>13:41 - 19:15</t>
  </si>
  <si>
    <t>05:08 - 11:30</t>
  </si>
  <si>
    <t>13:27 - 16:46</t>
  </si>
  <si>
    <t>05:23 - 10:38</t>
  </si>
  <si>
    <t>14:00 - 18:17</t>
  </si>
  <si>
    <t>04:33 - 14:13</t>
  </si>
  <si>
    <t>13:26 - 19:42</t>
  </si>
  <si>
    <t>05:00 - 11:33</t>
  </si>
  <si>
    <t>13:13 - 19:21</t>
  </si>
  <si>
    <t>04:11 - 14:23</t>
  </si>
  <si>
    <t>14:09 - 16:05</t>
  </si>
  <si>
    <t>04:48 - 09:26</t>
  </si>
  <si>
    <t>04:00 - 20:37</t>
  </si>
  <si>
    <t>14:02 - 19:39</t>
  </si>
  <si>
    <t>14:26 - 19:25</t>
  </si>
  <si>
    <t>06:20 - 11:14</t>
  </si>
  <si>
    <t>04:20 - 08:37</t>
  </si>
  <si>
    <t>13:40 - 20:16</t>
  </si>
  <si>
    <t>05:12 - 13:32</t>
  </si>
  <si>
    <t>06:44 - 11:09</t>
  </si>
  <si>
    <t>04:00 - 14:27</t>
  </si>
  <si>
    <t>04:02 - 10:35</t>
  </si>
  <si>
    <t>16:27 - 18:28</t>
  </si>
  <si>
    <t>05:25 - 11:47</t>
  </si>
  <si>
    <t>14:49 - 15:11</t>
  </si>
  <si>
    <t>04:21 - 12:07</t>
  </si>
  <si>
    <t>04:08 - 09:48</t>
  </si>
  <si>
    <t>14:41 - 18:27</t>
  </si>
  <si>
    <t>14:00 - 19:41</t>
  </si>
  <si>
    <t>04:36 - 10:14</t>
  </si>
  <si>
    <t>14:29 - 17:36</t>
  </si>
  <si>
    <t>06:20 - 12:01</t>
  </si>
  <si>
    <t>05:40 - 11:38</t>
  </si>
  <si>
    <t>15:11 - 20:03</t>
  </si>
  <si>
    <t>04:28 - 11:13</t>
  </si>
  <si>
    <t>14:02 - 19:17</t>
  </si>
  <si>
    <t>05:53 - 11:09</t>
  </si>
  <si>
    <t>13:04 - 19:36</t>
  </si>
  <si>
    <t>09:44 - 11:25</t>
  </si>
  <si>
    <t>15:02 - 19:48</t>
  </si>
  <si>
    <t>05:48 - 12:08</t>
  </si>
  <si>
    <t>04:03 - 11:30</t>
  </si>
  <si>
    <t>MHWW-THS-2928791</t>
  </si>
  <si>
    <t>SSH_2928872</t>
  </si>
  <si>
    <t>SSH_2928958</t>
  </si>
  <si>
    <t>MHWW-TPS-2928947</t>
  </si>
  <si>
    <t>SSH_2928646</t>
  </si>
  <si>
    <t>MHWW-TPS-2928949</t>
  </si>
  <si>
    <t>MHWW-THS-2928919</t>
  </si>
  <si>
    <t>MHWW-BT-2928936</t>
  </si>
  <si>
    <t>MHWW-BT-2928937</t>
  </si>
  <si>
    <t>MHWW-HSI2928973</t>
  </si>
  <si>
    <t>MHWW-HSI2928973-B</t>
  </si>
  <si>
    <t>MHWW-BT-2928978</t>
  </si>
  <si>
    <t>MHWW-SCH-2928979-B</t>
  </si>
  <si>
    <t>MHWW-TPS-2928957</t>
  </si>
  <si>
    <t>SSH_2928715</t>
  </si>
  <si>
    <t>MHWW-BT-2928982</t>
  </si>
  <si>
    <t>SSH_2928966</t>
  </si>
  <si>
    <t>SSH_2928967</t>
  </si>
  <si>
    <t>MHWW-BT-2929004</t>
  </si>
  <si>
    <t>MHWW-BT-2928996</t>
  </si>
  <si>
    <t>MHWW-BT-2928997</t>
  </si>
  <si>
    <t>MHWW-TPS-2928992</t>
  </si>
  <si>
    <t>MHWW-BT-2929007</t>
  </si>
  <si>
    <t>SSH_2928969</t>
  </si>
  <si>
    <t>SSH_2928970</t>
  </si>
  <si>
    <t>MHWW-THS-2928980</t>
  </si>
  <si>
    <t>MHWW-THS-2928980-B</t>
  </si>
  <si>
    <t>MHWW-BT-2929008</t>
  </si>
  <si>
    <t>MHWW-BT-2929008-B</t>
  </si>
  <si>
    <t>MHWW-BT-2929013</t>
  </si>
  <si>
    <t>SSH_2928644</t>
  </si>
  <si>
    <t>SSH_2928645</t>
  </si>
  <si>
    <t xml:space="preserve">  n/a</t>
  </si>
  <si>
    <t>MHWW-TPS-2928993-B</t>
  </si>
  <si>
    <t>MHWW-SCH-2929027</t>
  </si>
  <si>
    <t>2480453</t>
  </si>
  <si>
    <t>2485326</t>
  </si>
  <si>
    <t>2508154</t>
  </si>
  <si>
    <t xml:space="preserve">no load;&lt;client came outside and canceled &gt; Approve no show </t>
  </si>
  <si>
    <t>2519585</t>
  </si>
  <si>
    <t>2480892</t>
  </si>
  <si>
    <t xml:space="preserve">no load;&lt;contacted gina clients phone is not working &gt; Approve no show </t>
  </si>
  <si>
    <t>2513610</t>
  </si>
  <si>
    <t>2514647</t>
  </si>
  <si>
    <t>no load;&lt;client canceled ride waa late &gt; Rider cancelled  Removing 2-202</t>
  </si>
  <si>
    <t>2515390</t>
  </si>
  <si>
    <t>SSH_2928647</t>
  </si>
  <si>
    <t xml:space="preserve">  .</t>
  </si>
  <si>
    <t>2482244</t>
  </si>
  <si>
    <t>2482681</t>
  </si>
  <si>
    <t>2482805</t>
  </si>
  <si>
    <t>2528274</t>
  </si>
  <si>
    <t>2483302</t>
  </si>
  <si>
    <t xml:space="preserve">no load;&lt;contacted jackie client didnt answer &gt; contacted jackie client didnt answer &gt; </t>
  </si>
  <si>
    <t>2503866</t>
  </si>
  <si>
    <t xml:space="preserve">  Dropoff Location Phone: 3123167213</t>
  </si>
  <si>
    <t>2488009</t>
  </si>
  <si>
    <t xml:space="preserve">  Dropoff Location Phone: 7086686611</t>
  </si>
  <si>
    <t>2522045</t>
  </si>
  <si>
    <t>2520460</t>
  </si>
  <si>
    <t>2527384</t>
  </si>
  <si>
    <t>2527572</t>
  </si>
  <si>
    <t>no load;&lt;client came out and canceled appointment is tomorrow &gt; &lt;client came out and canceled appointment is tomorrow &gt; R  Running late</t>
  </si>
  <si>
    <t>2484859</t>
  </si>
  <si>
    <t>2501030</t>
  </si>
  <si>
    <t>2506619</t>
  </si>
  <si>
    <t>2525487</t>
  </si>
  <si>
    <t xml:space="preserve">no load;&lt;contacted laura client didnt answer &gt; contacted laura client didnt answer &gt; </t>
  </si>
  <si>
    <t>2484440</t>
  </si>
  <si>
    <t>2485853</t>
  </si>
  <si>
    <t>2514989</t>
  </si>
  <si>
    <t xml:space="preserve">no load;&lt;contacted destiny client canceled the trip &gt; &lt;contacted destiny client canceled the trip &gt; </t>
  </si>
  <si>
    <t>2519057</t>
  </si>
  <si>
    <t>2521156</t>
  </si>
  <si>
    <t xml:space="preserve">  Dropoff Location Phone: 7732776868</t>
  </si>
  <si>
    <t>2524455</t>
  </si>
  <si>
    <t>2484692</t>
  </si>
  <si>
    <t>2484795</t>
  </si>
  <si>
    <t xml:space="preserve">no load;&lt;contacted shanika client didnt answer &gt; Approve no show </t>
  </si>
  <si>
    <t>2506979</t>
  </si>
  <si>
    <t>2507040</t>
  </si>
  <si>
    <t xml:space="preserve">no load;&lt;contacted samantha client rescheduled&gt; No show approved </t>
  </si>
  <si>
    <t>2509670</t>
  </si>
  <si>
    <t>2527460</t>
  </si>
  <si>
    <t>2527587</t>
  </si>
  <si>
    <t>2528147</t>
  </si>
  <si>
    <t>2522121</t>
  </si>
  <si>
    <t>2506486</t>
  </si>
  <si>
    <t>2514603</t>
  </si>
  <si>
    <t xml:space="preserve">no load;&lt;client already home &gt; &lt;client already home </t>
  </si>
  <si>
    <t>2530645</t>
  </si>
  <si>
    <t>2531391</t>
  </si>
  <si>
    <t xml:space="preserve">no load;&lt;contacted daniel client canceled &gt; Approve no show </t>
  </si>
  <si>
    <t>2491520</t>
  </si>
  <si>
    <t xml:space="preserve">no load;&lt;client hasn’t taken a trip in weeks mailbox is full as well &gt; Approve no show </t>
  </si>
  <si>
    <t>2491802</t>
  </si>
  <si>
    <t>2519442</t>
  </si>
  <si>
    <t>2521491</t>
  </si>
  <si>
    <t xml:space="preserve">no load;&lt;cant get in contact with trans dev and the clients phone is going straight to voicemail &gt; &lt;cant get in contact with trans dev and the clients phone is straight to voicemail </t>
  </si>
  <si>
    <t>2526140</t>
  </si>
  <si>
    <t>2491828</t>
  </si>
  <si>
    <t>2500565</t>
  </si>
  <si>
    <t xml:space="preserve">no load;&lt;client is already at home &gt; Approve no show </t>
  </si>
  <si>
    <t>2498978</t>
  </si>
  <si>
    <t>2498979</t>
  </si>
  <si>
    <t>2526282</t>
  </si>
  <si>
    <t xml:space="preserve">  Dropoff Location Phone: 7088301652</t>
  </si>
  <si>
    <t>2532535</t>
  </si>
  <si>
    <t>2492251</t>
  </si>
  <si>
    <t>2492381</t>
  </si>
  <si>
    <t>2492667</t>
  </si>
  <si>
    <t>2492756</t>
  </si>
  <si>
    <t>2529175</t>
  </si>
  <si>
    <t xml:space="preserve">no load;&lt;contacted arita cant get in contact with the member and facility is closed &gt; &lt;contacted arita cant get in contact with the member and fa </t>
  </si>
  <si>
    <t>2530351</t>
  </si>
  <si>
    <t>2528161</t>
  </si>
  <si>
    <t xml:space="preserve">no load;&lt;contacted mara client canceled &gt; &lt;contacted mara client canceled &gt; </t>
  </si>
  <si>
    <t>2515544</t>
  </si>
  <si>
    <t>2515547</t>
  </si>
  <si>
    <t>2517220</t>
  </si>
  <si>
    <t>2537068</t>
  </si>
  <si>
    <t>2537076</t>
  </si>
  <si>
    <t>2493391</t>
  </si>
  <si>
    <t>2493630</t>
  </si>
  <si>
    <t xml:space="preserve">no load;&lt;contacted Samantha client didnt answer &gt; contacted Samantha client didnt answer &gt; </t>
  </si>
  <si>
    <t>2531476</t>
  </si>
  <si>
    <t>2532437</t>
  </si>
  <si>
    <t>2536985</t>
  </si>
  <si>
    <t>2537325</t>
  </si>
  <si>
    <t>2529372</t>
  </si>
  <si>
    <t>2535889</t>
  </si>
  <si>
    <t>2536143</t>
  </si>
  <si>
    <t xml:space="preserve">no load;&lt;contacted mara client didnt answer &gt; contacted mara client didnt answer &gt; </t>
  </si>
  <si>
    <t>2537201</t>
  </si>
  <si>
    <t>2494047</t>
  </si>
  <si>
    <t>2494111</t>
  </si>
  <si>
    <t>2494138</t>
  </si>
  <si>
    <t>2530729</t>
  </si>
  <si>
    <t>2532119</t>
  </si>
  <si>
    <t>2494345</t>
  </si>
  <si>
    <t>2493823</t>
  </si>
  <si>
    <t>2537039</t>
  </si>
  <si>
    <t xml:space="preserve">  car seat Dropoff Location Phone: 7733550670</t>
  </si>
  <si>
    <t>2536593</t>
  </si>
  <si>
    <t xml:space="preserve">  Dropoff Location Phone: 3124093135</t>
  </si>
  <si>
    <t>2525863</t>
  </si>
  <si>
    <t>2506493</t>
  </si>
  <si>
    <t xml:space="preserve">no load; No communication from rider or TD </t>
  </si>
  <si>
    <t>2515653</t>
  </si>
  <si>
    <t xml:space="preserve">  Dropoff Location Phone: 7739578982</t>
  </si>
  <si>
    <t>2526402</t>
  </si>
  <si>
    <t>2539201</t>
  </si>
  <si>
    <t>2541299</t>
  </si>
  <si>
    <t>2496114</t>
  </si>
  <si>
    <t>2496192</t>
  </si>
  <si>
    <t xml:space="preserve">no load;&lt;client didnt answer she has never taken a trip &gt; Approve no show </t>
  </si>
  <si>
    <t>2536069</t>
  </si>
  <si>
    <t xml:space="preserve">  contacted bernice client at her appointment &gt; Dropoff Location Phone: 3128439665</t>
  </si>
  <si>
    <t>2536241</t>
  </si>
  <si>
    <t xml:space="preserve">no load;&lt;client canceled shes not going until monday &gt; &lt;client canceled shes not going until monday &gt; </t>
  </si>
  <si>
    <t>2537259</t>
  </si>
  <si>
    <t xml:space="preserve">  Dropoff Location Phone: 3127769879</t>
  </si>
  <si>
    <t>2536052</t>
  </si>
  <si>
    <t xml:space="preserve">no load;&lt;contacted bernice client at her appointment &gt; contacted bernice client at her appointment &gt; </t>
  </si>
  <si>
    <t>09:42 - 16:32</t>
  </si>
  <si>
    <t>08:09 - 17:36</t>
  </si>
  <si>
    <t>07:19 - 16:35</t>
  </si>
  <si>
    <t>07:54 - 16:54</t>
  </si>
  <si>
    <t>07:14 - 15:08</t>
  </si>
  <si>
    <t>09:08 - 17:40</t>
  </si>
  <si>
    <t>08:05 - 16:27</t>
  </si>
  <si>
    <t>08:02 - 16:39</t>
  </si>
  <si>
    <t>08:34 - 16:18</t>
  </si>
  <si>
    <t>09:07 - 12:19</t>
  </si>
  <si>
    <t>08:42 - 18:07</t>
  </si>
  <si>
    <t>08:30 - 16:21</t>
  </si>
  <si>
    <t>11:35 - 15:56</t>
  </si>
  <si>
    <t>15:20 - 18:05</t>
  </si>
  <si>
    <t>08:27 - 17:24</t>
  </si>
  <si>
    <t>09:07 - 17:25</t>
  </si>
  <si>
    <t>08:57 - 15:35</t>
  </si>
  <si>
    <t>09:04 - 14:06</t>
  </si>
  <si>
    <t>08:12 - 17:57</t>
  </si>
  <si>
    <t>08:25 - 16:00</t>
  </si>
  <si>
    <t>09:02 - 14:37</t>
  </si>
  <si>
    <t>09:29 - 15:31</t>
  </si>
  <si>
    <t>08:56 - 16:09</t>
  </si>
  <si>
    <t>07:17 - 15:31</t>
  </si>
  <si>
    <t>08:05 - 16:35</t>
  </si>
  <si>
    <t>08:47 - 16:59</t>
  </si>
  <si>
    <t>09:28 - 15:30</t>
  </si>
  <si>
    <t>08:53 - 18:27</t>
  </si>
  <si>
    <t>09:12 - 17:00</t>
  </si>
  <si>
    <t>08:29 - 18:58</t>
  </si>
  <si>
    <t>08:41 - 16:34</t>
  </si>
  <si>
    <t>08:14 - 16:56</t>
  </si>
  <si>
    <t>07:38 - 16:06</t>
  </si>
  <si>
    <t>07:21 - 14:55</t>
  </si>
  <si>
    <t>2480504</t>
  </si>
  <si>
    <t xml:space="preserve">no load;&lt;client cannot be reached, Transdev not answering phone &gt; Approve no show </t>
  </si>
  <si>
    <t>2480452</t>
  </si>
  <si>
    <t>2488943</t>
  </si>
  <si>
    <t xml:space="preserve">no load;&lt;client is canceling the ride, talked with Ginny at Transdev &gt; Approve no show </t>
  </si>
  <si>
    <t>2521408</t>
  </si>
  <si>
    <t>no load;&lt;client cannot be reached, talked with Deneen at Transdev &gt; client cannot be reached, talked with Deneen at Transdev  Removing 2-202</t>
  </si>
  <si>
    <t>2508865</t>
  </si>
  <si>
    <t xml:space="preserve">  driver PU to early Dropoff Location Phone: 7087337551</t>
  </si>
  <si>
    <t>2480803</t>
  </si>
  <si>
    <t>2521889</t>
  </si>
  <si>
    <t xml:space="preserve">  Dropoff Location Phone: 3122183939</t>
  </si>
  <si>
    <t>2518496</t>
  </si>
  <si>
    <t>2525393</t>
  </si>
  <si>
    <t>2506078</t>
  </si>
  <si>
    <t>2490869</t>
  </si>
  <si>
    <t>2490870</t>
  </si>
  <si>
    <t>2520870</t>
  </si>
  <si>
    <t>2521066</t>
  </si>
  <si>
    <t>2521178</t>
  </si>
  <si>
    <t xml:space="preserve">  Dropoff Location Phone: 773.440.0518</t>
  </si>
  <si>
    <t>2481645</t>
  </si>
  <si>
    <t>2521464</t>
  </si>
  <si>
    <t xml:space="preserve">  Dropoff Location Phone: 7732176166</t>
  </si>
  <si>
    <t>2481437</t>
  </si>
  <si>
    <t>2481482</t>
  </si>
  <si>
    <t>2517292</t>
  </si>
  <si>
    <t>2517294</t>
  </si>
  <si>
    <t>2515612</t>
  </si>
  <si>
    <t xml:space="preserve">no load;&lt;client is canceling the, talked with Mary at Transdev &gt; Cancelled per Mary at TD </t>
  </si>
  <si>
    <t>2520603</t>
  </si>
  <si>
    <t xml:space="preserve">no load;&lt;client is not ready, talked with Daniel at Transdev &gt; &lt;client is not ready, talked with Daniel at Transdev &gt; </t>
  </si>
  <si>
    <t>2522062</t>
  </si>
  <si>
    <t>2522080</t>
  </si>
  <si>
    <t>2504011</t>
  </si>
  <si>
    <t xml:space="preserve">  Dropoff Location Phone: 7736559023</t>
  </si>
  <si>
    <t>2506059</t>
  </si>
  <si>
    <t xml:space="preserve">  Dropoff Location Phone: 7735872499</t>
  </si>
  <si>
    <t>2506409</t>
  </si>
  <si>
    <t>2482565</t>
  </si>
  <si>
    <t xml:space="preserve">no load;&lt;client cannot be reached, talked with Ginny at Transdev &gt; Approve no show </t>
  </si>
  <si>
    <t>2482482</t>
  </si>
  <si>
    <t>2482832</t>
  </si>
  <si>
    <t xml:space="preserve">no load;&lt; client cannot be reached, talked with Shamieka at Transdev &gt; client cannot be reached, talked with Shamieka at Transdev </t>
  </si>
  <si>
    <t>2482277</t>
  </si>
  <si>
    <t>2519648</t>
  </si>
  <si>
    <t>2522028</t>
  </si>
  <si>
    <t>2520983</t>
  </si>
  <si>
    <t>2484744</t>
  </si>
  <si>
    <t>2484696</t>
  </si>
  <si>
    <t>2526460</t>
  </si>
  <si>
    <t>2526469</t>
  </si>
  <si>
    <t>2506612</t>
  </si>
  <si>
    <t>2526245</t>
  </si>
  <si>
    <t>2525581</t>
  </si>
  <si>
    <t>2525412</t>
  </si>
  <si>
    <t>2525418</t>
  </si>
  <si>
    <t xml:space="preserve">  Dropoff Location Phone: 7733826152</t>
  </si>
  <si>
    <t>2500345</t>
  </si>
  <si>
    <t>2525751</t>
  </si>
  <si>
    <t>2522301</t>
  </si>
  <si>
    <t>2509665</t>
  </si>
  <si>
    <t>2514782</t>
  </si>
  <si>
    <t>2514790</t>
  </si>
  <si>
    <t>2498669</t>
  </si>
  <si>
    <t>2500963</t>
  </si>
  <si>
    <t>2486620</t>
  </si>
  <si>
    <t>2486622</t>
  </si>
  <si>
    <t>2486521</t>
  </si>
  <si>
    <t>2486537</t>
  </si>
  <si>
    <t>2527771</t>
  </si>
  <si>
    <t>2527941</t>
  </si>
  <si>
    <t>2486004</t>
  </si>
  <si>
    <t>2527443</t>
  </si>
  <si>
    <t>2527447</t>
  </si>
  <si>
    <t>2491759</t>
  </si>
  <si>
    <t>2500564</t>
  </si>
  <si>
    <t>2515163</t>
  </si>
  <si>
    <t>2515766</t>
  </si>
  <si>
    <t>2526132</t>
  </si>
  <si>
    <t>2526580</t>
  </si>
  <si>
    <t>2491395</t>
  </si>
  <si>
    <t xml:space="preserve">no load;&lt;client cannot be reached, Transdev taking over 15 mins to answer &gt; Approve no show </t>
  </si>
  <si>
    <t>2491614</t>
  </si>
  <si>
    <t>2508750</t>
  </si>
  <si>
    <t>2533893</t>
  </si>
  <si>
    <t xml:space="preserve">&lt;client cannot be reached, Transdev will not answer phone &gt; Approve no show </t>
  </si>
  <si>
    <t>2528117</t>
  </si>
  <si>
    <t>2535779</t>
  </si>
  <si>
    <t>2531379</t>
  </si>
  <si>
    <t>2531752</t>
  </si>
  <si>
    <t>2531755</t>
  </si>
  <si>
    <t>2531758</t>
  </si>
  <si>
    <t xml:space="preserve">  Dropoff Location Phone: 3129667725</t>
  </si>
  <si>
    <t>2492497</t>
  </si>
  <si>
    <t>2492498</t>
  </si>
  <si>
    <t>2492607</t>
  </si>
  <si>
    <t>2492615</t>
  </si>
  <si>
    <t>2492616</t>
  </si>
  <si>
    <t>2492704</t>
  </si>
  <si>
    <t>2527864</t>
  </si>
  <si>
    <t>2492380</t>
  </si>
  <si>
    <t>2506419</t>
  </si>
  <si>
    <t>2525436</t>
  </si>
  <si>
    <t>2517217</t>
  </si>
  <si>
    <t>2493449</t>
  </si>
  <si>
    <t>2493265</t>
  </si>
  <si>
    <t>2493266</t>
  </si>
  <si>
    <t>2533112</t>
  </si>
  <si>
    <t>2533115</t>
  </si>
  <si>
    <t xml:space="preserve">  Dropoff Location Phone: 8723000899</t>
  </si>
  <si>
    <t>2493624</t>
  </si>
  <si>
    <t>2493627</t>
  </si>
  <si>
    <t>2531473</t>
  </si>
  <si>
    <t>2529590</t>
  </si>
  <si>
    <t>2529594</t>
  </si>
  <si>
    <t>2530539</t>
  </si>
  <si>
    <t>2537191</t>
  </si>
  <si>
    <t>2493895</t>
  </si>
  <si>
    <t xml:space="preserve">no load;&lt;client is in the hospital, Transdev not answering &gt; Approve no show </t>
  </si>
  <si>
    <t>2536130</t>
  </si>
  <si>
    <t>2494204</t>
  </si>
  <si>
    <t xml:space="preserve">no load;&lt;client cannot be reached, talked with Mata at Transdev &gt; client cannot be reached, talked with Mata at Transdev &gt; </t>
  </si>
  <si>
    <t>2531486</t>
  </si>
  <si>
    <t xml:space="preserve">no load;&lt;client is canceling the ride, talked with Laura at Transdev &gt; Cancelled per TD </t>
  </si>
  <si>
    <t>2494287</t>
  </si>
  <si>
    <t>2494285</t>
  </si>
  <si>
    <t>2532769</t>
  </si>
  <si>
    <t xml:space="preserve">  Dropoff Location Phone: 7087892806</t>
  </si>
  <si>
    <t>2537286</t>
  </si>
  <si>
    <t>2532138</t>
  </si>
  <si>
    <t>2532722</t>
  </si>
  <si>
    <t>2538380</t>
  </si>
  <si>
    <t>2493892</t>
  </si>
  <si>
    <t>2494349</t>
  </si>
  <si>
    <t>2513608</t>
  </si>
  <si>
    <t>2520673</t>
  </si>
  <si>
    <t>2518548</t>
  </si>
  <si>
    <t>2539096</t>
  </si>
  <si>
    <t>2538871</t>
  </si>
  <si>
    <t>2533012</t>
  </si>
  <si>
    <t>2496216</t>
  </si>
  <si>
    <t>2496277</t>
  </si>
  <si>
    <t>2496326</t>
  </si>
  <si>
    <t xml:space="preserve">no load;&lt;client cannot be reached, talked with Celia at Transdev &gt; Approve no show </t>
  </si>
  <si>
    <t>2496005</t>
  </si>
  <si>
    <t>2522010</t>
  </si>
  <si>
    <t xml:space="preserve">no load;&lt;no show member already Left &gt; Approve no show </t>
  </si>
  <si>
    <t>2522015</t>
  </si>
  <si>
    <t xml:space="preserve">  Approve no show Dropoff Location Phone: 7732175001</t>
  </si>
  <si>
    <t>2480981</t>
  </si>
  <si>
    <t>2509619</t>
  </si>
  <si>
    <t>2480777</t>
  </si>
  <si>
    <t xml:space="preserve">no load;&lt;no show member didn't come out or answer the phone &gt; Approve no show </t>
  </si>
  <si>
    <t>2480862</t>
  </si>
  <si>
    <t>2480669</t>
  </si>
  <si>
    <t>2520153</t>
  </si>
  <si>
    <t>2508481</t>
  </si>
  <si>
    <t>2520726</t>
  </si>
  <si>
    <t xml:space="preserve">  Dropoff Location Phone: 3128415714</t>
  </si>
  <si>
    <t>2500471</t>
  </si>
  <si>
    <t>2502862</t>
  </si>
  <si>
    <t>2481000</t>
  </si>
  <si>
    <t>2523537</t>
  </si>
  <si>
    <t xml:space="preserve">  Dropoff Location Phone: 3125979409</t>
  </si>
  <si>
    <t>2515848</t>
  </si>
  <si>
    <t>2522470</t>
  </si>
  <si>
    <t>2488735</t>
  </si>
  <si>
    <t>2481411</t>
  </si>
  <si>
    <t xml:space="preserve">no load;&lt;no show member didn't come out or answer the phone &gt; no show member didn't come out or answer the phone </t>
  </si>
  <si>
    <t>2481436</t>
  </si>
  <si>
    <t>2481622</t>
  </si>
  <si>
    <t xml:space="preserve">no load;&lt;no show member ain't answer the phone or come out &gt; Approve no show </t>
  </si>
  <si>
    <t>2481646</t>
  </si>
  <si>
    <t>2481669</t>
  </si>
  <si>
    <t>2481767</t>
  </si>
  <si>
    <t xml:space="preserve">no load;&lt;no show member didn't come out and wrong number on file for member &gt; Approve no show </t>
  </si>
  <si>
    <t>2515278</t>
  </si>
  <si>
    <t>2481867</t>
  </si>
  <si>
    <t>2482798</t>
  </si>
  <si>
    <t>2482371</t>
  </si>
  <si>
    <t>2482481</t>
  </si>
  <si>
    <t>2525520</t>
  </si>
  <si>
    <t>2525723</t>
  </si>
  <si>
    <t xml:space="preserve">  Dropoff Location Phone: 7735329632</t>
  </si>
  <si>
    <t>2522327</t>
  </si>
  <si>
    <t xml:space="preserve">no load;&lt;no show member reschedule her appointment &gt;&lt;no show me reschedule her appointment for &gt; Member say she gonna cancel and just reschedule for next week </t>
  </si>
  <si>
    <t>2521905</t>
  </si>
  <si>
    <t>2514996</t>
  </si>
  <si>
    <t>2503856</t>
  </si>
  <si>
    <t>2484952</t>
  </si>
  <si>
    <t>2529047</t>
  </si>
  <si>
    <t>2525481</t>
  </si>
  <si>
    <t>2504673</t>
  </si>
  <si>
    <t xml:space="preserve">no load;&lt;no show member didn't come out &gt; Approve no show </t>
  </si>
  <si>
    <t>2509576</t>
  </si>
  <si>
    <t>2525186</t>
  </si>
  <si>
    <t xml:space="preserve">  ALT PN (708) 446-7437 2 CARSEAT NEEEDED Dropoff Location Phone: 8476443864</t>
  </si>
  <si>
    <t>2484899</t>
  </si>
  <si>
    <t>2500340</t>
  </si>
  <si>
    <t>2484532</t>
  </si>
  <si>
    <t>2484533</t>
  </si>
  <si>
    <t>2520314</t>
  </si>
  <si>
    <t>2521054</t>
  </si>
  <si>
    <t xml:space="preserve">  Dropoff Location Phone: 7089282515</t>
  </si>
  <si>
    <t>2519346</t>
  </si>
  <si>
    <t xml:space="preserve">no load;&lt;no show member didn't come out and the trip cancelled by Nicole transdev &gt; Approve no show </t>
  </si>
  <si>
    <t>2527628</t>
  </si>
  <si>
    <t xml:space="preserve">no load;&lt;no show member didn't come out &gt;&lt;no show member didn't come out &gt; Approve no show </t>
  </si>
  <si>
    <t>2527938</t>
  </si>
  <si>
    <t>2516727</t>
  </si>
  <si>
    <t xml:space="preserve">  WC Ready</t>
  </si>
  <si>
    <t>2511181</t>
  </si>
  <si>
    <t>2503879</t>
  </si>
  <si>
    <t>2504683</t>
  </si>
  <si>
    <t>2504689</t>
  </si>
  <si>
    <t>2502734</t>
  </si>
  <si>
    <t xml:space="preserve">no load;&lt;no show member aint come out or answer the phone &gt; Approve no show </t>
  </si>
  <si>
    <t>2506740</t>
  </si>
  <si>
    <t>2488951</t>
  </si>
  <si>
    <t xml:space="preserve">no load;&lt;no show member cancel and trip cancelled by Genny transdev &gt; Approve no show </t>
  </si>
  <si>
    <t>2485973</t>
  </si>
  <si>
    <t>2486227</t>
  </si>
  <si>
    <t>2526094</t>
  </si>
  <si>
    <t>2530405</t>
  </si>
  <si>
    <t xml:space="preserve">&lt;no show member didn't answer phone or come out and transdev not answering the phone &gt; No show, can't reach TD. Waited 20 mins </t>
  </si>
  <si>
    <t>2504695</t>
  </si>
  <si>
    <t>2508390</t>
  </si>
  <si>
    <t xml:space="preserve">no load;&lt;the member is no longer and was transfer too another shelter per/ Staffand transdev did not answer the there busy assisting other callers &gt; the member is no longer and was transfer too another shelter per Staffand at TD </t>
  </si>
  <si>
    <t>2508757</t>
  </si>
  <si>
    <t xml:space="preserve">  Dropoff Location Phone: 7733864401</t>
  </si>
  <si>
    <t>2504692</t>
  </si>
  <si>
    <t>2491820</t>
  </si>
  <si>
    <t>2491903</t>
  </si>
  <si>
    <t>2491803</t>
  </si>
  <si>
    <t>2491804</t>
  </si>
  <si>
    <t>2491807</t>
  </si>
  <si>
    <t xml:space="preserve">no load;&lt;no show member not answer the phone and transdev not answering the phone &gt; Rider not responsive, waited 10 mins </t>
  </si>
  <si>
    <t>2491707</t>
  </si>
  <si>
    <t xml:space="preserve">no load;&lt;no show member didn't answer the phone or come out &gt; Approve no show&lt;no show member not come out and transdev not answering the phone &gt; Approve no show </t>
  </si>
  <si>
    <t>2517699</t>
  </si>
  <si>
    <t>2491624</t>
  </si>
  <si>
    <t>2531662</t>
  </si>
  <si>
    <t xml:space="preserve">  MINOR, CARSEAT Dropoff Location Phone: 7733107443</t>
  </si>
  <si>
    <t>2531761</t>
  </si>
  <si>
    <t xml:space="preserve">  TOTAL 3PPL Dropoff Location Phone: 3123833961</t>
  </si>
  <si>
    <t>2530967</t>
  </si>
  <si>
    <t>2533998</t>
  </si>
  <si>
    <t>2530290</t>
  </si>
  <si>
    <t>2492499</t>
  </si>
  <si>
    <t>2492545</t>
  </si>
  <si>
    <t xml:space="preserve">no load;&lt;no show member didn't come out transdev not answering the phone &gt; no show member didn't come out transdev not answering </t>
  </si>
  <si>
    <t>2492294</t>
  </si>
  <si>
    <t>2492328</t>
  </si>
  <si>
    <t>2527355</t>
  </si>
  <si>
    <t>2527597</t>
  </si>
  <si>
    <t>2498451</t>
  </si>
  <si>
    <t xml:space="preserve">  Dropoff Location Phone: 7738170986</t>
  </si>
  <si>
    <t>2527329</t>
  </si>
  <si>
    <t xml:space="preserve">no load;&lt;no show member didn't have a car seat for her baby and trip waa cancelled by transdev maria &gt; &lt;no show member didn't have a car seat for her baby trip cancelled per maria </t>
  </si>
  <si>
    <t>2515171</t>
  </si>
  <si>
    <t>2531894</t>
  </si>
  <si>
    <t xml:space="preserve">no load;&lt;no member say her appointment was cancelled and transdev has been notified &gt; no member say her appointment was cancelled and tran </t>
  </si>
  <si>
    <t>2531843</t>
  </si>
  <si>
    <t>2493475</t>
  </si>
  <si>
    <t>2493489</t>
  </si>
  <si>
    <t>2493490</t>
  </si>
  <si>
    <t>2528953</t>
  </si>
  <si>
    <t xml:space="preserve">no load;&lt;member said he have too late today and trip was cancelled by Ashley &gt; Approve no show </t>
  </si>
  <si>
    <t>2529070</t>
  </si>
  <si>
    <t>2529071</t>
  </si>
  <si>
    <t xml:space="preserve">  Dropoff Location Phone: 7739960593</t>
  </si>
  <si>
    <t>2532103</t>
  </si>
  <si>
    <t xml:space="preserve">  ADVISED BOOSTER SEAT Dropoff Location Phone: 708.830.1652</t>
  </si>
  <si>
    <t>2532210</t>
  </si>
  <si>
    <t>2494319</t>
  </si>
  <si>
    <t>2494086</t>
  </si>
  <si>
    <t xml:space="preserve">no load;&lt;no show member didn't come out or answer the phone &gt; Trip was no show by transdev Celia </t>
  </si>
  <si>
    <t>2494236</t>
  </si>
  <si>
    <t>2536897</t>
  </si>
  <si>
    <t xml:space="preserve">no load;&lt;no show member already and her phone are not working &gt; Approve no show </t>
  </si>
  <si>
    <t>2494021</t>
  </si>
  <si>
    <t>2494022</t>
  </si>
  <si>
    <t>2494001</t>
  </si>
  <si>
    <t xml:space="preserve">no load;&lt;no show member didn't comeout or answer ph&gt; Approve no show </t>
  </si>
  <si>
    <t>2537055</t>
  </si>
  <si>
    <t xml:space="preserve">  Dropoff Location Phone: 7734970139</t>
  </si>
  <si>
    <t>2535818</t>
  </si>
  <si>
    <t>2521190</t>
  </si>
  <si>
    <t>2499228</t>
  </si>
  <si>
    <t>2504676</t>
  </si>
  <si>
    <t>2505916</t>
  </si>
  <si>
    <t xml:space="preserve">no load;&lt;no show member say too cancel and the trip cancel by deneen transdev &gt; Approve no show </t>
  </si>
  <si>
    <t>2506242</t>
  </si>
  <si>
    <t>2520830</t>
  </si>
  <si>
    <t>2493857</t>
  </si>
  <si>
    <t>MHWW-SCH-2929016-B</t>
  </si>
  <si>
    <t xml:space="preserve">no load;&lt;no show member already left &gt; Approve no show </t>
  </si>
  <si>
    <t>2519100</t>
  </si>
  <si>
    <t>2520687</t>
  </si>
  <si>
    <t>2520691</t>
  </si>
  <si>
    <t>2515462</t>
  </si>
  <si>
    <t xml:space="preserve">no load;&lt;no show member didn't come out and trip cancelled by Jaime transdev &gt; Approve no show </t>
  </si>
  <si>
    <t>2495827</t>
  </si>
  <si>
    <t>2536986</t>
  </si>
  <si>
    <t>2496368</t>
  </si>
  <si>
    <t>2496113</t>
  </si>
  <si>
    <t>2496184</t>
  </si>
  <si>
    <t>2496278</t>
  </si>
  <si>
    <t>2496291</t>
  </si>
  <si>
    <t>2496370</t>
  </si>
  <si>
    <t>2539409</t>
  </si>
  <si>
    <t xml:space="preserve">no load;&lt;no show member didn't answer the phone or come out &gt; Approve no show </t>
  </si>
  <si>
    <t>2520724</t>
  </si>
  <si>
    <t>2521476</t>
  </si>
  <si>
    <t xml:space="preserve">  Riding with booster seat.
Riding with Kamren Jones. Dropoff Location Phone: 3124783659</t>
  </si>
  <si>
    <t>2521402</t>
  </si>
  <si>
    <t>2507838</t>
  </si>
  <si>
    <t>2522413</t>
  </si>
  <si>
    <t>2511290</t>
  </si>
  <si>
    <t>2480989</t>
  </si>
  <si>
    <t>2480962</t>
  </si>
  <si>
    <t>2480783</t>
  </si>
  <si>
    <t>2480762</t>
  </si>
  <si>
    <t>2480703</t>
  </si>
  <si>
    <t>2480553</t>
  </si>
  <si>
    <t>2481973</t>
  </si>
  <si>
    <t>no load;&lt;not load
passenger cancelled trip upon arrival. left already. called (ceilla) first transit - approved&gt; not load passenger cancelled trip upon arrival. left already. called (ceilla) first transit - approved  Absolutely NO BIG STAR Dropoff Location Phone: 7738016164</t>
  </si>
  <si>
    <t>2522697</t>
  </si>
  <si>
    <t>2507004</t>
  </si>
  <si>
    <t>2523649</t>
  </si>
  <si>
    <t>2517426</t>
  </si>
  <si>
    <t xml:space="preserve">  Dropoff Location Phone: 7734457809</t>
  </si>
  <si>
    <t>2517223</t>
  </si>
  <si>
    <t>2481602</t>
  </si>
  <si>
    <t>2481603</t>
  </si>
  <si>
    <t>2514822</t>
  </si>
  <si>
    <t>2515281</t>
  </si>
  <si>
    <t>2481820</t>
  </si>
  <si>
    <t>2481761</t>
  </si>
  <si>
    <t xml:space="preserve">no load;&lt;no load
phone number does not match client . upon arrival driver called first transit for assistance. no answer after (9) minutes on the phone. client did not answer to horn blowing. no contact made&gt; no load phone number does not match client . upon arrival called FT but no answer </t>
  </si>
  <si>
    <t>2519198</t>
  </si>
  <si>
    <t>2510340</t>
  </si>
  <si>
    <t>2508180</t>
  </si>
  <si>
    <t xml:space="preserve">no load;&lt;no load
passenger cancelled trip upon arrival. not going. called (Maria) first transit - approved &gt; no load passenger cancelled trip upon arrival. not going. ca </t>
  </si>
  <si>
    <t>2490172</t>
  </si>
  <si>
    <t>MHWW-THS-2928891</t>
  </si>
  <si>
    <t>2506418</t>
  </si>
  <si>
    <t xml:space="preserve">  Dropoff Location Phone: 3129565865</t>
  </si>
  <si>
    <t>2515049</t>
  </si>
  <si>
    <t xml:space="preserve">  Dropoff Location Phone: 7737099604</t>
  </si>
  <si>
    <t>2519144</t>
  </si>
  <si>
    <t>2520268</t>
  </si>
  <si>
    <t>2524362</t>
  </si>
  <si>
    <t>2518834</t>
  </si>
  <si>
    <t>2482589</t>
  </si>
  <si>
    <t xml:space="preserve">no load;&lt;no load
passenger not answering calls upon arrival. phone not working. called (Victoria) first transit - approved&gt; Approve no show </t>
  </si>
  <si>
    <t>2520985</t>
  </si>
  <si>
    <t xml:space="preserve">no load;&lt;no load
passenger cancelled trip upon arrival. say had to reschedule his appointment due to holiday. called (Samantha) first transit - approved&gt; &lt;no load passenger cancelled trip upon arrival. had to reschedule appt due to holiday </t>
  </si>
  <si>
    <t>2484515</t>
  </si>
  <si>
    <t>2484743</t>
  </si>
  <si>
    <t>2484647</t>
  </si>
  <si>
    <t>2515863</t>
  </si>
  <si>
    <t xml:space="preserve">no load;&lt;no load
client cancelled trip upon arrival. says he had to reschedule the appointment. called (Jeanna) first transit - approved&gt; Approve no show </t>
  </si>
  <si>
    <t>2495019</t>
  </si>
  <si>
    <t>2525489</t>
  </si>
  <si>
    <t>2526374</t>
  </si>
  <si>
    <t>2501034</t>
  </si>
  <si>
    <t>2508247</t>
  </si>
  <si>
    <t>2514567</t>
  </si>
  <si>
    <t>2510465</t>
  </si>
  <si>
    <t>2523657</t>
  </si>
  <si>
    <t>2484514</t>
  </si>
  <si>
    <t>2524399</t>
  </si>
  <si>
    <t xml:space="preserve">no load;&lt;no load
passenger not answering calls upon arrival. called (Maria) first transit - approved&gt; Approve no show No show approved </t>
  </si>
  <si>
    <t>2486342</t>
  </si>
  <si>
    <t>2527773</t>
  </si>
  <si>
    <t>2527991</t>
  </si>
  <si>
    <t>2527594</t>
  </si>
  <si>
    <t>2490719</t>
  </si>
  <si>
    <t>2514568</t>
  </si>
  <si>
    <t>2507854</t>
  </si>
  <si>
    <t>2507857</t>
  </si>
  <si>
    <t>2488391</t>
  </si>
  <si>
    <t>2488392</t>
  </si>
  <si>
    <t>2514826</t>
  </si>
  <si>
    <t>2488302</t>
  </si>
  <si>
    <t>2488429</t>
  </si>
  <si>
    <t>2488449</t>
  </si>
  <si>
    <t>2526412</t>
  </si>
  <si>
    <t>2488477</t>
  </si>
  <si>
    <t>2491904</t>
  </si>
  <si>
    <t>2491902</t>
  </si>
  <si>
    <t>2520274</t>
  </si>
  <si>
    <t>2526128</t>
  </si>
  <si>
    <t>2491801</t>
  </si>
  <si>
    <t>2491404</t>
  </si>
  <si>
    <t>2491280</t>
  </si>
  <si>
    <t>2530588</t>
  </si>
  <si>
    <t>no load;&lt;no load
passenger not answering calls upon arrival. driver waited 8 minutes on phone called (Laura) first  transit - approved&gt; Approve no show  Dropoff Location Phone: 8722897564</t>
  </si>
  <si>
    <t>2531994</t>
  </si>
  <si>
    <t>2532001</t>
  </si>
  <si>
    <t>2514549</t>
  </si>
  <si>
    <t>2504732</t>
  </si>
  <si>
    <t>MHWW-TPS-2928990</t>
  </si>
  <si>
    <t>2532055</t>
  </si>
  <si>
    <t>2503954</t>
  </si>
  <si>
    <t>no load;&lt;no load
passenger left upon arrival. say she did not want to wait any longer. called (Ashley) first transit - approved&gt; Approve no show  Dropoff Location Phone: 3129121455</t>
  </si>
  <si>
    <t>2498442</t>
  </si>
  <si>
    <t>2509580</t>
  </si>
  <si>
    <t>2529034</t>
  </si>
  <si>
    <t>2527846</t>
  </si>
  <si>
    <t>2531381</t>
  </si>
  <si>
    <t>&lt;contacted maria client not ready yet &gt; contacted maria client not ready yet &gt; .  . Dropoff Location Phone: 7736149869 Dropoff Location Phone: 7736149869 WC activated</t>
  </si>
  <si>
    <t>2492312</t>
  </si>
  <si>
    <t>2492330</t>
  </si>
  <si>
    <t>2532522</t>
  </si>
  <si>
    <t>2492274</t>
  </si>
  <si>
    <t>2492275</t>
  </si>
  <si>
    <t>2492655</t>
  </si>
  <si>
    <t>2492587</t>
  </si>
  <si>
    <t>2534015</t>
  </si>
  <si>
    <t xml:space="preserve">no load;&lt;no load
client cancelled trip upon arrival. not going. called ( Crystal ) first transit - approved&gt; Approve no show </t>
  </si>
  <si>
    <t>2536283</t>
  </si>
  <si>
    <t>2493450</t>
  </si>
  <si>
    <t>2493453</t>
  </si>
  <si>
    <t>2534906</t>
  </si>
  <si>
    <t>2532848</t>
  </si>
  <si>
    <t>2496814</t>
  </si>
  <si>
    <t>2506987</t>
  </si>
  <si>
    <t>2494787</t>
  </si>
  <si>
    <t xml:space="preserve">no load;&lt;no load
passenger not answering calls upon arrival. called (Jamie) first transit - approved&gt; no load passenger not answering calls upon arrival. calle </t>
  </si>
  <si>
    <t>2510813</t>
  </si>
  <si>
    <t>2525435</t>
  </si>
  <si>
    <t>2527971</t>
  </si>
  <si>
    <t>2532847</t>
  </si>
  <si>
    <t xml:space="preserve">no load;&lt;no load
passenger cancelled trip upon arrival. say doctor cancelled the appointment. called (Nara) first transit - approved &gt; Approve no show </t>
  </si>
  <si>
    <t>2532013</t>
  </si>
  <si>
    <t>2532444</t>
  </si>
  <si>
    <t>2530330</t>
  </si>
  <si>
    <t>2532054</t>
  </si>
  <si>
    <t xml:space="preserve">no load;&lt;no load
passenger not answering calls upon arrival. called (Ashley) first transit - approved&gt; Approve no show </t>
  </si>
  <si>
    <t>2531411</t>
  </si>
  <si>
    <t>2531419</t>
  </si>
  <si>
    <t>2493491</t>
  </si>
  <si>
    <t>2493878</t>
  </si>
  <si>
    <t>2532203</t>
  </si>
  <si>
    <t>2537354</t>
  </si>
  <si>
    <t>2537356</t>
  </si>
  <si>
    <t>2532727</t>
  </si>
  <si>
    <t>2530432</t>
  </si>
  <si>
    <t>2531657</t>
  </si>
  <si>
    <t xml:space="preserve">no load; No show upon arrival </t>
  </si>
  <si>
    <t>2494255</t>
  </si>
  <si>
    <t xml:space="preserve">no load;&lt;no load
passenger cancelled trip upon arrival. say she is sick and will not be going. called (Zandra) first transit - approved&gt; Approve no show </t>
  </si>
  <si>
    <t>2536538</t>
  </si>
  <si>
    <t>2536883</t>
  </si>
  <si>
    <t>2494002</t>
  </si>
  <si>
    <t>2536072</t>
  </si>
  <si>
    <t xml:space="preserve">no load;&lt;client cancelled trip over phone. say she was not picked up for her appointment. called (Daniel) first transit - approved &gt; Cancelled upon arriving </t>
  </si>
  <si>
    <t>2529625</t>
  </si>
  <si>
    <t>2529631</t>
  </si>
  <si>
    <t>2517413</t>
  </si>
  <si>
    <t xml:space="preserve">no load;&lt;no load
passenger cancelled tip upon arrival. say she have to reschedule her doctor's appointment. called (Maria) first transit - approved&gt; No show approved </t>
  </si>
  <si>
    <t>2527980</t>
  </si>
  <si>
    <t xml:space="preserve">no load;&lt;no load
passenger not answering calls upon arrival. called (Celia) first transit - approved &gt; &lt;no load passenger not answering calls upon arrival. called td celia approved </t>
  </si>
  <si>
    <t>2530740</t>
  </si>
  <si>
    <t>2496117</t>
  </si>
  <si>
    <t>2531539</t>
  </si>
  <si>
    <t>2496292</t>
  </si>
  <si>
    <t>2495853</t>
  </si>
  <si>
    <t xml:space="preserve">  Approved cancel member is ready at 9</t>
  </si>
  <si>
    <t>2495879</t>
  </si>
  <si>
    <t>2495904</t>
  </si>
  <si>
    <t>2539132</t>
  </si>
  <si>
    <t xml:space="preserve">  Dropoff Location Phone: 7739577725</t>
  </si>
  <si>
    <t>2496367</t>
  </si>
  <si>
    <t>2496369</t>
  </si>
  <si>
    <t>2532596</t>
  </si>
  <si>
    <t xml:space="preserve">  Approved cancel Dropoff Location Phone: 7737723004</t>
  </si>
  <si>
    <t>MHWW-SCH-2929026</t>
  </si>
  <si>
    <t>2497714</t>
  </si>
  <si>
    <t>2536910</t>
  </si>
  <si>
    <t>2536911</t>
  </si>
  <si>
    <t>2514832</t>
  </si>
  <si>
    <t>2514833</t>
  </si>
  <si>
    <t>2497939</t>
  </si>
  <si>
    <t xml:space="preserve">no load;&lt;no load
passenger cancelled trip upon arrival. say hes not going. no ride is needed&gt; &lt;no load passenger cancelled trip upon arrival. say hes not going </t>
  </si>
  <si>
    <t>2498053</t>
  </si>
  <si>
    <t>2497961</t>
  </si>
  <si>
    <t>2497962</t>
  </si>
  <si>
    <t>2497868</t>
  </si>
  <si>
    <t>2520302</t>
  </si>
  <si>
    <t>2521459</t>
  </si>
  <si>
    <t>2521510</t>
  </si>
  <si>
    <t>2500614</t>
  </si>
  <si>
    <t xml:space="preserve">  Dropoff Location Phone: 8722303731 . , .</t>
  </si>
  <si>
    <t>2480487</t>
  </si>
  <si>
    <t>2510375</t>
  </si>
  <si>
    <t xml:space="preserve">no load;&lt;Customer no-show I was trying to call multiple times phone going straight to voicemail ￼&gt; Approve no show </t>
  </si>
  <si>
    <t>2480863</t>
  </si>
  <si>
    <t>2480584</t>
  </si>
  <si>
    <t>2480704</t>
  </si>
  <si>
    <t xml:space="preserve">no load;&lt;customer no-show I already called TransDev ￼&gt; Approve no show </t>
  </si>
  <si>
    <t>2522002</t>
  </si>
  <si>
    <t>2515731</t>
  </si>
  <si>
    <t xml:space="preserve">no load;&lt;customer no-show already called TransDev ￼&gt; Approve no show </t>
  </si>
  <si>
    <t>2522264</t>
  </si>
  <si>
    <t>2481063</t>
  </si>
  <si>
    <t>2481065</t>
  </si>
  <si>
    <t>MHWW-HSI2928963</t>
  </si>
  <si>
    <t>2522761</t>
  </si>
  <si>
    <t>2506992</t>
  </si>
  <si>
    <t>2522633</t>
  </si>
  <si>
    <t>2519032</t>
  </si>
  <si>
    <t>2522447</t>
  </si>
  <si>
    <t>2522476</t>
  </si>
  <si>
    <t>2481405</t>
  </si>
  <si>
    <t xml:space="preserve">no load;&lt;Customer no-show waited 15 minutes&gt; Approve no show </t>
  </si>
  <si>
    <t>2481662</t>
  </si>
  <si>
    <t>2481752</t>
  </si>
  <si>
    <t>2521099</t>
  </si>
  <si>
    <t>2520921</t>
  </si>
  <si>
    <t>2512883</t>
  </si>
  <si>
    <t>2481926</t>
  </si>
  <si>
    <t>2481928</t>
  </si>
  <si>
    <t>2522817</t>
  </si>
  <si>
    <t>2521918</t>
  </si>
  <si>
    <t xml:space="preserve">  Dropoff Location Phone: 3125306950</t>
  </si>
  <si>
    <t>2484578</t>
  </si>
  <si>
    <t>2522093</t>
  </si>
  <si>
    <t>2519574</t>
  </si>
  <si>
    <t>2492079</t>
  </si>
  <si>
    <t>2484863</t>
  </si>
  <si>
    <t>2525587</t>
  </si>
  <si>
    <t xml:space="preserve">  Dropoff Location Phone: 7739010740</t>
  </si>
  <si>
    <t>2511357</t>
  </si>
  <si>
    <t>2511365</t>
  </si>
  <si>
    <t>2514566</t>
  </si>
  <si>
    <t>2525182</t>
  </si>
  <si>
    <t>2484953</t>
  </si>
  <si>
    <t>2484954</t>
  </si>
  <si>
    <t>2484436</t>
  </si>
  <si>
    <t>2484437</t>
  </si>
  <si>
    <t>2522120</t>
  </si>
  <si>
    <t>2525442</t>
  </si>
  <si>
    <t>2486035</t>
  </si>
  <si>
    <t xml:space="preserve">no load;&lt;Customer no-show waited 10 minutes&gt; Approve no show </t>
  </si>
  <si>
    <t>2485974</t>
  </si>
  <si>
    <t>2486091</t>
  </si>
  <si>
    <t>2516724</t>
  </si>
  <si>
    <t>2526462</t>
  </si>
  <si>
    <t>2527406</t>
  </si>
  <si>
    <t>2528133</t>
  </si>
  <si>
    <t xml:space="preserve">  Dropoff Location Phone: 7086980628</t>
  </si>
  <si>
    <t>2488421</t>
  </si>
  <si>
    <t>2488422</t>
  </si>
  <si>
    <t>2522033</t>
  </si>
  <si>
    <t>2522038</t>
  </si>
  <si>
    <t>2499223</t>
  </si>
  <si>
    <t>2488478</t>
  </si>
  <si>
    <t>2488225</t>
  </si>
  <si>
    <t>2491615</t>
  </si>
  <si>
    <t>2491311</t>
  </si>
  <si>
    <t>2491337</t>
  </si>
  <si>
    <t>2491338</t>
  </si>
  <si>
    <t>2526509</t>
  </si>
  <si>
    <t xml:space="preserve">  Dropoff Location Phone: 2199003556</t>
  </si>
  <si>
    <t>2525467</t>
  </si>
  <si>
    <t>2515159</t>
  </si>
  <si>
    <t>2517572</t>
  </si>
  <si>
    <t>2530403</t>
  </si>
  <si>
    <t>2510377</t>
  </si>
  <si>
    <t xml:space="preserve">no load;&lt;customer no-show waited 15 minutes ￼&gt; Approve no show </t>
  </si>
  <si>
    <t>2506920</t>
  </si>
  <si>
    <t>2529334</t>
  </si>
  <si>
    <t>2535790</t>
  </si>
  <si>
    <t xml:space="preserve">  Dropoff Location Phone: 7732558297</t>
  </si>
  <si>
    <t>2528126</t>
  </si>
  <si>
    <t>2527662</t>
  </si>
  <si>
    <t>2532382</t>
  </si>
  <si>
    <t>2492761</t>
  </si>
  <si>
    <t>2492762</t>
  </si>
  <si>
    <t>2530649</t>
  </si>
  <si>
    <t>2531410</t>
  </si>
  <si>
    <t>2492663</t>
  </si>
  <si>
    <t>2492664</t>
  </si>
  <si>
    <t>2492502</t>
  </si>
  <si>
    <t>2492332</t>
  </si>
  <si>
    <t xml:space="preserve">no load;&lt;Customer no-show with 10 minutes&gt; Approve no show </t>
  </si>
  <si>
    <t>2492313</t>
  </si>
  <si>
    <t>2527669</t>
  </si>
  <si>
    <t>2533992</t>
  </si>
  <si>
    <t>2533995</t>
  </si>
  <si>
    <t>2527868</t>
  </si>
  <si>
    <t>2527507</t>
  </si>
  <si>
    <t>2493785</t>
  </si>
  <si>
    <t>2493786</t>
  </si>
  <si>
    <t>2493141</t>
  </si>
  <si>
    <t>2508189</t>
  </si>
  <si>
    <t>2530553</t>
  </si>
  <si>
    <t xml:space="preserve">  WC readdy</t>
  </si>
  <si>
    <t>2529183</t>
  </si>
  <si>
    <t xml:space="preserve">  Approved cancel Dropoff Location Phone: 3312878321</t>
  </si>
  <si>
    <t>2493725</t>
  </si>
  <si>
    <t>2506991</t>
  </si>
  <si>
    <t xml:space="preserve">no load;&lt;Customer wanted to cancel already called&gt; No show approved </t>
  </si>
  <si>
    <t>2493723</t>
  </si>
  <si>
    <t>2526280</t>
  </si>
  <si>
    <t>2526587</t>
  </si>
  <si>
    <t>2535894</t>
  </si>
  <si>
    <t>2532874</t>
  </si>
  <si>
    <t>2532875</t>
  </si>
  <si>
    <t>2494152</t>
  </si>
  <si>
    <t>2494153</t>
  </si>
  <si>
    <t>2494046</t>
  </si>
  <si>
    <t>2494237</t>
  </si>
  <si>
    <t>2494110</t>
  </si>
  <si>
    <t>2513612</t>
  </si>
  <si>
    <t>2520835</t>
  </si>
  <si>
    <t>2506248</t>
  </si>
  <si>
    <t>2508203</t>
  </si>
  <si>
    <t>2497052</t>
  </si>
  <si>
    <t>2538308</t>
  </si>
  <si>
    <t>2538313</t>
  </si>
  <si>
    <t>2539127</t>
  </si>
  <si>
    <t>2495826</t>
  </si>
  <si>
    <t>2513609</t>
  </si>
  <si>
    <t>2513615</t>
  </si>
  <si>
    <t>2526403</t>
  </si>
  <si>
    <t>&lt;I’ve been waiting for a while. Client haven’t came out yet.&gt; driver has been waiting for a while. Client haven’t came out yet. called 2x with no answer&gt;  member ready</t>
  </si>
  <si>
    <t>2527363</t>
  </si>
  <si>
    <t>2531062</t>
  </si>
  <si>
    <t>2538172</t>
  </si>
  <si>
    <t>2536045</t>
  </si>
  <si>
    <t>2536987</t>
  </si>
  <si>
    <t>2537037</t>
  </si>
  <si>
    <t>2536284</t>
  </si>
  <si>
    <t>2496245</t>
  </si>
  <si>
    <t>2496299</t>
  </si>
  <si>
    <t>2497726</t>
  </si>
  <si>
    <t>2532879</t>
  </si>
  <si>
    <t>2537341</t>
  </si>
  <si>
    <t xml:space="preserve">no load;&lt;Customer no-show waited 10 minutes already called&gt; &lt;Customer no-show waited 10 minutes already called&gt; </t>
  </si>
  <si>
    <t>2539417</t>
  </si>
  <si>
    <t>2497923</t>
  </si>
  <si>
    <t>2497924</t>
  </si>
  <si>
    <t>2497865</t>
  </si>
  <si>
    <t>2497775</t>
  </si>
  <si>
    <t>2498024</t>
  </si>
  <si>
    <t>2498052</t>
  </si>
  <si>
    <t>2497968</t>
  </si>
  <si>
    <t>2498118</t>
  </si>
  <si>
    <t>2498119</t>
  </si>
  <si>
    <t>2499229</t>
  </si>
  <si>
    <t>2480670</t>
  </si>
  <si>
    <t>2480804</t>
  </si>
  <si>
    <t>2480843</t>
  </si>
  <si>
    <t>2515271</t>
  </si>
  <si>
    <t>2511296</t>
  </si>
  <si>
    <t>2515401</t>
  </si>
  <si>
    <t xml:space="preserve">  Dropoff Location Phone: 3127340812</t>
  </si>
  <si>
    <t>2505177</t>
  </si>
  <si>
    <t>2520467</t>
  </si>
  <si>
    <t>2498895</t>
  </si>
  <si>
    <t xml:space="preserve">no load; reached out the member but no answer .  approve the no show after 10 mins </t>
  </si>
  <si>
    <t>MHWW-HSI2928963-B</t>
  </si>
  <si>
    <t>2515699</t>
  </si>
  <si>
    <t>2519425</t>
  </si>
  <si>
    <t>2506087</t>
  </si>
  <si>
    <t xml:space="preserve">  Dropoff Location Phone: 7086317164</t>
  </si>
  <si>
    <t>2481353</t>
  </si>
  <si>
    <t>2481387</t>
  </si>
  <si>
    <t>2481670</t>
  </si>
  <si>
    <t>2521401</t>
  </si>
  <si>
    <t>2521455</t>
  </si>
  <si>
    <t>2506633</t>
  </si>
  <si>
    <t>2519429</t>
  </si>
  <si>
    <t>2521154</t>
  </si>
  <si>
    <t>2521515</t>
  </si>
  <si>
    <t>2518495</t>
  </si>
  <si>
    <t>2506387</t>
  </si>
  <si>
    <t xml:space="preserve">no load; called member 2x , with no response . FT didn't answer the driver. approved no show </t>
  </si>
  <si>
    <t>2510319</t>
  </si>
  <si>
    <t>2524477</t>
  </si>
  <si>
    <t>2519624</t>
  </si>
  <si>
    <t>2515480</t>
  </si>
  <si>
    <t>2521694</t>
  </si>
  <si>
    <t>2523593</t>
  </si>
  <si>
    <t>2518797</t>
  </si>
  <si>
    <t xml:space="preserve">no load; Member is no show reachable called 3x times. approve no show </t>
  </si>
  <si>
    <t>2515182</t>
  </si>
  <si>
    <t>2515304</t>
  </si>
  <si>
    <t>2520723</t>
  </si>
  <si>
    <t>2520815</t>
  </si>
  <si>
    <t>2519415</t>
  </si>
  <si>
    <t>2525511</t>
  </si>
  <si>
    <t>2520884</t>
  </si>
  <si>
    <t>2524440</t>
  </si>
  <si>
    <t>2504004</t>
  </si>
  <si>
    <t>2482373</t>
  </si>
  <si>
    <t>2528271</t>
  </si>
  <si>
    <t>2515037</t>
  </si>
  <si>
    <t xml:space="preserve">  Dropoff Location Phone: 3125820934</t>
  </si>
  <si>
    <t>2519380</t>
  </si>
  <si>
    <t>2484441</t>
  </si>
  <si>
    <t>2525904</t>
  </si>
  <si>
    <t xml:space="preserve">no load;&lt;Client isnt at home per.Tramanika &gt;&lt;patient not at home &gt; Approved no show Client isnt at home per.Tramanika &gt; </t>
  </si>
  <si>
    <t>2484900</t>
  </si>
  <si>
    <t>2524459</t>
  </si>
  <si>
    <t>2484681</t>
  </si>
  <si>
    <t>2484682</t>
  </si>
  <si>
    <t>2521149</t>
  </si>
  <si>
    <t>2492076</t>
  </si>
  <si>
    <t>2515968</t>
  </si>
  <si>
    <t xml:space="preserve">no load;&lt;patient canceled trip per sharon &gt; Approve no show </t>
  </si>
  <si>
    <t>2515086</t>
  </si>
  <si>
    <t>2517283</t>
  </si>
  <si>
    <t>2524451</t>
  </si>
  <si>
    <t>2530335</t>
  </si>
  <si>
    <t xml:space="preserve">no load;&lt;clinet is already picked up &gt; clinet is already picked up </t>
  </si>
  <si>
    <t>2506625</t>
  </si>
  <si>
    <t>2526350</t>
  </si>
  <si>
    <t>2526380</t>
  </si>
  <si>
    <t>2525937</t>
  </si>
  <si>
    <t xml:space="preserve">  Dropoff Location Phone: 7084839396</t>
  </si>
  <si>
    <t>2520831</t>
  </si>
  <si>
    <t>2522302</t>
  </si>
  <si>
    <t>2525324</t>
  </si>
  <si>
    <t>2503878</t>
  </si>
  <si>
    <t>2526230</t>
  </si>
  <si>
    <t xml:space="preserve">no load;&lt;talked to danule client is s no shwo &gt; No show per Daniel </t>
  </si>
  <si>
    <t>2515458</t>
  </si>
  <si>
    <t>2515908</t>
  </si>
  <si>
    <t>2527245</t>
  </si>
  <si>
    <t>2530610</t>
  </si>
  <si>
    <t>2530931</t>
  </si>
  <si>
    <t>2531388</t>
  </si>
  <si>
    <t>2506918</t>
  </si>
  <si>
    <t>2535909</t>
  </si>
  <si>
    <t>2517705</t>
  </si>
  <si>
    <t>2491463</t>
  </si>
  <si>
    <t xml:space="preserve">no load;&lt;Patient was discharged per.Eric &gt; Approve no show </t>
  </si>
  <si>
    <t>2491566</t>
  </si>
  <si>
    <t xml:space="preserve">no load;&lt;Patient not feeling good rescheduled apt. per.Anissa &gt; Rider not feeling ok </t>
  </si>
  <si>
    <t>2526503</t>
  </si>
  <si>
    <t>2491557</t>
  </si>
  <si>
    <t>&lt;Patient in group wont be ready until 10am per.Darlene &gt;  Approved cancel</t>
  </si>
  <si>
    <t>2516744</t>
  </si>
  <si>
    <t>2522619</t>
  </si>
  <si>
    <t>2518995</t>
  </si>
  <si>
    <t>2518999</t>
  </si>
  <si>
    <t>2527816</t>
  </si>
  <si>
    <t xml:space="preserve">  member PU time is to be set for 3;30 Dropoff Location Phone: 3122565266</t>
  </si>
  <si>
    <t>2527272</t>
  </si>
  <si>
    <t xml:space="preserve">no load;&lt;cant get in touch with first transit clint is a no show&gt; Approve no show </t>
  </si>
  <si>
    <t>2491905</t>
  </si>
  <si>
    <t xml:space="preserve">no load;&lt;talked to zandra waited 10 minutes  client is a no show&gt; Approve no show </t>
  </si>
  <si>
    <t>2496684</t>
  </si>
  <si>
    <t xml:space="preserve">no load; called member and TD , both with no response. NO show approved after 16 mins at PU </t>
  </si>
  <si>
    <t>2510137</t>
  </si>
  <si>
    <t>2530632</t>
  </si>
  <si>
    <t>2531658</t>
  </si>
  <si>
    <t>2529468</t>
  </si>
  <si>
    <t>2530955</t>
  </si>
  <si>
    <t>2527866</t>
  </si>
  <si>
    <t>2532917</t>
  </si>
  <si>
    <t>2508106</t>
  </si>
  <si>
    <t xml:space="preserve">  Dropoff Location Phone: 7739885590</t>
  </si>
  <si>
    <t>2527411</t>
  </si>
  <si>
    <t>2527644</t>
  </si>
  <si>
    <t>2527416</t>
  </si>
  <si>
    <t>2526547</t>
  </si>
  <si>
    <t xml:space="preserve">no load;&lt;talked to maryum client is a no show &gt; Approve no show </t>
  </si>
  <si>
    <t>2526560</t>
  </si>
  <si>
    <t xml:space="preserve">  WC ready</t>
  </si>
  <si>
    <t>2514829</t>
  </si>
  <si>
    <t>2515200</t>
  </si>
  <si>
    <t xml:space="preserve">no load;&lt;talked to Celia client is a no show  &gt; Approve no show </t>
  </si>
  <si>
    <t>2532400</t>
  </si>
  <si>
    <t xml:space="preserve">no load;&lt;talked to sammatha client is a no show &gt; Approve no show </t>
  </si>
  <si>
    <t>2492500</t>
  </si>
  <si>
    <t xml:space="preserve">no load;&lt;talked to dispatch client is a bo show &gt; Approve no show </t>
  </si>
  <si>
    <t>2492668</t>
  </si>
  <si>
    <t>2492747</t>
  </si>
  <si>
    <t>2528032</t>
  </si>
  <si>
    <t>2530962</t>
  </si>
  <si>
    <t>2530691</t>
  </si>
  <si>
    <t>2529038</t>
  </si>
  <si>
    <t>2530993</t>
  </si>
  <si>
    <t xml:space="preserve">  Trip Cancelled - Novus</t>
  </si>
  <si>
    <t>2533075</t>
  </si>
  <si>
    <t>2532012</t>
  </si>
  <si>
    <t>2530334</t>
  </si>
  <si>
    <t xml:space="preserve">  Dropoff Location Phone: 7739218000</t>
  </si>
  <si>
    <t>2530982</t>
  </si>
  <si>
    <t>2529177</t>
  </si>
  <si>
    <t>&lt;trans dev not answering and the mber said they changed his appointment time &gt;  Approved cancel Dropoff Location Phone: 7738343531</t>
  </si>
  <si>
    <t>2493476</t>
  </si>
  <si>
    <t>2493182</t>
  </si>
  <si>
    <t>2493181</t>
  </si>
  <si>
    <t>2527690</t>
  </si>
  <si>
    <t xml:space="preserve">  Dropoff Location Phone: 7085003171</t>
  </si>
  <si>
    <t>2518943</t>
  </si>
  <si>
    <t>2518948</t>
  </si>
  <si>
    <t xml:space="preserve">  Running late</t>
  </si>
  <si>
    <t>2496833</t>
  </si>
  <si>
    <t xml:space="preserve">  Dropoff Location Phone: 8728421431</t>
  </si>
  <si>
    <t>2506231</t>
  </si>
  <si>
    <t xml:space="preserve">no load;&lt;talked mara client is a no show &gt; &lt;talked mara client is a no show &gt; </t>
  </si>
  <si>
    <t>2493338</t>
  </si>
  <si>
    <t>2532859</t>
  </si>
  <si>
    <t xml:space="preserve">no load;&lt;talked to samatha client is a no show &gt; talked to samatha client is a no show &gt; </t>
  </si>
  <si>
    <t>2533980</t>
  </si>
  <si>
    <t xml:space="preserve">no load;&lt;talked to sindey clien is a no show &gt; &lt;talked to sindey clien is a no show &gt; </t>
  </si>
  <si>
    <t>2536151</t>
  </si>
  <si>
    <t>2531861</t>
  </si>
  <si>
    <t>2532037</t>
  </si>
  <si>
    <t>2530336</t>
  </si>
  <si>
    <t>2530816</t>
  </si>
  <si>
    <t>2520265</t>
  </si>
  <si>
    <t xml:space="preserve">no load;&lt;talked to tramanca clent is a no show &gt; talked to tramanca clent is a no show &gt; </t>
  </si>
  <si>
    <t>2504682</t>
  </si>
  <si>
    <t>2493858</t>
  </si>
  <si>
    <t>2537226</t>
  </si>
  <si>
    <t>2526585</t>
  </si>
  <si>
    <t>2527789</t>
  </si>
  <si>
    <t>2535823</t>
  </si>
  <si>
    <t xml:space="preserve">  Dropoff Location Phone: 7739562075</t>
  </si>
  <si>
    <t>2535814</t>
  </si>
  <si>
    <t xml:space="preserve">no load;&lt;Patient not ready yet.Getting a ride home no longer needs transportation per.Mary &gt; Approve no show </t>
  </si>
  <si>
    <t>2528029</t>
  </si>
  <si>
    <t>2537219</t>
  </si>
  <si>
    <t xml:space="preserve">no load;&lt;talked daneal to client is a no show &gt; talked daneal to client is a no show &gt; </t>
  </si>
  <si>
    <t>2494320</t>
  </si>
  <si>
    <t>2531051</t>
  </si>
  <si>
    <t>2532448</t>
  </si>
  <si>
    <t>2537377</t>
  </si>
  <si>
    <t>2493824</t>
  </si>
  <si>
    <t>2497063</t>
  </si>
  <si>
    <t xml:space="preserve">&lt;talked to ashley client is a no show &gt; </t>
  </si>
  <si>
    <t>2539171</t>
  </si>
  <si>
    <t xml:space="preserve">  Approved cancel Dropoff Location Phone: 3126319580</t>
  </si>
  <si>
    <t>2538184</t>
  </si>
  <si>
    <t>2500592</t>
  </si>
  <si>
    <t>2515510</t>
  </si>
  <si>
    <t>2520695</t>
  </si>
  <si>
    <t>2538096</t>
  </si>
  <si>
    <t>2538183</t>
  </si>
  <si>
    <t>2538745</t>
  </si>
  <si>
    <t>2539207</t>
  </si>
  <si>
    <t>2496217</t>
  </si>
  <si>
    <t>2536294</t>
  </si>
  <si>
    <t>2537042</t>
  </si>
  <si>
    <t>2537056</t>
  </si>
  <si>
    <t xml:space="preserve">  Dropoff Location Phone: 5732305895</t>
  </si>
  <si>
    <t>2509573</t>
  </si>
  <si>
    <t>2499220</t>
  </si>
  <si>
    <t>2510802</t>
  </si>
  <si>
    <t xml:space="preserve">no load;&lt;Talked to Jenny from Trendev no load &gt; Approve no show </t>
  </si>
  <si>
    <t>2521769</t>
  </si>
  <si>
    <t xml:space="preserve">no load;&lt;Can't reach Trendev for the second time no load &gt; Can't reach Trendev for the second time no load &gt; </t>
  </si>
  <si>
    <t>2481785</t>
  </si>
  <si>
    <t>2481819</t>
  </si>
  <si>
    <t>2481717</t>
  </si>
  <si>
    <t>2481607</t>
  </si>
  <si>
    <t>2517007</t>
  </si>
  <si>
    <t>2518837</t>
  </si>
  <si>
    <t xml:space="preserve">  Dropoff Location Phone: 7734265330</t>
  </si>
  <si>
    <t>2514821</t>
  </si>
  <si>
    <t>2509574</t>
  </si>
  <si>
    <t>2522013</t>
  </si>
  <si>
    <t>2521185</t>
  </si>
  <si>
    <t>2481606</t>
  </si>
  <si>
    <t>2500358</t>
  </si>
  <si>
    <t xml:space="preserve">  Dropoff Location Phone: 7735055424</t>
  </si>
  <si>
    <t>2519378</t>
  </si>
  <si>
    <t>2520823</t>
  </si>
  <si>
    <t xml:space="preserve">  Dropoff Location Phone: 7736846763</t>
  </si>
  <si>
    <t>2517676</t>
  </si>
  <si>
    <t>2520600</t>
  </si>
  <si>
    <t>2514541</t>
  </si>
  <si>
    <t>2482313</t>
  </si>
  <si>
    <t>2482343</t>
  </si>
  <si>
    <t>2482243</t>
  </si>
  <si>
    <t>2482483</t>
  </si>
  <si>
    <t xml:space="preserve">no load;&lt;Talked Jennie from Trendev no load &gt; Approve no show </t>
  </si>
  <si>
    <t>2482774</t>
  </si>
  <si>
    <t>2482781</t>
  </si>
  <si>
    <t>2519375</t>
  </si>
  <si>
    <t>2523653</t>
  </si>
  <si>
    <t>2519647</t>
  </si>
  <si>
    <t>2520681</t>
  </si>
  <si>
    <t>2523672</t>
  </si>
  <si>
    <t xml:space="preserve">no load;&lt;Talked to Trendev no load &gt; Approve no show </t>
  </si>
  <si>
    <t>2522088</t>
  </si>
  <si>
    <t>2521659</t>
  </si>
  <si>
    <t>2522023</t>
  </si>
  <si>
    <t>2484642</t>
  </si>
  <si>
    <t xml:space="preserve">no load;&lt;Talked to Trendev member no load &gt; Approve no show </t>
  </si>
  <si>
    <t>2484695</t>
  </si>
  <si>
    <t>2484529</t>
  </si>
  <si>
    <t>2484677</t>
  </si>
  <si>
    <t>2505189</t>
  </si>
  <si>
    <t>2525401</t>
  </si>
  <si>
    <t>2526271</t>
  </si>
  <si>
    <t>2484493</t>
  </si>
  <si>
    <t>2509575</t>
  </si>
  <si>
    <t>2499221</t>
  </si>
  <si>
    <t>2521829</t>
  </si>
  <si>
    <t>2522610</t>
  </si>
  <si>
    <t>2486062</t>
  </si>
  <si>
    <t>2500966</t>
  </si>
  <si>
    <t>2486343</t>
  </si>
  <si>
    <t>&lt;Client never was picked up she's still home in im doing a return trip !&gt; Approved  Ready for PU</t>
  </si>
  <si>
    <t>2486364</t>
  </si>
  <si>
    <t>2486378</t>
  </si>
  <si>
    <t>2486443</t>
  </si>
  <si>
    <t>2486444</t>
  </si>
  <si>
    <t>2528943</t>
  </si>
  <si>
    <t>2529105</t>
  </si>
  <si>
    <t>2529134</t>
  </si>
  <si>
    <t>2528052</t>
  </si>
  <si>
    <t>2488443</t>
  </si>
  <si>
    <t>2488444</t>
  </si>
  <si>
    <t>2488481</t>
  </si>
  <si>
    <t xml:space="preserve">no load;&lt;Talked to Trendev  cancel at door no load &gt; Approve no show </t>
  </si>
  <si>
    <t>2488540</t>
  </si>
  <si>
    <t>2488541</t>
  </si>
  <si>
    <t>2488550</t>
  </si>
  <si>
    <t>2488524</t>
  </si>
  <si>
    <t xml:space="preserve">no load;&lt;Can't reach member phone disconnected blew horn several times no one responded  no load&gt; unable to contact rider, moving to next trip </t>
  </si>
  <si>
    <t>2488172</t>
  </si>
  <si>
    <t>2488173</t>
  </si>
  <si>
    <t>2509577</t>
  </si>
  <si>
    <t>2520317</t>
  </si>
  <si>
    <t>2488405</t>
  </si>
  <si>
    <t>2488316</t>
  </si>
  <si>
    <t>2488343</t>
  </si>
  <si>
    <t>2528173</t>
  </si>
  <si>
    <t xml:space="preserve">no load;&lt;Talked to lena from Trendev can't reach member no load &gt; Talked to lena from Trendev can't reach member no load &gt; </t>
  </si>
  <si>
    <t>2514828</t>
  </si>
  <si>
    <t>2518923</t>
  </si>
  <si>
    <t>2525429</t>
  </si>
  <si>
    <t>2508100</t>
  </si>
  <si>
    <t>2492763</t>
  </si>
  <si>
    <t>2492250</t>
  </si>
  <si>
    <t>2532698</t>
  </si>
  <si>
    <t>2492295</t>
  </si>
  <si>
    <t>2492724</t>
  </si>
  <si>
    <t xml:space="preserve">no load;&lt;Talked to Trendev Jackie canceled at door can't reach member no load &gt; Approve no show </t>
  </si>
  <si>
    <t>2492760</t>
  </si>
  <si>
    <t>2531745</t>
  </si>
  <si>
    <t xml:space="preserve">no load;&lt;Talked to Trendev said a driver picked her up already &gt; No show approved Approve no show </t>
  </si>
  <si>
    <t>2509579</t>
  </si>
  <si>
    <t>2499225</t>
  </si>
  <si>
    <t>2510808</t>
  </si>
  <si>
    <t>2493142</t>
  </si>
  <si>
    <t>2495190</t>
  </si>
  <si>
    <t>2493337</t>
  </si>
  <si>
    <t>2531934</t>
  </si>
  <si>
    <t>2531943</t>
  </si>
  <si>
    <t>2531873</t>
  </si>
  <si>
    <t>2530730</t>
  </si>
  <si>
    <t>2528952</t>
  </si>
  <si>
    <t>2493433</t>
  </si>
  <si>
    <t>2493227</t>
  </si>
  <si>
    <t>2536030</t>
  </si>
  <si>
    <t>2537196</t>
  </si>
  <si>
    <t>2493939</t>
  </si>
  <si>
    <t>2494048</t>
  </si>
  <si>
    <t>2537050</t>
  </si>
  <si>
    <t>2536191</t>
  </si>
  <si>
    <t>2535961</t>
  </si>
  <si>
    <t xml:space="preserve">  Dropoff Location Phone: 7735014946</t>
  </si>
  <si>
    <t>2536199</t>
  </si>
  <si>
    <t>2531672</t>
  </si>
  <si>
    <t>2494288</t>
  </si>
  <si>
    <t>no load;&lt;phone disconnected.  can not be find client &gt; No show approved&lt;Talked to Trendev Denean they said member canceled ride no load &gt; Approve no show  Dropoff Location Phone: 8727607448</t>
  </si>
  <si>
    <t>2494286</t>
  </si>
  <si>
    <t xml:space="preserve">no load;&lt;Talked to Trendev  maria member canceled ride for today no load&gt; Approve no show </t>
  </si>
  <si>
    <t>2532384</t>
  </si>
  <si>
    <t xml:space="preserve">no load;&lt;Talked to Trendev can't reach member no load &gt; Approve no show </t>
  </si>
  <si>
    <t>2538073</t>
  </si>
  <si>
    <t xml:space="preserve">no load;&lt;spoke with client she has to rescheduled canceled ride Trendev not answering &gt; Approve no show </t>
  </si>
  <si>
    <t>2493877</t>
  </si>
  <si>
    <t>2514830</t>
  </si>
  <si>
    <t>2509581</t>
  </si>
  <si>
    <t>2499227</t>
  </si>
  <si>
    <t>2539104</t>
  </si>
  <si>
    <t>2538176</t>
  </si>
  <si>
    <t>2520290</t>
  </si>
  <si>
    <t xml:space="preserve">no load;&lt;Can't reach client not responding to phone calls or blowing of horn no load &gt; Approve no show </t>
  </si>
  <si>
    <t>2495795</t>
  </si>
  <si>
    <t>2539187</t>
  </si>
  <si>
    <t>2539194</t>
  </si>
  <si>
    <t>2496149</t>
  </si>
  <si>
    <t>2496150</t>
  </si>
  <si>
    <t>2496306</t>
  </si>
  <si>
    <t xml:space="preserve">no load;&lt;Client not responding to phone calls or blowing of horn no load &gt; Approve no show </t>
  </si>
  <si>
    <t>2531846</t>
  </si>
  <si>
    <t xml:space="preserve">no load;&lt;Client is already at Dialysis no load &gt; Approve no show </t>
  </si>
  <si>
    <t>2536388</t>
  </si>
  <si>
    <t>2536397</t>
  </si>
  <si>
    <t>2531532</t>
  </si>
  <si>
    <t>2496095</t>
  </si>
  <si>
    <t>2497909</t>
  </si>
  <si>
    <t>2497910</t>
  </si>
  <si>
    <t>2497824</t>
  </si>
  <si>
    <t>2497825</t>
  </si>
  <si>
    <t>2497839</t>
  </si>
  <si>
    <t>2515216</t>
  </si>
  <si>
    <t>2531554</t>
  </si>
  <si>
    <t>2497866</t>
  </si>
  <si>
    <t>2497867</t>
  </si>
  <si>
    <t>2497967</t>
  </si>
  <si>
    <t>2498060</t>
  </si>
  <si>
    <t>2498982</t>
  </si>
  <si>
    <t>2499230</t>
  </si>
  <si>
    <t>2509583</t>
  </si>
  <si>
    <t>2515757</t>
  </si>
  <si>
    <t xml:space="preserve">no load;&lt;Mr. Simmons canceled at the door&gt; Mr. Simmons canceled at the door&gt; </t>
  </si>
  <si>
    <t>2515326</t>
  </si>
  <si>
    <t>2518836</t>
  </si>
  <si>
    <t xml:space="preserve">no load;&lt;they didn’t pick up the phone also they didn’t come to the door. I arrived here at 12:19 it is now 12:32. ￼&gt; Approve no show </t>
  </si>
  <si>
    <t>2522109</t>
  </si>
  <si>
    <t>2522234</t>
  </si>
  <si>
    <t>2522593</t>
  </si>
  <si>
    <t>2524364</t>
  </si>
  <si>
    <t>2511298</t>
  </si>
  <si>
    <t xml:space="preserve">no load;&lt;Talk to the client he said his wife hurt herself. He meant to cancel this ride yesterday.&gt; Talk to the client he said his wife hurt herself. He meant t </t>
  </si>
  <si>
    <t>2527480</t>
  </si>
  <si>
    <t>2497185</t>
  </si>
  <si>
    <t>2505133</t>
  </si>
  <si>
    <t xml:space="preserve">no load;&lt;She canceled at the door&gt; Rider cancelled at PU </t>
  </si>
  <si>
    <t>2522291</t>
  </si>
  <si>
    <t>SSH_2928716</t>
  </si>
  <si>
    <t>&lt;The number I call was like a business number. Is there anyway that you guys can get in touch with her?&gt;  ready</t>
  </si>
  <si>
    <t>2490607</t>
  </si>
  <si>
    <t>2488551</t>
  </si>
  <si>
    <t>2488224</t>
  </si>
  <si>
    <t>2526466</t>
  </si>
  <si>
    <t xml:space="preserve">no load;&lt;￼ I called him and he left&gt; Approve no show </t>
  </si>
  <si>
    <t>2529139</t>
  </si>
  <si>
    <t>2529147</t>
  </si>
  <si>
    <t>2488251</t>
  </si>
  <si>
    <t xml:space="preserve">no load;&lt;Charles was already gone&gt; Approve no show </t>
  </si>
  <si>
    <t>2529587</t>
  </si>
  <si>
    <t xml:space="preserve">  Member not ready until 10am Dropoff Location Phone: 7735521441</t>
  </si>
  <si>
    <t>2529628</t>
  </si>
  <si>
    <t xml:space="preserve">no load;&lt;he forget to cancel the ride&gt; Rider forgot to cancel trip </t>
  </si>
  <si>
    <t>2529240</t>
  </si>
  <si>
    <t xml:space="preserve">no load;&lt;￼ mother canceled the ride&gt; Approve no show </t>
  </si>
  <si>
    <t>2530733</t>
  </si>
  <si>
    <t>2510138</t>
  </si>
  <si>
    <t xml:space="preserve">no load;&lt;Client got a ride home&gt; &lt;Client got a ride home </t>
  </si>
  <si>
    <t>2491668</t>
  </si>
  <si>
    <t>2527813</t>
  </si>
  <si>
    <t>2517564</t>
  </si>
  <si>
    <t>2517161</t>
  </si>
  <si>
    <t xml:space="preserve">  stroller and car seat Dropoff Location Phone: 7089049882</t>
  </si>
  <si>
    <t>2519446</t>
  </si>
  <si>
    <t>2529237</t>
  </si>
  <si>
    <t xml:space="preserve">no load;&lt;Mother canceled for Tina Griffin, and for Carrie Griffin&gt; Approve no show </t>
  </si>
  <si>
    <t>2508197</t>
  </si>
  <si>
    <t>2509886</t>
  </si>
  <si>
    <t>2527527</t>
  </si>
  <si>
    <t xml:space="preserve">  Dropoff Location Phone: 3128904699</t>
  </si>
  <si>
    <t>2536165</t>
  </si>
  <si>
    <t>2536239</t>
  </si>
  <si>
    <t xml:space="preserve">no load;&lt;Never came outside couldn’t get in touch with her&gt; Never came outside couldn’t get in touch with her&gt; </t>
  </si>
  <si>
    <t>2533889</t>
  </si>
  <si>
    <t>2533894</t>
  </si>
  <si>
    <t>2493228</t>
  </si>
  <si>
    <t>2531977</t>
  </si>
  <si>
    <t xml:space="preserve">no load;&lt;she not here got drop off &gt; Approve no show </t>
  </si>
  <si>
    <t>2521766</t>
  </si>
  <si>
    <t>2521768</t>
  </si>
  <si>
    <t>2538742</t>
  </si>
  <si>
    <t>2538957</t>
  </si>
  <si>
    <t>2538782</t>
  </si>
  <si>
    <t>2534840</t>
  </si>
  <si>
    <t>2537038</t>
  </si>
  <si>
    <t>2537069</t>
  </si>
  <si>
    <t>2536714</t>
  </si>
  <si>
    <t xml:space="preserve">no load;&lt;Client never showed up&gt; Approve no show &lt;Client never showed up </t>
  </si>
  <si>
    <t>2496057</t>
  </si>
  <si>
    <t xml:space="preserve">no load;&lt;don’t need the ride &gt; don’t need the ride &gt; </t>
  </si>
  <si>
    <t>2536288</t>
  </si>
  <si>
    <t xml:space="preserve">no load;&lt;don’t need the ride &gt; &lt;don’t need the ride &gt; </t>
  </si>
  <si>
    <t>2538081</t>
  </si>
  <si>
    <t xml:space="preserve">no load;&lt;￼she said she sick and want be ready into Monday morning at 8:am&gt; she said she sick and want be ready into Monday morning at 8:am&gt; </t>
  </si>
  <si>
    <t>2497864</t>
  </si>
  <si>
    <t xml:space="preserve">no load; I just spoke with the security guy he said nobody is here </t>
  </si>
  <si>
    <t>2540536</t>
  </si>
  <si>
    <t>2497750</t>
  </si>
  <si>
    <t>2497757</t>
  </si>
  <si>
    <t>2498061</t>
  </si>
  <si>
    <t>2498983</t>
  </si>
  <si>
    <t>MPG per vehicle.xlsx</t>
  </si>
  <si>
    <t>AAA Fuel Record.xlsx</t>
  </si>
  <si>
    <t>Miles\</t>
  </si>
  <si>
    <t>FilePath9</t>
  </si>
  <si>
    <t>FilePath7</t>
  </si>
  <si>
    <t>FilePath8</t>
  </si>
  <si>
    <t>UBER\</t>
  </si>
  <si>
    <t>DIV 12 Partner List.xlsx</t>
  </si>
  <si>
    <t>DIV 12 Partner Rates.xlsx</t>
  </si>
  <si>
    <t>DIV 12 Partner Change.xlsx</t>
  </si>
  <si>
    <t>BROOKES TRANSPORTATION, LLC</t>
  </si>
  <si>
    <t>MELINIO TRANSIT</t>
  </si>
  <si>
    <t>ORION TRANSIT, LLC</t>
  </si>
  <si>
    <t>ANTHONY MANSI</t>
  </si>
  <si>
    <t>SERENA ATKINS</t>
  </si>
  <si>
    <t>JAZMERE SMITH</t>
  </si>
  <si>
    <t>RONEIA SANDERS</t>
  </si>
  <si>
    <t>ALYSHA DUFFY</t>
  </si>
  <si>
    <t>TIERRA DIXON</t>
  </si>
  <si>
    <t>QUENTON FIELDS JR</t>
  </si>
  <si>
    <t>MATT BRUCE</t>
  </si>
  <si>
    <t>VANESSA FREEMAN</t>
  </si>
  <si>
    <t>KENNETH GAFFNEY</t>
  </si>
  <si>
    <t>DARRIE RUN</t>
  </si>
  <si>
    <t>JOEL GOMEZ</t>
  </si>
  <si>
    <t>QUALIL WELLS</t>
  </si>
  <si>
    <t>JAMAR JOHNSON</t>
  </si>
  <si>
    <t>CALVIN JOHNSON III</t>
  </si>
  <si>
    <t>BRIANNA JOHNSON</t>
  </si>
  <si>
    <t>STEVE P</t>
  </si>
  <si>
    <t>ALICIA MOORE</t>
  </si>
  <si>
    <t>BARTHOLOMEW LEWIS JR</t>
  </si>
  <si>
    <t>NICOLE MATTHEWS</t>
  </si>
  <si>
    <t>BASIL MALIK</t>
  </si>
  <si>
    <t>MARIA GUY</t>
  </si>
  <si>
    <t>JEFFREY WRIGHT JR</t>
  </si>
  <si>
    <t>ASHLEY RUSSELL</t>
  </si>
  <si>
    <t>CRYSTAL WILSON</t>
  </si>
  <si>
    <t>KEYONDA WARREN TERRY</t>
  </si>
  <si>
    <t>DARRELL BURSE</t>
  </si>
  <si>
    <t>EDWARD GORRELL</t>
  </si>
  <si>
    <t>TAUFIQ BROWN</t>
  </si>
  <si>
    <t>NATOSHA-MAREE DICKERSON</t>
  </si>
  <si>
    <t>SHEERAN SIMPSON</t>
  </si>
  <si>
    <t>DAVID JONES</t>
  </si>
  <si>
    <t>JAWWAD RUSHDI</t>
  </si>
  <si>
    <t>ANTONIO GRESHAM</t>
  </si>
  <si>
    <t>LENYCE MCGRIFF</t>
  </si>
  <si>
    <t>TAHJANEIA CHANEY-HARRIS</t>
  </si>
  <si>
    <t>JAMAR COLES</t>
  </si>
  <si>
    <t>FADUL OSMAN</t>
  </si>
  <si>
    <t>ABDELAZIM OSMAN</t>
  </si>
  <si>
    <t>MAINE BENNERMAN</t>
  </si>
  <si>
    <t>MICHAEL JONES</t>
  </si>
  <si>
    <t>Fleet@meliniotransit.com</t>
  </si>
  <si>
    <t>tony@oriontransitdfw.com</t>
  </si>
  <si>
    <t>transportationbrookes@gmail.com</t>
  </si>
  <si>
    <t>jakegianna32@outlook.com</t>
  </si>
  <si>
    <t>zimoosman@gmail.com</t>
  </si>
  <si>
    <t>Core Hours Rev</t>
  </si>
  <si>
    <t>CHI Non-KPI</t>
  </si>
  <si>
    <t xml:space="preserve">Driver Earnings Excl </t>
  </si>
  <si>
    <t>MOHAMED MOHAMED</t>
  </si>
  <si>
    <t>MAURICE JETER</t>
  </si>
  <si>
    <t>CHRISTINA BAKER</t>
  </si>
  <si>
    <t>ANTHONY LEE</t>
  </si>
  <si>
    <t>ASHLEY BURNS</t>
  </si>
  <si>
    <t>TYONNAH BUXTON</t>
  </si>
  <si>
    <t>ANNTONISHA BAILEY</t>
  </si>
  <si>
    <t>CARL WILKEY</t>
  </si>
  <si>
    <t>TRAVIS JOHNSON</t>
  </si>
  <si>
    <t>STEVEN BROWN</t>
  </si>
  <si>
    <t>DEISHANDA SAUNDERS</t>
  </si>
  <si>
    <t>JASMINE JENKINS CREEN</t>
  </si>
  <si>
    <t>LALAA HILL</t>
  </si>
  <si>
    <t>MAWIA HAMED</t>
  </si>
  <si>
    <t>RR CONVEYANCE LLC</t>
  </si>
  <si>
    <t>KINGS TRANSPORT LLC</t>
  </si>
  <si>
    <t>GIANNA TRANSPORT LLC</t>
  </si>
  <si>
    <t>khlil3001@hotmail.com</t>
  </si>
  <si>
    <t>mg09233@gmail.com</t>
  </si>
  <si>
    <t>ZAHIA LLC</t>
  </si>
  <si>
    <t>zahiacare21@gmail.com</t>
  </si>
  <si>
    <t>KAREEM GILMORE</t>
  </si>
  <si>
    <t>DARIUS RIDEOUT</t>
  </si>
  <si>
    <t>JACQUELINE VALENTIN</t>
  </si>
  <si>
    <t>JAMES REESE III</t>
  </si>
  <si>
    <t>RAKIM ROBINSON</t>
  </si>
  <si>
    <t>IKEEM COLE</t>
  </si>
  <si>
    <t>VICTOR RODRIGUEZ</t>
  </si>
  <si>
    <t>IBRAHIM EMMANUEL</t>
  </si>
  <si>
    <t>IBRAHIM K</t>
  </si>
  <si>
    <t>JASMIN MILLIGAN</t>
  </si>
  <si>
    <t>MO HAROUN</t>
  </si>
  <si>
    <t>RASHEEDA RIVERS</t>
  </si>
  <si>
    <t>DARYL PRICE</t>
  </si>
  <si>
    <t>AMANDA HICKS</t>
  </si>
  <si>
    <t>MAMOUDOU DIALLO</t>
  </si>
  <si>
    <t>JOSE NUNEZ ALMONTE</t>
  </si>
  <si>
    <t>DEMETRIUS NICKERSON</t>
  </si>
  <si>
    <t>JOSHUA BROWN</t>
  </si>
  <si>
    <t>NATASHA JOHNSON</t>
  </si>
  <si>
    <t>MICHAEL R</t>
  </si>
  <si>
    <t>MAXIMILLIAN TARNAPOLSKY</t>
  </si>
  <si>
    <t>MUSAB SABAH ELKHEIR</t>
  </si>
  <si>
    <t>ISMAEL ANFLOUS</t>
  </si>
  <si>
    <t>ALMOTHNA MOHAMED</t>
  </si>
  <si>
    <t>almothna20@yahoo.com</t>
  </si>
  <si>
    <t>ABDOUN ALI</t>
  </si>
  <si>
    <t>atigatig214@gmail.com</t>
  </si>
  <si>
    <t>SABAH SBH LLC</t>
  </si>
  <si>
    <t>lmohamedsabah@yahoo.com</t>
  </si>
  <si>
    <t>musab1988@hotmail.com</t>
  </si>
  <si>
    <t>AHMED RAHMTALLA</t>
  </si>
  <si>
    <t>shaaeldin@hotmail.com</t>
  </si>
  <si>
    <t>Total_Expired_Offers</t>
  </si>
  <si>
    <t>SANDRA BENTLEY</t>
  </si>
  <si>
    <t>FARAHAT M SAYED</t>
  </si>
  <si>
    <t>JOHNNY RAMIREZ</t>
  </si>
  <si>
    <t>BLAIR TAYLOR</t>
  </si>
  <si>
    <t>CARLOS DEL ANASTASIO</t>
  </si>
  <si>
    <t>KAPRIA DAVENPORT</t>
  </si>
  <si>
    <t>RAY CEDANO RODRIGUEZ</t>
  </si>
  <si>
    <t>MOHAMED SABAH ELKHEIR</t>
  </si>
  <si>
    <t>Rate.PARTNER NAME</t>
  </si>
  <si>
    <t>Rate.Approved Extra Hours</t>
  </si>
  <si>
    <t>Rate.Required</t>
  </si>
  <si>
    <t>UMDOR LIMO SERVICES LLC</t>
  </si>
  <si>
    <t>BENJAMIN HARRIS</t>
  </si>
  <si>
    <t>JAHIMIR BRIGHT</t>
  </si>
  <si>
    <t>KARON MONAIR</t>
  </si>
  <si>
    <t>STEVEN BAILEY</t>
  </si>
  <si>
    <t>WADE HORTON</t>
  </si>
  <si>
    <t>DEREK NORWOOD</t>
  </si>
  <si>
    <t>NIKKESHI HOLMES</t>
  </si>
  <si>
    <t>NIYDEIRA HARRISON</t>
  </si>
  <si>
    <t>EBONY STEWART MCBRIDE</t>
  </si>
  <si>
    <t>RASHEEN SINGLETARY</t>
  </si>
  <si>
    <t>ADAMOU IDRISSA</t>
  </si>
  <si>
    <t>farahatsayed@hotmail.com</t>
  </si>
  <si>
    <t>ismailouarzazate1993@gmail.com</t>
  </si>
  <si>
    <t>MOHAMED SHAMSELDIN</t>
  </si>
  <si>
    <t>SHANIQUA ADAMS</t>
  </si>
  <si>
    <t>TRACY TAYLOR</t>
  </si>
  <si>
    <t>CHRISTIAN UKAH II</t>
  </si>
  <si>
    <t>KHALEEM NESMITH</t>
  </si>
  <si>
    <t>DONTAE WHITE</t>
  </si>
  <si>
    <t>MARY WITT</t>
  </si>
  <si>
    <t>MICHAEL HOGWOOD JR</t>
  </si>
  <si>
    <t>SHENA JOHNSON</t>
  </si>
  <si>
    <t>MOAAZ KHAIRY</t>
  </si>
  <si>
    <t>KYRA D BERRY</t>
  </si>
  <si>
    <t>ABUALHASSAN ALAESSER</t>
  </si>
  <si>
    <t>MOAAZKO TRANSIT LLC</t>
  </si>
  <si>
    <t>moaazkhairy345@gmail.com</t>
  </si>
  <si>
    <t>hassanarizona@hotmail.com</t>
  </si>
  <si>
    <t>WHITE NILE TRANSIT</t>
  </si>
  <si>
    <t>PUNCTUAL SERVICE LLC</t>
  </si>
  <si>
    <t>QUAKER STATE TRANS LLC</t>
  </si>
  <si>
    <t>SAFE DRIVE TRANS LLC</t>
  </si>
  <si>
    <t>ABOU RANI TRANSIT LLC</t>
  </si>
  <si>
    <t>JOUD LLC</t>
  </si>
  <si>
    <t>NUBIANTOD LLC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</si>
  <si>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</si>
  <si>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</si>
  <si>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</si>
  <si>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</si>
  <si>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</si>
  <si>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</si>
  <si>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</si>
  <si>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</si>
  <si>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</si>
  <si>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</si>
  <si>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</si>
  <si>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</si>
  <si>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</si>
  <si>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LEGEND</t>
  </si>
  <si>
    <t>Unable to Find Driver</t>
  </si>
  <si>
    <t>Not Yet In Service</t>
  </si>
  <si>
    <t>Disqualified /TERM</t>
  </si>
  <si>
    <t>LATASHA PEGUES</t>
  </si>
  <si>
    <t>INA ALSBROOKS</t>
  </si>
  <si>
    <t>CASSIUS HARRIS</t>
  </si>
  <si>
    <t>ELTAYEB NADEEF</t>
  </si>
  <si>
    <t>ISAIAH FOSTER</t>
  </si>
  <si>
    <t>QADDAFI SMITH</t>
  </si>
  <si>
    <t>JUAN CARABALLO DE JESUS</t>
  </si>
  <si>
    <t>GERARDO GONZALEZ</t>
  </si>
  <si>
    <t>OSMAN ALI</t>
  </si>
  <si>
    <t>SAID KABDI</t>
  </si>
  <si>
    <t>AHMED MOHAMED</t>
  </si>
  <si>
    <t>Total Expired Offers</t>
  </si>
  <si>
    <t>LEON MCCOY JR</t>
  </si>
  <si>
    <t>VDPMVReportOperatorCheck.Online Hours</t>
  </si>
  <si>
    <t>VDPMVReportOperatorCheck.Total Comp Trips</t>
  </si>
  <si>
    <t>VDPMVReportOperatorCheck.WeekN</t>
  </si>
  <si>
    <t>abaalla429@gmail.com</t>
  </si>
  <si>
    <t>said7kabdi@gmail.com</t>
  </si>
  <si>
    <t>SHAMS TRANSPORTATION LLC</t>
  </si>
  <si>
    <t>TIBSHA TRANSPORTATION</t>
  </si>
  <si>
    <t>tibsha215@gmail.com</t>
  </si>
  <si>
    <t>% of Hours to Forecast</t>
  </si>
  <si>
    <t>10% of Base Rate</t>
  </si>
  <si>
    <t>5% of Base Rate</t>
  </si>
  <si>
    <t>20% of Base Rate</t>
  </si>
  <si>
    <t>NICOLE WATSON</t>
  </si>
  <si>
    <t>Tolls\</t>
  </si>
  <si>
    <t>FilePath10</t>
  </si>
  <si>
    <t>TALHA MUHAMMAD</t>
  </si>
  <si>
    <t>ABDELMONEIM TAKA</t>
  </si>
  <si>
    <t>STACY MOSKOWITZ</t>
  </si>
  <si>
    <t>SHAMEL PLOWDEN</t>
  </si>
  <si>
    <t>SHAMIRA SWEETS</t>
  </si>
  <si>
    <t>ELAINA GLOVER</t>
  </si>
  <si>
    <t>DEROSHA WILSON-ANDERSON</t>
  </si>
  <si>
    <t>FRANK NARDO</t>
  </si>
  <si>
    <t>KYRA B</t>
  </si>
  <si>
    <t>TYMIR SCOTT</t>
  </si>
  <si>
    <t>StartDate</t>
  </si>
  <si>
    <t>EndDate</t>
  </si>
  <si>
    <t>Driver Name</t>
  </si>
  <si>
    <t>ASRAT WORKU</t>
  </si>
  <si>
    <t>These are missing in the Partner List</t>
  </si>
  <si>
    <t>JARA TRANS LLC</t>
  </si>
  <si>
    <t>jaratrans12@gmail.com</t>
  </si>
  <si>
    <t>ASKR AUTO INC</t>
  </si>
  <si>
    <t>ABU ANNE LLC</t>
  </si>
  <si>
    <t>QUICK STARS LLC</t>
  </si>
  <si>
    <t>FELICIA CAREY</t>
  </si>
  <si>
    <t>KENSLEY JACQUES</t>
  </si>
  <si>
    <t>MOHAMED ELFATIH-ELHAG</t>
  </si>
  <si>
    <t>RAY JEREMY</t>
  </si>
  <si>
    <t>SULIMAN LUQMAN</t>
  </si>
  <si>
    <t>COSTA CHRISTINA</t>
  </si>
  <si>
    <t>CAREY FELICIA</t>
  </si>
  <si>
    <t>ANGEL MARRERO TORRES</t>
  </si>
  <si>
    <t>BROWNE KOON</t>
  </si>
  <si>
    <t>LUQMAN SULIMAN</t>
  </si>
  <si>
    <t>PATRICK MCCLOSKEY JR</t>
  </si>
  <si>
    <t>EBONY</t>
  </si>
  <si>
    <t>STEWART MCBRIDE</t>
  </si>
  <si>
    <t>00ac7d37-8803-46d1-a201-60c9145b4504</t>
  </si>
  <si>
    <t>JOEL</t>
  </si>
  <si>
    <t>GOMEZ</t>
  </si>
  <si>
    <t>089956c4-03fb-4447-bbad-e48401de84f2</t>
  </si>
  <si>
    <t>00e4854f-8c43-4de8-ac8d-91c47a2643c1</t>
  </si>
  <si>
    <t>JASMINE</t>
  </si>
  <si>
    <t>JENKINS CREEN</t>
  </si>
  <si>
    <t>101684a9-ebea-4407-9c73-5608b5e64353</t>
  </si>
  <si>
    <t>EDWARD</t>
  </si>
  <si>
    <t>GORRELL</t>
  </si>
  <si>
    <t>345815f4-1603-49a8-88bf-85805e36e260</t>
  </si>
  <si>
    <t>11d792f9-98b7-4fe5-8c2b-555142061dab</t>
  </si>
  <si>
    <t>ABDELMONEIM</t>
  </si>
  <si>
    <t>TAKA</t>
  </si>
  <si>
    <t>19fc590c-e092-4c38-919f-857db16c4f92</t>
  </si>
  <si>
    <t>JAMAR</t>
  </si>
  <si>
    <t>JOHNSON</t>
  </si>
  <si>
    <t>c7a3038f-fbfc-4cc5-920c-7e97aab3a9bc</t>
  </si>
  <si>
    <t>1dc6e0b6-06e8-4270-80d8-bb1a66963941</t>
  </si>
  <si>
    <t>DEREK</t>
  </si>
  <si>
    <t>NORWOOD</t>
  </si>
  <si>
    <t>2966efbe-7635-4f65-bc74-c12a0ae07532</t>
  </si>
  <si>
    <t>JAHIMIR</t>
  </si>
  <si>
    <t>BRIGHT</t>
  </si>
  <si>
    <t>241bf27b-71ad-41dd-83cf-016ef9cbab51</t>
  </si>
  <si>
    <t>CASSIUS</t>
  </si>
  <si>
    <t>HARRIS</t>
  </si>
  <si>
    <t>26c5fef7-ec15-4821-b787-42cbae6e581a</t>
  </si>
  <si>
    <t>ALICIA</t>
  </si>
  <si>
    <t>MOORE</t>
  </si>
  <si>
    <t>e24dd4ef-3dea-42cf-8a5e-8a6b547b2402</t>
  </si>
  <si>
    <t>3185efdd-560e-4e92-ba93-0a9b2b8bca2f</t>
  </si>
  <si>
    <t>JAZMERE</t>
  </si>
  <si>
    <t>SMITH</t>
  </si>
  <si>
    <t>b63d61dc-4fb2-46d4-bf4b-dd26bf167636</t>
  </si>
  <si>
    <t>CHRISTIAN</t>
  </si>
  <si>
    <t>UKAH II</t>
  </si>
  <si>
    <t>431a798e-bed9-4c6c-ada1-06e59464d569</t>
  </si>
  <si>
    <t>MAINE</t>
  </si>
  <si>
    <t>BENNERMAN</t>
  </si>
  <si>
    <t>436aee57-37bb-4af5-9a0a-772efaab6e18</t>
  </si>
  <si>
    <t>ANTHONY</t>
  </si>
  <si>
    <t>MANSI</t>
  </si>
  <si>
    <t>43cd89da-836c-4fe1-b49a-618d2ae4c2c0</t>
  </si>
  <si>
    <t>KHALEEM</t>
  </si>
  <si>
    <t>NESMITH</t>
  </si>
  <si>
    <t>49f10656-3466-4c45-adcb-d9723451dbe5</t>
  </si>
  <si>
    <t>CHRISTINA</t>
  </si>
  <si>
    <t>BAKER</t>
  </si>
  <si>
    <t>cb347c99-5c35-433b-828e-ec06a26e02b0</t>
  </si>
  <si>
    <t>DONTAE</t>
  </si>
  <si>
    <t>WHITE</t>
  </si>
  <si>
    <t>4e437fcf-9ded-4738-a941-daae44ff8a2e</t>
  </si>
  <si>
    <t>IBRAHIM</t>
  </si>
  <si>
    <t>K</t>
  </si>
  <si>
    <t>59e76dd3-4d22-4ca3-ae8d-8939f66cd655</t>
  </si>
  <si>
    <t>KENSLEY</t>
  </si>
  <si>
    <t>JACQUES</t>
  </si>
  <si>
    <t>5af8f36b-d2d6-4a7f-a042-ef4113a550dc</t>
  </si>
  <si>
    <t>ASHLEY</t>
  </si>
  <si>
    <t>BURNS</t>
  </si>
  <si>
    <t>8ac77daa-08c9-4922-98b1-84953070262d</t>
  </si>
  <si>
    <t>MOHAMED</t>
  </si>
  <si>
    <t>SHAMSELDIN</t>
  </si>
  <si>
    <t>5b92375e-cb05-4a58-a73d-af26e652afb9</t>
  </si>
  <si>
    <t>JAMES</t>
  </si>
  <si>
    <t>REESE III</t>
  </si>
  <si>
    <t>7342f227-a133-41de-838e-c392e1fb8ff1</t>
  </si>
  <si>
    <t>DEISHANDA</t>
  </si>
  <si>
    <t>SAUNDERS</t>
  </si>
  <si>
    <t>676d79d1-9b1d-4a20-9d4d-fcedc41ed460</t>
  </si>
  <si>
    <t>MARY</t>
  </si>
  <si>
    <t>WITT</t>
  </si>
  <si>
    <t>68f0b1e8-da78-4d64-b477-0f1b68333483</t>
  </si>
  <si>
    <t>AMANDA</t>
  </si>
  <si>
    <t>HICKS</t>
  </si>
  <si>
    <t>84b558ac-2cc1-4083-950c-61417bdf77c1</t>
  </si>
  <si>
    <t>CARLOS</t>
  </si>
  <si>
    <t>DEL ANASTASIO</t>
  </si>
  <si>
    <t>73490301-702a-4ba9-8265-afa66cb6cc5b</t>
  </si>
  <si>
    <t>MAMOUDOU</t>
  </si>
  <si>
    <t>DIALLO</t>
  </si>
  <si>
    <t>bce84da6-f25c-4c25-8b57-789b4bbaa189</t>
  </si>
  <si>
    <t>AHMED</t>
  </si>
  <si>
    <t>78b84536-e630-4c1a-8454-73aa4b712c94</t>
  </si>
  <si>
    <t>KARON</t>
  </si>
  <si>
    <t>MONAIR</t>
  </si>
  <si>
    <t>7a216038-cfa6-4b49-b776-cd00d973d92a</t>
  </si>
  <si>
    <t>80b250ad-154e-4523-a54c-60edc48e3f61</t>
  </si>
  <si>
    <t>8abf4d8c-235e-4602-b20e-0bd2ff97fbcf</t>
  </si>
  <si>
    <t>8fbb25e8-05ac-4c1b-9ef5-db8ec50af055</t>
  </si>
  <si>
    <t>91f89ff7-6951-47de-b06e-4d48b3c4260d</t>
  </si>
  <si>
    <t>9e875c05-3e1a-4cc6-8dca-6e5b056b236f</t>
  </si>
  <si>
    <t>NICOLE</t>
  </si>
  <si>
    <t>MATTHEWS</t>
  </si>
  <si>
    <t>bbfaa2a5-ff64-4a99-8de7-f993db254542</t>
  </si>
  <si>
    <t>TAHJANEIA</t>
  </si>
  <si>
    <t>CHANEY-HARRIS</t>
  </si>
  <si>
    <t>a53b4a08-7e79-4255-86b8-0bd3bcd73823</t>
  </si>
  <si>
    <t>aaaf5b78-a942-476b-a927-3654d62f3126</t>
  </si>
  <si>
    <t>OSMAN</t>
  </si>
  <si>
    <t>ALI</t>
  </si>
  <si>
    <t>b774e1cf-0e20-4d88-a164-0631816f7e9e</t>
  </si>
  <si>
    <t>ABDOUN</t>
  </si>
  <si>
    <t>b75f9b60-9a13-41bc-b9b6-f28a246dbb0d</t>
  </si>
  <si>
    <t>SAID</t>
  </si>
  <si>
    <t>KABDI</t>
  </si>
  <si>
    <t>b8c847d1-2e02-46c3-b9b0-d8c5fb94a24e</t>
  </si>
  <si>
    <t>FELICIA</t>
  </si>
  <si>
    <t>CAREY</t>
  </si>
  <si>
    <t>bd595237-3b06-4f93-891b-23819da95129</t>
  </si>
  <si>
    <t>MICHAEL</t>
  </si>
  <si>
    <t>HOGWOOD JR</t>
  </si>
  <si>
    <t>bf15cad8-303c-4876-8527-c1f0e15688b9</t>
  </si>
  <si>
    <t>MOAAZ</t>
  </si>
  <si>
    <t>KHAIRY</t>
  </si>
  <si>
    <t>cad427e9-d219-4e43-b0b0-69d4028de26d</t>
  </si>
  <si>
    <t>RONEIA</t>
  </si>
  <si>
    <t>SANDERS</t>
  </si>
  <si>
    <t>d9329f4e-673e-4bff-91bf-c80f3c05bbdd</t>
  </si>
  <si>
    <t>ce7f7477-25a2-413a-898c-762d4519d666</t>
  </si>
  <si>
    <t>e5bb91ce-b36e-4658-92a6-09f191fb07ea</t>
  </si>
  <si>
    <t>ABUALHASSAN</t>
  </si>
  <si>
    <t>ALAESSER</t>
  </si>
  <si>
    <t>efca9001-829f-4cdc-a68d-a7ff511b6174</t>
  </si>
  <si>
    <t>TYMIR</t>
  </si>
  <si>
    <t>SCOTT</t>
  </si>
  <si>
    <t>f1c68a64-6254-477c-978a-e83f268a356f</t>
  </si>
  <si>
    <t>NIYDEIRA</t>
  </si>
  <si>
    <t>HARRISON</t>
  </si>
  <si>
    <t>e24278eb-acf9-444b-aa6e-b451bd6c1713</t>
  </si>
  <si>
    <t>KANJEY DRAME</t>
  </si>
  <si>
    <t>AZZEDINE KALI</t>
  </si>
  <si>
    <t>CHRISTINA COSTA</t>
  </si>
  <si>
    <t>AALIYAH HUGHES</t>
  </si>
  <si>
    <t>QUINN TUCKER-JACKSON</t>
  </si>
  <si>
    <t>ELHADI IBRAHIM</t>
  </si>
  <si>
    <t>ALAELDEIN ATIA</t>
  </si>
  <si>
    <t>VANESHA LANGLEY</t>
  </si>
  <si>
    <t>HERVE HOUNSA</t>
  </si>
  <si>
    <t>ANTONIO GREGORY</t>
  </si>
  <si>
    <t>ABDELGHANI TAIBAOUI</t>
  </si>
  <si>
    <t>JEVAN WEST</t>
  </si>
  <si>
    <t>MOHAMED MUSA</t>
  </si>
  <si>
    <t>TIMOTHY HOBBINS</t>
  </si>
  <si>
    <t>AZZEDINE</t>
  </si>
  <si>
    <t>KALI</t>
  </si>
  <si>
    <t>32751468-f753-4d10-a23c-038eb3caa6ff</t>
  </si>
  <si>
    <t>BROWNE</t>
  </si>
  <si>
    <t>KOON</t>
  </si>
  <si>
    <t>a1add5a0-18f1-493c-b73c-f3239b6f4caa</t>
  </si>
  <si>
    <t>QUINN</t>
  </si>
  <si>
    <t>TUCKER-JACKSON</t>
  </si>
  <si>
    <t>b28955b0-47cc-46b3-9f4b-95d1ccfab6d7</t>
  </si>
  <si>
    <t>LUQMAN</t>
  </si>
  <si>
    <t>SULIMAN</t>
  </si>
  <si>
    <t>2557ed3c-1e22-4e9e-8959-031d385da47b</t>
  </si>
  <si>
    <t>VANESHA</t>
  </si>
  <si>
    <t>LANGLEY</t>
  </si>
  <si>
    <t>758f68f3-6b56-4799-b543-b3334b318620</t>
  </si>
  <si>
    <t>ANTONIO</t>
  </si>
  <si>
    <t>GREGORY</t>
  </si>
  <si>
    <t>8be3d1ea-e8a5-4420-a35d-ab144c49e187</t>
  </si>
  <si>
    <t>JEVAN</t>
  </si>
  <si>
    <t>WEST</t>
  </si>
  <si>
    <t>ac256447-18a7-442b-8ca6-250a462a8249</t>
  </si>
  <si>
    <t>ANGEL</t>
  </si>
  <si>
    <t>MARRERO TORRES</t>
  </si>
  <si>
    <t>b908bd76-9acc-4f85-98bd-88c7449a053f</t>
  </si>
  <si>
    <t>CHRIS TOVEY</t>
  </si>
  <si>
    <t>OSMAN A ALI</t>
  </si>
  <si>
    <t>TRACY</t>
  </si>
  <si>
    <t>TAYLOR</t>
  </si>
  <si>
    <t>ISMAEL</t>
  </si>
  <si>
    <t>ANFLOUS</t>
  </si>
  <si>
    <t>FADUL</t>
  </si>
  <si>
    <t>MUSAB</t>
  </si>
  <si>
    <t>SABAH ELKHEIR</t>
  </si>
  <si>
    <t>FARAHAT M</t>
  </si>
  <si>
    <t>SAYED</t>
  </si>
  <si>
    <t>ELAINA</t>
  </si>
  <si>
    <t>GLOVER</t>
  </si>
  <si>
    <t>ABDELAZIM</t>
  </si>
  <si>
    <t>RAY</t>
  </si>
  <si>
    <t>CEDANO RODRIGUEZ</t>
  </si>
  <si>
    <t>QADDAFI</t>
  </si>
  <si>
    <t>MO</t>
  </si>
  <si>
    <t>HAROUN</t>
  </si>
  <si>
    <t>OSMAN AHMED ALI</t>
  </si>
  <si>
    <t>JEREMY RAY</t>
  </si>
  <si>
    <t>SHARICE STEWART</t>
  </si>
  <si>
    <t>JODI JAMES</t>
  </si>
  <si>
    <t>b700eebf-008a-41d0-a95d-83a4100ccf96</t>
  </si>
  <si>
    <t>JODI</t>
  </si>
  <si>
    <t>58c64f1a-1ca1-482f-85e9-c1d5d3c0bb0c</t>
  </si>
  <si>
    <t>TBL WILL SEND OUT THE STATEMENT TO THE PARTNERS AFTER IT HAS BEEN APPROVED BY MANAGEMENT</t>
  </si>
  <si>
    <t>NIKERA TAYLOR</t>
  </si>
  <si>
    <t>SHAUN SMITH</t>
  </si>
  <si>
    <t>SHENELLE CLARK</t>
  </si>
  <si>
    <t>KEVIN CARTER</t>
  </si>
  <si>
    <t>ABDELAZIZ MEHDAOUI</t>
  </si>
  <si>
    <t>SALIH OSMAN</t>
  </si>
  <si>
    <t>ABDELHADI HAROON</t>
  </si>
  <si>
    <t>HARVEY JEFFERSON</t>
  </si>
  <si>
    <t>ELHADI</t>
  </si>
  <si>
    <t>36f0db35-9899-440a-9b8d-20479b752f78</t>
  </si>
  <si>
    <t>OSMAN AHMED</t>
  </si>
  <si>
    <t>TIMOTHY</t>
  </si>
  <si>
    <t>HOBBINS</t>
  </si>
  <si>
    <t>e5a1aacf-40ac-484f-af2b-02461838c7f3</t>
  </si>
  <si>
    <t>NIKERA</t>
  </si>
  <si>
    <t>1f1dddba-46b2-4082-881e-8c8eefa08523</t>
  </si>
  <si>
    <t>SHAUN</t>
  </si>
  <si>
    <t>4273b506-0ec4-4a7e-94f2-12b1a70801a8</t>
  </si>
  <si>
    <t>KEVIN</t>
  </si>
  <si>
    <t>CARTER</t>
  </si>
  <si>
    <t>59eed394-c1f4-4f85-971a-05e7ae54d7b9</t>
  </si>
  <si>
    <t>ABDELAZIZ</t>
  </si>
  <si>
    <t>MEHDAOUI</t>
  </si>
  <si>
    <t>84a165aa-b44a-4285-8933-69d31645d557</t>
  </si>
  <si>
    <t>HARVEY</t>
  </si>
  <si>
    <t>JEFFERSON</t>
  </si>
  <si>
    <t>d83618a1-93dd-45b0-968b-4180f1e1210e</t>
  </si>
  <si>
    <t>Grand Total</t>
  </si>
  <si>
    <t>Sum of Online Hours</t>
  </si>
  <si>
    <t>Sum of Payable Online Hours</t>
  </si>
  <si>
    <t>HERVE</t>
  </si>
  <si>
    <t>HOUNSA</t>
  </si>
  <si>
    <t>88ceb154-2ccc-4329-b59f-a28ca4135b5b</t>
  </si>
  <si>
    <t>ABDELGHANI</t>
  </si>
  <si>
    <t>TAIBAOUI</t>
  </si>
  <si>
    <t>aaf60e7a-de6f-499f-bda8-300709cf54d0</t>
  </si>
  <si>
    <t>SAMI IBRAHIM</t>
  </si>
  <si>
    <t>ERIC SMITH</t>
  </si>
  <si>
    <t>KAMEL OUSALEM</t>
  </si>
  <si>
    <t>IBRAHIM BRAHIM</t>
  </si>
  <si>
    <t>ROBERT EPSTINE JR</t>
  </si>
  <si>
    <t>MOHAMMED ELZUBAIR</t>
  </si>
  <si>
    <t>ABDELAZIZ EL RHAZIDI</t>
  </si>
  <si>
    <t>FRANKLIN ARMSTRONG</t>
  </si>
  <si>
    <t>HAMZA ABOBAKER</t>
  </si>
  <si>
    <t>HAMID SALEH</t>
  </si>
  <si>
    <t>RAHEEM KEARNEY</t>
  </si>
  <si>
    <t>ERICK JOHNSON</t>
  </si>
  <si>
    <t>HUSSAMALDIN ABUHASSAN</t>
  </si>
  <si>
    <t>MONIQUE BELL</t>
  </si>
  <si>
    <t>OSAMA IMAM</t>
  </si>
  <si>
    <t>YAHMERE WILLIAMS</t>
  </si>
  <si>
    <t>KHALID ADAM</t>
  </si>
  <si>
    <t>DIV12-PA</t>
  </si>
  <si>
    <t>ERIC</t>
  </si>
  <si>
    <t>645f4e87-b3ac-450c-a3d3-9f16ee897826</t>
  </si>
  <si>
    <t>KAMEL</t>
  </si>
  <si>
    <t>OUSALEM</t>
  </si>
  <si>
    <t>a570cb1d-e612-42e3-8e7d-ae0dbce3b6f1</t>
  </si>
  <si>
    <t>BRAHIM</t>
  </si>
  <si>
    <t>a5e5d7ba-2808-4eeb-8670-265d9cbce850</t>
  </si>
  <si>
    <t>MOHAMMED</t>
  </si>
  <si>
    <t>ELZUBAIR</t>
  </si>
  <si>
    <t>f74e6c28-acb5-4bd9-a033-0a639189b98c</t>
  </si>
  <si>
    <t>FRANKLIN</t>
  </si>
  <si>
    <t>ARMSTRONG</t>
  </si>
  <si>
    <t>27a9fb2e-9a4a-45d8-bb7f-4dd0d733ebb8</t>
  </si>
  <si>
    <t>RAHEEM</t>
  </si>
  <si>
    <t>KEARNEY</t>
  </si>
  <si>
    <t>39057d11-f6d9-4b37-b3ed-dcb502f60a4c</t>
  </si>
  <si>
    <t>ERICK</t>
  </si>
  <si>
    <t>467af5de-4b4e-41a6-9194-423eaf450db2</t>
  </si>
  <si>
    <t>HUSSAMALDIN</t>
  </si>
  <si>
    <t>ABUHASSAN</t>
  </si>
  <si>
    <t>807469a4-717d-4536-acec-4218acecceb9</t>
  </si>
  <si>
    <t>MONIQUE</t>
  </si>
  <si>
    <t>BELL</t>
  </si>
  <si>
    <t>937c4b29-10a2-4b59-bc2b-211f5ebb0e2b</t>
  </si>
  <si>
    <t>OSAMA</t>
  </si>
  <si>
    <t>IMAM</t>
  </si>
  <si>
    <t>94fc8257-e3ff-4918-b411-8df4627d092f</t>
  </si>
  <si>
    <t>YAHMERE</t>
  </si>
  <si>
    <t>WILLIAMS</t>
  </si>
  <si>
    <t>9da72f29-991f-465d-b5e1-89e4ba13d1b4</t>
  </si>
  <si>
    <t>mrcollins220@gmail.com</t>
  </si>
  <si>
    <t>Chadwireless2019@gmail.com</t>
  </si>
  <si>
    <t>ROBERT COLLINS</t>
  </si>
  <si>
    <t>ROB RONNIE</t>
  </si>
  <si>
    <t>BABIKER ABAKAR</t>
  </si>
  <si>
    <t>MAHMOUD GAMEA</t>
  </si>
  <si>
    <t>ABDELMADJID HASSANDO</t>
  </si>
  <si>
    <t>SELINA HAWTHORNE</t>
  </si>
  <si>
    <t>BARON JONES</t>
  </si>
  <si>
    <t>CIERA PEGUES</t>
  </si>
  <si>
    <t>JEREMY</t>
  </si>
  <si>
    <t>0544a6f6-2940-4718-a945-6f77a1eef56c</t>
  </si>
  <si>
    <t>LALAA</t>
  </si>
  <si>
    <t>HILL</t>
  </si>
  <si>
    <t>364f204d-a2a8-47ac-9be3-809984dbe913</t>
  </si>
  <si>
    <t>RAHMTALLA</t>
  </si>
  <si>
    <t>77b6cf00-63e9-47d4-b435-d55308df2f7f</t>
  </si>
  <si>
    <t>BABIKER</t>
  </si>
  <si>
    <t>ABAKAR</t>
  </si>
  <si>
    <t>89b1cb42-b179-407d-a93e-40b4c9bbd4f4</t>
  </si>
  <si>
    <t>MAHMOUD</t>
  </si>
  <si>
    <t>GAMEA</t>
  </si>
  <si>
    <t>967e8ffd-fe70-48cf-a278-ebad6774c213</t>
  </si>
  <si>
    <t>ABDELMADJID</t>
  </si>
  <si>
    <t>HASSANDO</t>
  </si>
  <si>
    <t>cf5018e4-429c-4116-9b35-d5cd0b88eafd</t>
  </si>
  <si>
    <t>SELINA</t>
  </si>
  <si>
    <t>HAWTHORNE</t>
  </si>
  <si>
    <t>e85ea242-4fed-4341-9c3d-392c7248dc34</t>
  </si>
  <si>
    <t>BARON</t>
  </si>
  <si>
    <t>JONES</t>
  </si>
  <si>
    <t>1f410ca3-b2f6-4ea8-9e97-9ccde7a81cd3</t>
  </si>
  <si>
    <t>CIERA</t>
  </si>
  <si>
    <t>PEGUES</t>
  </si>
  <si>
    <t>2a3382fb-d631-4551-8491-cc756f891a30</t>
  </si>
  <si>
    <t>ANDERSON PERALTA</t>
  </si>
  <si>
    <t>EDDY GUZMAN NIEVES</t>
  </si>
  <si>
    <t>FARIS ALLALOUCHE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</si>
</sst>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b/>
      <sz val="14"/>
      <color rgb="FFFF0000"/>
      <name val="Calibri"/>
      <family val="2"/>
      <scheme val="minor"/>
    </font>
    <font>
      <sz val="12"/>
      <color indexed="8"/>
      <name val="Aptos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  <xf numFmtId="0" fontId="17" fillId="0" borderId="0" applyNumberFormat="0" applyFill="0" applyBorder="0" applyAlignment="0" applyProtection="0"/>
    <xf numFmtId="165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07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7" fontId="0" fillId="0" borderId="0" xfId="0" applyNumberFormat="1" applyAlignment="1">
      <alignment horizontal="center" vertical="center"/>
    </xf>
    <xf numFmtId="2" fontId="7" fillId="0" borderId="0" xfId="0" applyNumberFormat="1" applyFont="1" applyAlignment="1">
      <alignment horizontal="left" vertical="center"/>
    </xf>
    <xf numFmtId="164" fontId="8" fillId="0" borderId="0" xfId="0" applyNumberFormat="1" applyFont="1" applyAlignment="1">
      <alignment horizontal="right" vertical="center"/>
    </xf>
    <xf numFmtId="2" fontId="7" fillId="0" borderId="3" xfId="0" applyNumberFormat="1" applyFont="1" applyBorder="1" applyAlignment="1">
      <alignment horizontal="left" vertical="center"/>
    </xf>
    <xf numFmtId="164" fontId="8" fillId="0" borderId="3" xfId="0" applyNumberFormat="1" applyFont="1" applyBorder="1" applyAlignment="1">
      <alignment horizontal="right" vertical="center"/>
    </xf>
    <xf numFmtId="167" fontId="9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14" fontId="6" fillId="4" borderId="6" xfId="0" applyNumberFormat="1" applyFont="1" applyFill="1" applyBorder="1" applyAlignment="1">
      <alignment horizontal="left" vertical="center" wrapText="1" readingOrder="1"/>
    </xf>
    <xf numFmtId="167" fontId="6" fillId="4" borderId="7" xfId="0" applyNumberFormat="1" applyFont="1" applyFill="1" applyBorder="1" applyAlignment="1">
      <alignment horizontal="center" vertical="center" wrapText="1" readingOrder="1"/>
    </xf>
    <xf numFmtId="167" fontId="10" fillId="0" borderId="0" xfId="0" applyNumberFormat="1" applyFont="1" applyAlignment="1">
      <alignment horizontal="right" vertical="center"/>
    </xf>
    <xf numFmtId="167" fontId="0" fillId="0" borderId="0" xfId="0" applyNumberFormat="1" applyAlignment="1">
      <alignment horizontal="right" vertical="center"/>
    </xf>
    <xf numFmtId="14" fontId="6" fillId="4" borderId="6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7" fontId="2" fillId="3" borderId="2" xfId="0" applyNumberFormat="1" applyFont="1" applyFill="1" applyBorder="1" applyAlignment="1">
      <alignment horizontal="center" vertical="center"/>
    </xf>
    <xf numFmtId="1" fontId="12" fillId="6" borderId="8" xfId="0" applyNumberFormat="1" applyFont="1" applyFill="1" applyBorder="1" applyAlignment="1">
      <alignment horizontal="center" vertical="center"/>
    </xf>
    <xf numFmtId="167" fontId="12" fillId="6" borderId="1" xfId="0" applyNumberFormat="1" applyFont="1" applyFill="1" applyBorder="1" applyAlignment="1">
      <alignment horizontal="center" vertical="center"/>
    </xf>
    <xf numFmtId="0" fontId="15" fillId="0" borderId="0" xfId="7" applyFont="1" applyAlignment="1">
      <alignment horizontal="left"/>
    </xf>
    <xf numFmtId="0" fontId="15" fillId="0" borderId="0" xfId="7" applyFont="1"/>
    <xf numFmtId="0" fontId="14" fillId="0" borderId="0" xfId="7"/>
    <xf numFmtId="40" fontId="14" fillId="0" borderId="0" xfId="7" applyNumberFormat="1"/>
    <xf numFmtId="0" fontId="7" fillId="0" borderId="0" xfId="7" applyFont="1" applyAlignment="1">
      <alignment horizontal="center"/>
    </xf>
    <xf numFmtId="0" fontId="7" fillId="0" borderId="0" xfId="7" applyFont="1"/>
    <xf numFmtId="40" fontId="7" fillId="0" borderId="0" xfId="7" applyNumberFormat="1" applyFont="1" applyAlignment="1">
      <alignment horizontal="center"/>
    </xf>
    <xf numFmtId="0" fontId="7" fillId="0" borderId="9" xfId="7" applyFont="1" applyBorder="1" applyAlignment="1">
      <alignment horizontal="left"/>
    </xf>
    <xf numFmtId="0" fontId="7" fillId="0" borderId="9" xfId="7" applyFont="1" applyBorder="1" applyAlignment="1">
      <alignment horizontal="center"/>
    </xf>
    <xf numFmtId="40" fontId="7" fillId="0" borderId="9" xfId="7" applyNumberFormat="1" applyFont="1" applyBorder="1" applyAlignment="1">
      <alignment horizontal="center"/>
    </xf>
    <xf numFmtId="0" fontId="17" fillId="0" borderId="0" xfId="8" applyNumberFormat="1" applyAlignment="1" applyProtection="1">
      <alignment horizontal="left"/>
    </xf>
    <xf numFmtId="167" fontId="14" fillId="0" borderId="0" xfId="7" applyNumberFormat="1" applyAlignment="1">
      <alignment horizontal="center"/>
    </xf>
    <xf numFmtId="167" fontId="14" fillId="0" borderId="0" xfId="7" quotePrefix="1" applyNumberFormat="1" applyAlignment="1">
      <alignment horizontal="center"/>
    </xf>
    <xf numFmtId="167" fontId="14" fillId="0" borderId="0" xfId="6" applyNumberFormat="1" applyFont="1" applyAlignment="1" applyProtection="1">
      <alignment horizontal="center"/>
    </xf>
    <xf numFmtId="167" fontId="14" fillId="0" borderId="0" xfId="9" applyNumberFormat="1" applyFont="1" applyFill="1" applyAlignment="1" applyProtection="1">
      <alignment horizontal="center"/>
    </xf>
    <xf numFmtId="39" fontId="14" fillId="0" borderId="0" xfId="7" applyNumberFormat="1"/>
    <xf numFmtId="0" fontId="14" fillId="0" borderId="0" xfId="7" applyAlignment="1">
      <alignment horizontal="left"/>
    </xf>
    <xf numFmtId="167" fontId="7" fillId="2" borderId="0" xfId="7" applyNumberFormat="1" applyFont="1" applyFill="1" applyAlignment="1">
      <alignment horizontal="center"/>
    </xf>
    <xf numFmtId="167" fontId="15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7" xfId="0" applyNumberFormat="1" applyFont="1" applyFill="1" applyBorder="1" applyAlignment="1">
      <alignment horizontal="center" vertical="center" wrapText="1" readingOrder="1"/>
    </xf>
    <xf numFmtId="167" fontId="7" fillId="0" borderId="11" xfId="0" applyNumberFormat="1" applyFont="1" applyBorder="1" applyAlignment="1">
      <alignment horizontal="left" vertical="center"/>
    </xf>
    <xf numFmtId="167" fontId="2" fillId="0" borderId="11" xfId="0" applyNumberFormat="1" applyFont="1" applyBorder="1" applyAlignment="1">
      <alignment horizontal="right" vertical="center"/>
    </xf>
    <xf numFmtId="0" fontId="14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7" fontId="0" fillId="0" borderId="0" xfId="0" applyNumberFormat="1" applyAlignment="1">
      <alignment vertical="center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6" xfId="10" applyNumberFormat="1" applyFont="1" applyFill="1" applyBorder="1" applyAlignment="1">
      <alignment horizontal="center" vertical="center" wrapText="1" readingOrder="1"/>
    </xf>
    <xf numFmtId="2" fontId="6" fillId="4" borderId="6" xfId="0" applyNumberFormat="1" applyFont="1" applyFill="1" applyBorder="1" applyAlignment="1">
      <alignment horizontal="center" vertical="center" wrapText="1" readingOrder="1"/>
    </xf>
    <xf numFmtId="2" fontId="7" fillId="0" borderId="3" xfId="0" applyNumberFormat="1" applyFont="1" applyBorder="1" applyAlignment="1">
      <alignment horizontal="center" wrapText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7" fontId="0" fillId="0" borderId="0" xfId="10" applyNumberFormat="1" applyFont="1" applyAlignment="1">
      <alignment horizontal="center" vertical="center"/>
    </xf>
    <xf numFmtId="2" fontId="2" fillId="3" borderId="2" xfId="10" applyNumberFormat="1" applyFont="1" applyFill="1" applyBorder="1" applyAlignment="1">
      <alignment horizontal="center" vertical="center"/>
    </xf>
    <xf numFmtId="167" fontId="6" fillId="4" borderId="6" xfId="0" applyNumberFormat="1" applyFont="1" applyFill="1" applyBorder="1" applyAlignment="1">
      <alignment horizontal="center" vertical="center" wrapText="1" readingOrder="1"/>
    </xf>
    <xf numFmtId="14" fontId="6" fillId="4" borderId="15" xfId="0" applyNumberFormat="1" applyFont="1" applyFill="1" applyBorder="1" applyAlignment="1">
      <alignment horizontal="left" vertical="center" wrapText="1" readingOrder="1"/>
    </xf>
    <xf numFmtId="14" fontId="6" fillId="4" borderId="16" xfId="0" applyNumberFormat="1" applyFont="1" applyFill="1" applyBorder="1" applyAlignment="1">
      <alignment horizontal="center" vertical="center" wrapText="1" readingOrder="1"/>
    </xf>
    <xf numFmtId="0" fontId="6" fillId="4" borderId="16" xfId="0" applyFont="1" applyFill="1" applyBorder="1" applyAlignment="1">
      <alignment horizontal="center" vertical="center" wrapText="1" readingOrder="1"/>
    </xf>
    <xf numFmtId="10" fontId="6" fillId="4" borderId="16" xfId="10" applyNumberFormat="1" applyFont="1" applyFill="1" applyBorder="1" applyAlignment="1">
      <alignment horizontal="center" vertical="center" wrapText="1" readingOrder="1"/>
    </xf>
    <xf numFmtId="1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6" xfId="0" applyNumberFormat="1" applyFont="1" applyFill="1" applyBorder="1" applyAlignment="1">
      <alignment horizontal="center" vertical="center" wrapText="1" readingOrder="1"/>
    </xf>
    <xf numFmtId="2" fontId="6" fillId="4" borderId="17" xfId="0" applyNumberFormat="1" applyFont="1" applyFill="1" applyBorder="1" applyAlignment="1">
      <alignment horizontal="center" vertical="center" wrapText="1" readingOrder="1"/>
    </xf>
    <xf numFmtId="167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4" fontId="14" fillId="0" borderId="0" xfId="7" applyNumberFormat="1"/>
    <xf numFmtId="166" fontId="0" fillId="0" borderId="0" xfId="11" applyFont="1" applyAlignment="1">
      <alignment horizontal="center" vertical="center"/>
    </xf>
    <xf numFmtId="167" fontId="14" fillId="0" borderId="0" xfId="6" applyNumberFormat="1" applyFont="1" applyFill="1" applyAlignment="1" applyProtection="1">
      <alignment horizontal="center"/>
    </xf>
    <xf numFmtId="0" fontId="0" fillId="0" borderId="0" xfId="0" applyAlignment="1">
      <alignment wrapText="1"/>
    </xf>
    <xf numFmtId="2" fontId="0" fillId="0" borderId="0" xfId="0" applyNumberFormat="1" applyAlignment="1">
      <alignment vertical="center"/>
    </xf>
    <xf numFmtId="167" fontId="14" fillId="0" borderId="0" xfId="7" applyNumberFormat="1"/>
    <xf numFmtId="0" fontId="20" fillId="0" borderId="0" xfId="0" applyFont="1"/>
    <xf numFmtId="14" fontId="6" fillId="4" borderId="15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6" fillId="0" borderId="0" xfId="7" applyFont="1"/>
    <xf numFmtId="0" fontId="0" fillId="0" borderId="0" xfId="0" pivotButton="1"/>
    <xf numFmtId="0" fontId="16" fillId="7" borderId="0" xfId="7" applyFont="1" applyFill="1" applyAlignment="1">
      <alignment horizontal="center"/>
    </xf>
    <xf numFmtId="0" fontId="16" fillId="8" borderId="0" xfId="7" applyFont="1" applyFill="1" applyAlignment="1">
      <alignment horizontal="center"/>
    </xf>
    <xf numFmtId="0" fontId="19" fillId="9" borderId="10" xfId="7" applyFont="1" applyFill="1" applyBorder="1" applyAlignment="1">
      <alignment horizontal="center"/>
    </xf>
    <xf numFmtId="0" fontId="7" fillId="0" borderId="0" xfId="7" applyFont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13" xfId="0" applyNumberFormat="1" applyFont="1" applyFill="1" applyBorder="1" applyAlignment="1">
      <alignment horizontal="center" vertical="center"/>
    </xf>
    <xf numFmtId="2" fontId="2" fillId="4" borderId="14" xfId="0" applyNumberFormat="1" applyFont="1" applyFill="1" applyBorder="1" applyAlignment="1">
      <alignment horizontal="center" vertical="center"/>
    </xf>
    <xf numFmtId="0" fontId="11" fillId="6" borderId="18" xfId="0" applyFont="1" applyFill="1" applyBorder="1" applyAlignment="1">
      <alignment horizontal="center" vertical="center"/>
    </xf>
    <xf numFmtId="0" fontId="11" fillId="6" borderId="19" xfId="0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168" formatCode="m/d/yyyy"/>
    </dxf>
    <dxf>
      <numFmt numFmtId="168" formatCode="m/d/yyyy"/>
    </dxf>
    <dxf>
      <numFmt numFmtId="168" formatCode="m/d/yyyy"/>
    </dxf>
    <dxf>
      <numFmt numFmtId="168" formatCode="m/d/yyyy"/>
    </dxf>
    <dxf>
      <numFmt numFmtId="0" formatCode="General"/>
    </dxf>
    <dxf>
      <numFmt numFmtId="0" formatCode="General"/>
    </dxf>
    <dxf>
      <numFmt numFmtId="168" formatCode="m/d/yyyy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21" Type="http://schemas.openxmlformats.org/officeDocument/2006/relationships/externalLink" Target="externalLinks/externalLink3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7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6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5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4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179871F2-26E5-448F-9452-31A872A029B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VDP Statement</a:t>
          </a:r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4658FC5E-3C2D-47DD-BE44-0681A4D3468E}"/>
            </a:ext>
          </a:extLst>
        </xdr:cNvPr>
        <xdr:cNvSpPr/>
      </xdr:nvSpPr>
      <xdr:spPr>
        <a:xfrm>
          <a:off x="11420475" y="83820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B0998001-B8B7-4DA4-A9CA-B96FE1523B0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EB61B846-6D39-4F57-83B0-ECA2E0CCDFE5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2F7EF1B-B10E-4E13-B61D-99B6C7C61944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49DB3D7A-7548-4ED4-8828-17199261A9A0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7" name="Rectangle 6">
          <a:extLst>
            <a:ext uri="{FF2B5EF4-FFF2-40B4-BE49-F238E27FC236}">
              <a16:creationId xmlns:a16="http://schemas.microsoft.com/office/drawing/2014/main" id="{746702CA-2D5C-4215-9144-F0F7527FF5EF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76200</xdr:colOff>
      <xdr:row>4</xdr:row>
      <xdr:rowOff>0</xdr:rowOff>
    </xdr:from>
    <xdr:to>
      <xdr:col>11</xdr:col>
      <xdr:colOff>279400</xdr:colOff>
      <xdr:row>4</xdr:row>
      <xdr:rowOff>203200</xdr:rowOff>
    </xdr:to>
    <xdr:sp macro="[7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509B28B7-F653-4866-8363-AD1ADB1AB497}"/>
            </a:ext>
          </a:extLst>
        </xdr:cNvPr>
        <xdr:cNvSpPr/>
      </xdr:nvSpPr>
      <xdr:spPr>
        <a:xfrm>
          <a:off x="1232916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1%20GA/AUTOMATION/VDP%20AUTOMATION/VDP_DIV11%20UPDATED%20TEMPLAT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9%20AZ/AUTOMATIONS/VDP%20AUTOMATION/VDP_DIV9%20UPDATED%20TEMPLAT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6%20FL/AUTOMATIONS/VDP%20AUTOMATION/VDP_DIV6%20UPDATED%20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ExportPrep"/>
      <sheetName val="Review"/>
      <sheetName val="PR"/>
      <sheetName val="NewSheet"/>
      <sheetName val="Deductions"/>
      <sheetName val="PrepSheet1"/>
      <sheetName val="FilePath"/>
      <sheetName val="Dropdown"/>
      <sheetName val="MainPartner_List"/>
      <sheetName val="MissingRouteInPartnerList"/>
      <sheetName val="Hour Report"/>
      <sheetName val="Checks and Balance"/>
      <sheetName val="ExPre"/>
      <sheetName val="MissingPartnerRate"/>
      <sheetName val="HourReportSummary"/>
      <sheetName val="VDP_DIV11 UPDATED TEMPLATE"/>
    </sheetNames>
    <sheetDataSet>
      <sheetData sheetId="0" refreshError="1"/>
      <sheetData sheetId="1">
        <row r="2">
          <cell r="C2">
            <v>45606</v>
          </cell>
        </row>
        <row r="3">
          <cell r="C3">
            <v>45613</v>
          </cell>
        </row>
      </sheetData>
      <sheetData sheetId="2" refreshError="1"/>
      <sheetData sheetId="3" refreshError="1"/>
      <sheetData sheetId="4" refreshError="1"/>
      <sheetData sheetId="5">
        <row r="11">
          <cell r="D11" t="str">
            <v>Normal Hours</v>
          </cell>
          <cell r="E11" t="str">
            <v>Extra Hours</v>
          </cell>
        </row>
        <row r="12">
          <cell r="E12">
            <v>0</v>
          </cell>
        </row>
        <row r="13">
          <cell r="E13">
            <v>0</v>
          </cell>
        </row>
        <row r="14">
          <cell r="E14">
            <v>0</v>
          </cell>
        </row>
        <row r="15">
          <cell r="E15">
            <v>0</v>
          </cell>
        </row>
      </sheetData>
      <sheetData sheetId="6" refreshError="1"/>
      <sheetData sheetId="7" refreshError="1"/>
      <sheetData sheetId="8" refreshError="1"/>
      <sheetData sheetId="9">
        <row r="3">
          <cell r="F3" t="str">
            <v>Row Labels</v>
          </cell>
        </row>
        <row r="4">
          <cell r="F4" t="str">
            <v>1921 BRAND LTD CO</v>
          </cell>
        </row>
        <row r="5">
          <cell r="F5" t="str">
            <v>A&amp;N STAR TRUCKING COMPANY LLC</v>
          </cell>
        </row>
        <row r="6">
          <cell r="F6" t="str">
            <v>BRUNCH ME PLEASE</v>
          </cell>
        </row>
        <row r="7">
          <cell r="F7" t="str">
            <v>CLARA B EXPRESS LLC</v>
          </cell>
        </row>
        <row r="8">
          <cell r="F8" t="str">
            <v>COURIER PRO TRANSPORT LLC</v>
          </cell>
        </row>
        <row r="9">
          <cell r="F9" t="str">
            <v>CYPRESS TRANSPORTATION</v>
          </cell>
        </row>
        <row r="10">
          <cell r="F10" t="str">
            <v>MRT TRANSPORTATION</v>
          </cell>
        </row>
        <row r="11">
          <cell r="F11" t="str">
            <v>ORION TRANSIT LLC</v>
          </cell>
        </row>
        <row r="12">
          <cell r="F12" t="str">
            <v>QUEEN &amp; KING COMPANION SERVICES</v>
          </cell>
        </row>
        <row r="13">
          <cell r="F13" t="str">
            <v>QUEEN LUXURIOUS</v>
          </cell>
        </row>
        <row r="14">
          <cell r="F14" t="str">
            <v>SUPERIORSIX TRANSIT LLC</v>
          </cell>
        </row>
        <row r="15">
          <cell r="F15" t="str">
            <v>TARA M LOCKETT LLC</v>
          </cell>
        </row>
        <row r="16">
          <cell r="F16" t="str">
            <v>TASK GUYS LLC</v>
          </cell>
        </row>
        <row r="17">
          <cell r="F17" t="str">
            <v>THEMBROWNS CARES</v>
          </cell>
        </row>
        <row r="18">
          <cell r="F18" t="str">
            <v>DEAN-SMITH, JESSICA</v>
          </cell>
        </row>
        <row r="19">
          <cell r="F19" t="str">
            <v>RW TRANSIT L.L.C.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D VDP Statement"/>
      <sheetName val="PAY PERIOD"/>
      <sheetName val="PR"/>
      <sheetName val="PRExportPrep"/>
      <sheetName val="PrepSheet"/>
      <sheetName val="SignBonus"/>
      <sheetName val="Deductions"/>
      <sheetName val="NewSheet"/>
      <sheetName val="FARES"/>
      <sheetName val="FarePre"/>
      <sheetName val="CHECK &amp; BALANCES"/>
      <sheetName val="Trips"/>
      <sheetName val="Productivity"/>
      <sheetName val="TICKETS COLLECTED"/>
      <sheetName val="ExPre"/>
      <sheetName val="DropDown"/>
      <sheetName val="DIV9PartnerInfo"/>
      <sheetName val="DIV9Partner"/>
      <sheetName val="DIV9Rate"/>
      <sheetName val="FilePath"/>
      <sheetName val="VDP_DIV9 UPDATED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3">
          <cell r="A3" t="str">
            <v>Row Labels</v>
          </cell>
        </row>
        <row r="4">
          <cell r="A4" t="str">
            <v>MELINIO TRANSIT (AZ)</v>
          </cell>
        </row>
        <row r="5">
          <cell r="A5" t="str">
            <v>ORION TRANSIT, LLC</v>
          </cell>
        </row>
        <row r="6">
          <cell r="A6" t="str">
            <v>ZAY EAGLE CLEANING SERVICE</v>
          </cell>
        </row>
        <row r="7">
          <cell r="A7" t="str">
            <v>G WAY TRANSPORTATION LLC</v>
          </cell>
        </row>
        <row r="8">
          <cell r="A8" t="str">
            <v>THUNDERBIRD TRANSIT</v>
          </cell>
        </row>
        <row r="9">
          <cell r="A9" t="str">
            <v>KOBLER. FRED</v>
          </cell>
        </row>
        <row r="10">
          <cell r="A10" t="str">
            <v>ALL MOBILITY TRANSIT</v>
          </cell>
        </row>
        <row r="11">
          <cell r="A11" t="str">
            <v>POPEYE TRANSIT LLC</v>
          </cell>
        </row>
        <row r="12">
          <cell r="A12" t="str">
            <v>ROUNDS. DAVID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ratorDeductions-OtherEarning"/>
      <sheetName val="DropDown"/>
      <sheetName val="SEND VDP Statement"/>
      <sheetName val="Pay Period"/>
      <sheetName val="Review"/>
      <sheetName val="PR"/>
      <sheetName val="NewSheet"/>
      <sheetName val="Fare Lookup"/>
      <sheetName val="WORKSHEET"/>
      <sheetName val="Partner List"/>
      <sheetName val="ExPre"/>
      <sheetName val="FilePath"/>
      <sheetName val="Checks"/>
      <sheetName val="PRExportPre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74072222224" createdVersion="8" refreshedVersion="8" minRefreshableVersion="3" recordCount="42" xr:uid="{84068B5C-61DB-4BDF-AB6B-E8787BF0EF8A}">
  <cacheSource type="worksheet">
    <worksheetSource name="SumVDPMVReport"/>
  </cacheSource>
  <cacheFields count="59">
    <cacheField name="WeekN" numFmtId="0">
      <sharedItems count="2">
        <s v="Week1"/>
        <s v="Week2"/>
      </sharedItems>
    </cacheField>
    <cacheField name="Allowable Hours" numFmtId="0">
      <sharedItems containsSemiMixedTypes="0" containsString="0" containsNumber="1" containsInteger="1" minValue="50" maxValue="825"/>
    </cacheField>
    <cacheField name="Online Hours" numFmtId="0">
      <sharedItems containsSemiMixedTypes="0" containsString="0" containsNumber="1" minValue="0.08" maxValue="824.95"/>
    </cacheField>
    <cacheField name="Payable Online Hours" numFmtId="0">
      <sharedItems containsSemiMixedTypes="0" containsString="0" containsNumber="1" minValue="0.08" maxValue="824.95"/>
    </cacheField>
    <cacheField name="% of Hours to Required" numFmtId="0">
      <sharedItems containsSemiMixedTypes="0" containsString="0" containsNumber="1" minValue="1.6000000000000001E-3" maxValue="1"/>
    </cacheField>
    <cacheField name="Core Hours Rev" numFmtId="0">
      <sharedItems containsSemiMixedTypes="0" containsString="0" containsNumber="1" minValue="0" maxValue="18499.503799999999"/>
    </cacheField>
    <cacheField name="CHI Tier 1 Rev" numFmtId="0">
      <sharedItems containsSemiMixedTypes="0" containsString="0" containsNumber="1" minValue="0" maxValue="5692.1550000000007"/>
    </cacheField>
    <cacheField name="CHI Tier 2 Rev" numFmtId="0">
      <sharedItems containsSemiMixedTypes="0" containsString="0" containsNumber="1" minValue="0" maxValue="156.94250000000002"/>
    </cacheField>
    <cacheField name="CHI Tier 3 Rev" numFmtId="0">
      <sharedItems containsSemiMixedTypes="0" containsString="0" containsNumber="1" minValue="0" maxValue="661.4887500000001"/>
    </cacheField>
    <cacheField name="Acceptance Rate" numFmtId="0">
      <sharedItems containsSemiMixedTypes="0" containsString="0" containsNumber="1" minValue="0" maxValue="1"/>
    </cacheField>
    <cacheField name="Cancellation Rate" numFmtId="0">
      <sharedItems containsSemiMixedTypes="0" containsString="0" containsNumber="1" minValue="0" maxValue="7.1428571428571397E-2"/>
    </cacheField>
    <cacheField name="Tier 1 ARDCRI KPI Rev" numFmtId="0">
      <sharedItems containsSemiMixedTypes="0" containsString="0" containsNumber="1" minValue="0" maxValue="1840.35"/>
    </cacheField>
    <cacheField name="Tier 2 ARDCRI KPI Rev" numFmtId="0">
      <sharedItems containsSemiMixedTypes="0" containsString="0" containsNumber="1" minValue="0" maxValue="1423.0388"/>
    </cacheField>
    <cacheField name="Utilization%" numFmtId="0">
      <sharedItems containsSemiMixedTypes="0" containsString="0" containsNumber="1" minValue="0" maxValue="0.95455360022938196"/>
    </cacheField>
    <cacheField name="Utilization Rev" numFmtId="0">
      <sharedItems containsSemiMixedTypes="0" containsString="0" containsNumber="1" minValue="0" maxValue="1423.0388"/>
    </cacheField>
    <cacheField name="Driver Tips" numFmtId="0">
      <sharedItems containsSemiMixedTypes="0" containsString="0" containsNumber="1" minValue="0" maxValue="1061.71"/>
    </cacheField>
    <cacheField name="Tolls" numFmtId="0">
      <sharedItems containsSemiMixedTypes="0" containsString="0" containsNumber="1" minValue="0" maxValue="160.5"/>
    </cacheField>
    <cacheField name="CHI Non-KPI" numFmtId="0">
      <sharedItems containsSemiMixedTypes="0" containsString="0" containsNumber="1" minValue="0" maxValue="9726.5499999999993"/>
    </cacheField>
    <cacheField name="Total Rev" numFmtId="0">
      <sharedItems containsSemiMixedTypes="0" containsString="0" containsNumber="1" minValue="1.69" maxValue="28259.9463"/>
    </cacheField>
    <cacheField name="Required" numFmtId="0">
      <sharedItems containsSemiMixedTypes="0" containsString="0" containsNumber="1" containsInteger="1" minValue="50" maxValue="800"/>
    </cacheField>
    <cacheField name="CHI Rev" numFmtId="0">
      <sharedItems containsSemiMixedTypes="0" containsString="0" containsNumber="1" minValue="0" maxValue="5692.1549999999997"/>
    </cacheField>
    <cacheField name="Tier 1 ARDCRI KPI" numFmtId="0">
      <sharedItems containsSemiMixedTypes="0" containsString="0" containsNumber="1" minValue="0" maxValue="558.02"/>
    </cacheField>
    <cacheField name="Tier 2 ARDCRI KPI" numFmtId="0">
      <sharedItems containsSemiMixedTypes="0" containsString="0" containsNumber="1" minValue="0" maxValue="824.95"/>
    </cacheField>
    <cacheField name="Total Expired Offers" numFmtId="0">
      <sharedItems containsSemiMixedTypes="0" containsString="0" containsNumber="1" containsInteger="1" minValue="0" maxValue="69"/>
    </cacheField>
    <cacheField name="Total ARDCRI KPI Rev" numFmtId="0">
      <sharedItems containsSemiMixedTypes="0" containsString="0" containsNumber="1" minValue="0" maxValue="1840.35"/>
    </cacheField>
    <cacheField name="Approved Extra Hours" numFmtId="0">
      <sharedItems containsSemiMixedTypes="0" containsString="0" containsNumber="1" containsInteger="1" minValue="0" maxValue="36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unt="23">
        <s v="ORION TRANSIT, LLC"/>
        <s v="WHITE NILE TRANSIT"/>
        <s v="TIBSHA TRANSPORTATION"/>
        <s v="QUICK STARS LLC"/>
        <s v="QUAKER STATE TRANS LLC"/>
        <s v="PUNCTUAL SERVICE LLC"/>
        <s v="SHAMS TRANSPORTATION LLC"/>
        <s v="UMDOR LIMO SERVICES LLC"/>
        <s v="NUBIANTOD LLC"/>
        <s v="MOAAZKO TRANSIT LLC"/>
        <s v="ZAHIA LLC"/>
        <s v="JOUD LLC"/>
        <s v="GIANNA TRANSPORT LLC"/>
        <s v="JARA TRANS LLC"/>
        <s v="SABAH SBH LLC"/>
        <s v="SAFE DRIVE TRANS LLC"/>
        <s v="ABOU RANI TRANSIT LLC"/>
        <s v="ASKR AUTO INC"/>
        <s v="MELINIO TRANSIT"/>
        <s v="BROOKES TRANSPORTATION, LLC"/>
        <s v="ABU ANNE LLC"/>
        <s v="HAMID SALEH" u="1"/>
        <s v="TIBSHA TRANSPORTATION INC" u="1"/>
      </sharedItems>
    </cacheField>
    <cacheField name="Total Comp Trips" numFmtId="0">
      <sharedItems containsSemiMixedTypes="0" containsString="0" containsNumber="1" containsInteger="1" minValue="0" maxValue="1436"/>
    </cacheField>
    <cacheField name="Total Supply Hours" numFmtId="0">
      <sharedItems containsSemiMixedTypes="0" containsString="0" containsNumber="1" minValue="0.08" maxValue="831.04"/>
    </cacheField>
    <cacheField name="Paused Hours" numFmtId="0">
      <sharedItems containsSemiMixedTypes="0" containsString="0" containsNumber="1" minValue="0" maxValue="19.999999999999993"/>
    </cacheField>
    <cacheField name="WAV Trips" numFmtId="0">
      <sharedItems containsSemiMixedTypes="0" containsString="0" containsNumber="1" containsInteger="1" minValue="0" maxValue="312"/>
    </cacheField>
    <cacheField name="Non WAV Trips" numFmtId="0">
      <sharedItems containsSemiMixedTypes="0" containsString="0" containsNumber="1" containsInteger="1" minValue="0" maxValue="1194"/>
    </cacheField>
    <cacheField name="Utilized Hours" numFmtId="0">
      <sharedItems containsSemiMixedTypes="0" containsString="0" containsNumber="1" minValue="0" maxValue="744.35"/>
    </cacheField>
    <cacheField name="Open Hours" numFmtId="0">
      <sharedItems containsSemiMixedTypes="0" containsString="0" containsNumber="1" minValue="0.08" maxValue="133.85"/>
    </cacheField>
    <cacheField name="Core Total Supply Hours" numFmtId="0">
      <sharedItems containsSemiMixedTypes="0" containsString="0" containsNumber="1" minValue="0" maxValue="344.89"/>
    </cacheField>
    <cacheField name="Core Utilized Hours" numFmtId="0">
      <sharedItems containsSemiMixedTypes="0" containsString="0" containsNumber="1" minValue="0" maxValue="324.67000000000007"/>
    </cacheField>
    <cacheField name="Trips Per Hours" numFmtId="0">
      <sharedItems containsSemiMixedTypes="0" containsString="0" containsNumber="1" minValue="0" maxValue="49.13"/>
    </cacheField>
    <cacheField name="Total Accepts" numFmtId="0">
      <sharedItems containsSemiMixedTypes="0" containsString="0" containsNumber="1" containsInteger="1" minValue="0" maxValue="1744"/>
    </cacheField>
    <cacheField name="Total Rejects" numFmtId="0">
      <sharedItems containsSemiMixedTypes="0" containsString="0" containsNumber="1" containsInteger="1" minValue="0" maxValue="86"/>
    </cacheField>
    <cacheField name="Total Cancels" numFmtId="0">
      <sharedItems containsSemiMixedTypes="0" containsString="0" containsNumber="1" containsInteger="1" minValue="0" maxValue="83"/>
    </cacheField>
    <cacheField name="KPI Hours" numFmtId="0">
      <sharedItems containsSemiMixedTypes="0" containsString="0" containsNumber="1" minValue="0" maxValue="509.03000000000003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2.5" maxValue="34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50" maxValue="800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minValue="0" maxValue="461"/>
    </cacheField>
    <cacheField name="Driver Earnings Excl Tips" numFmtId="0">
      <sharedItems containsSemiMixedTypes="0" containsString="0" containsNumber="1" minValue="0" maxValue="17204.32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n v="550"/>
    <n v="546.16999999999996"/>
    <n v="546.16999999999996"/>
    <n v="1"/>
    <n v="11715.3465"/>
    <n v="3604.7220000000002"/>
    <n v="0"/>
    <n v="0"/>
    <n v="0.960538116591928"/>
    <n v="1.9607843137254902E-2"/>
    <n v="1802.3610000000001"/>
    <n v="0"/>
    <n v="0.91672922350184005"/>
    <n v="901.18050000000005"/>
    <n v="688.76"/>
    <n v="83.74"/>
    <n v="0"/>
    <n v="18796.11"/>
    <n v="540"/>
    <n v="3604.7220000000002"/>
    <n v="546.16999999999996"/>
    <n v="0"/>
    <n v="36"/>
    <n v="1802.3610000000001"/>
    <n v="10"/>
    <d v="2024-12-16T00:00:00"/>
    <x v="0"/>
    <n v="857"/>
    <n v="557.09999999999991"/>
    <n v="10.93"/>
    <n v="215"/>
    <n v="642"/>
    <n v="500.68999999999994"/>
    <n v="45.45"/>
    <n v="284.73999999999995"/>
    <n v="258.3"/>
    <n v="23.049999999999997"/>
    <n v="1071"/>
    <n v="8"/>
    <n v="21"/>
    <n v="379.01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10712.47"/>
  </r>
  <r>
    <x v="0"/>
    <n v="50"/>
    <n v="47.75"/>
    <n v="47.75"/>
    <n v="0.95499999999999996"/>
    <n v="1008.7188"/>
    <n v="0"/>
    <n v="0"/>
    <n v="77.59375"/>
    <n v="1"/>
    <n v="0"/>
    <n v="155.1875"/>
    <n v="0"/>
    <n v="0.58366492146596904"/>
    <n v="0"/>
    <n v="12"/>
    <n v="1.5"/>
    <n v="0"/>
    <n v="1255"/>
    <n v="50"/>
    <n v="77.593800000000002"/>
    <n v="47.75"/>
    <n v="0"/>
    <n v="0"/>
    <n v="155.1875"/>
    <n v="0"/>
    <d v="2024-12-16T00:00:00"/>
    <x v="1"/>
    <n v="65"/>
    <n v="50.19"/>
    <n v="2.44"/>
    <n v="5"/>
    <n v="60"/>
    <n v="27.87"/>
    <n v="19.87"/>
    <n v="11.07"/>
    <n v="7.87"/>
    <n v="1.3"/>
    <n v="72"/>
    <n v="0"/>
    <n v="0"/>
    <n v="47.7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07.05"/>
  </r>
  <r>
    <x v="0"/>
    <n v="60"/>
    <n v="59.9"/>
    <n v="59.9"/>
    <n v="1"/>
    <n v="1265.3875"/>
    <n v="389.34999999999997"/>
    <n v="0"/>
    <n v="0"/>
    <n v="1"/>
    <n v="1.0989010989011E-2"/>
    <n v="194.67500000000001"/>
    <n v="0"/>
    <n v="0.79415692821368999"/>
    <n v="97.337500000000006"/>
    <n v="83.57"/>
    <n v="1.5"/>
    <n v="0"/>
    <n v="2031.82"/>
    <n v="50"/>
    <n v="389.35"/>
    <n v="59.9"/>
    <n v="0"/>
    <n v="0"/>
    <n v="194.67500000000001"/>
    <n v="10"/>
    <d v="2024-12-16T00:00:00"/>
    <x v="2"/>
    <n v="70"/>
    <n v="60.07"/>
    <n v="0.17"/>
    <n v="22"/>
    <n v="48"/>
    <n v="47.57"/>
    <n v="12.33"/>
    <n v="36.67"/>
    <n v="30.41"/>
    <n v="1.17"/>
    <n v="91"/>
    <n v="0"/>
    <n v="1"/>
    <n v="59.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52.67"/>
  </r>
  <r>
    <x v="0"/>
    <n v="50"/>
    <n v="0.08"/>
    <n v="0.08"/>
    <n v="1.6000000000000001E-3"/>
    <n v="1.69"/>
    <n v="0"/>
    <n v="0"/>
    <n v="0"/>
    <n v="0"/>
    <n v="0"/>
    <n v="0"/>
    <n v="0"/>
    <n v="0"/>
    <n v="0"/>
    <n v="0"/>
    <n v="0"/>
    <n v="0"/>
    <n v="1.69"/>
    <n v="50"/>
    <n v="0"/>
    <n v="0"/>
    <n v="0"/>
    <n v="0"/>
    <n v="0"/>
    <n v="0"/>
    <d v="2024-12-16T00:00:00"/>
    <x v="3"/>
    <n v="0"/>
    <n v="0.08"/>
    <n v="0"/>
    <n v="0"/>
    <n v="0"/>
    <n v="0"/>
    <n v="0.08"/>
    <n v="0"/>
    <n v="0"/>
    <n v="0"/>
    <n v="0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.08"/>
    <n v="0"/>
  </r>
  <r>
    <x v="0"/>
    <n v="173"/>
    <n v="173.22"/>
    <n v="173"/>
    <n v="1"/>
    <n v="3654.625"/>
    <n v="1124.5"/>
    <n v="0"/>
    <n v="0"/>
    <n v="0.94900849858356895"/>
    <n v="4.7761194029850698E-2"/>
    <n v="0"/>
    <n v="281.125"/>
    <n v="0.84984412885348104"/>
    <n v="281.125"/>
    <n v="144.33000000000001"/>
    <n v="15.9"/>
    <n v="0"/>
    <n v="5501.6049999999996"/>
    <n v="150"/>
    <n v="1124.5"/>
    <n v="0"/>
    <n v="173"/>
    <n v="16"/>
    <n v="281.125"/>
    <n v="23"/>
    <d v="2024-12-16T00:00:00"/>
    <x v="4"/>
    <n v="272"/>
    <n v="173.93"/>
    <n v="0.71"/>
    <n v="62"/>
    <n v="210"/>
    <n v="147.21"/>
    <n v="25.990000000000002"/>
    <n v="77.55"/>
    <n v="67.070000000000007"/>
    <n v="4.5199999999999996"/>
    <n v="335"/>
    <n v="2"/>
    <n v="16"/>
    <n v="0"/>
    <n v="0.1"/>
    <n v="0.05"/>
    <n v="0.7"/>
    <n v="32.5"/>
    <n v="0"/>
    <n v="0.65"/>
    <n v="0.98"/>
    <n v="0.96"/>
    <n v="0.94"/>
    <n v="0.2"/>
    <n v="0.1"/>
    <n v="0.05"/>
    <n v="0.05"/>
    <n v="150"/>
    <n v="0"/>
    <n v="0"/>
    <n v="3186.6"/>
  </r>
  <r>
    <x v="0"/>
    <n v="50"/>
    <n v="11.200000000000001"/>
    <n v="11.200000000000001"/>
    <n v="0.224"/>
    <n v="0"/>
    <n v="0"/>
    <n v="0"/>
    <n v="0"/>
    <n v="0.76190476190476197"/>
    <n v="0"/>
    <n v="0"/>
    <n v="0"/>
    <n v="0.621428571428571"/>
    <n v="0"/>
    <n v="4.49"/>
    <n v="0"/>
    <n v="136.29"/>
    <n v="140.78"/>
    <n v="50"/>
    <n v="0"/>
    <n v="0"/>
    <n v="0"/>
    <n v="0"/>
    <n v="0"/>
    <n v="0"/>
    <d v="2024-12-16T00:00:00"/>
    <x v="5"/>
    <n v="16"/>
    <n v="11.22"/>
    <n v="0.02"/>
    <n v="5"/>
    <n v="11"/>
    <n v="6.96"/>
    <n v="4.24"/>
    <n v="4.7300000000000004"/>
    <n v="4.55"/>
    <n v="1.43"/>
    <n v="16"/>
    <n v="5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11.200000000000001"/>
    <n v="136.29"/>
  </r>
  <r>
    <x v="0"/>
    <n v="50"/>
    <n v="51.21"/>
    <n v="50"/>
    <n v="1"/>
    <n v="1056.25"/>
    <n v="325"/>
    <n v="0"/>
    <n v="0"/>
    <n v="1"/>
    <n v="2.1505376344085999E-2"/>
    <n v="162.5"/>
    <n v="0"/>
    <n v="0.79125170865065397"/>
    <n v="81.25"/>
    <n v="109.67"/>
    <n v="0"/>
    <n v="0"/>
    <n v="1734.67"/>
    <n v="50"/>
    <n v="325"/>
    <n v="50"/>
    <n v="0"/>
    <n v="0"/>
    <n v="162.5"/>
    <n v="0"/>
    <d v="2024-12-16T00:00:00"/>
    <x v="6"/>
    <n v="72"/>
    <n v="51.21"/>
    <n v="0"/>
    <n v="12"/>
    <n v="60"/>
    <n v="40.520000000000003"/>
    <n v="10.68"/>
    <n v="13.44"/>
    <n v="12.82"/>
    <n v="1.41"/>
    <n v="93"/>
    <n v="0"/>
    <n v="2"/>
    <n v="51.2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28.16"/>
  </r>
  <r>
    <x v="0"/>
    <n v="84"/>
    <n v="83.22999999999999"/>
    <n v="83.22999999999999"/>
    <n v="1"/>
    <n v="1758.2338"/>
    <n v="540.99499999999989"/>
    <n v="0"/>
    <n v="0"/>
    <n v="0.98795180722891596"/>
    <n v="1.8292682926829298E-2"/>
    <n v="270.4975"/>
    <n v="0"/>
    <n v="0.89619127718370795"/>
    <n v="135.24879999999999"/>
    <n v="100.21"/>
    <n v="8.1999999999999993"/>
    <n v="0"/>
    <n v="2813.3850000000002"/>
    <n v="50"/>
    <n v="540.995"/>
    <n v="83.22999999999999"/>
    <n v="0"/>
    <n v="2"/>
    <n v="270.4975"/>
    <n v="34"/>
    <d v="2024-12-16T00:00:00"/>
    <x v="7"/>
    <n v="150"/>
    <n v="83.88"/>
    <n v="0.65"/>
    <n v="17"/>
    <n v="133"/>
    <n v="74.59"/>
    <n v="8.64"/>
    <n v="15.33"/>
    <n v="14.15"/>
    <n v="1.79"/>
    <n v="164"/>
    <n v="0"/>
    <n v="3"/>
    <n v="83.229999999999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797.35"/>
  </r>
  <r>
    <x v="0"/>
    <n v="52"/>
    <n v="52"/>
    <n v="52"/>
    <n v="1"/>
    <n v="1098.5"/>
    <n v="338"/>
    <n v="0"/>
    <n v="0"/>
    <n v="0.85483870967741904"/>
    <n v="1.88679245283019E-2"/>
    <n v="0"/>
    <n v="0"/>
    <n v="0.74"/>
    <n v="84.5"/>
    <n v="46"/>
    <n v="0"/>
    <n v="0"/>
    <n v="1567"/>
    <n v="50"/>
    <n v="338"/>
    <n v="0"/>
    <n v="0"/>
    <n v="9"/>
    <n v="0"/>
    <n v="2"/>
    <d v="2024-12-16T00:00:00"/>
    <x v="8"/>
    <n v="51"/>
    <n v="52.45"/>
    <n v="0.45"/>
    <n v="21"/>
    <n v="30"/>
    <n v="38.479999999999997"/>
    <n v="13.51"/>
    <n v="33.32"/>
    <n v="25.37"/>
    <n v="0.97"/>
    <n v="53"/>
    <n v="0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2"/>
    <n v="694.75"/>
  </r>
  <r>
    <x v="0"/>
    <n v="51"/>
    <n v="50.620000000000005"/>
    <n v="50.620000000000005"/>
    <n v="1"/>
    <n v="1069.3475000000001"/>
    <n v="329.03000000000003"/>
    <n v="0"/>
    <n v="0"/>
    <n v="0.81707317073170704"/>
    <n v="0"/>
    <n v="0"/>
    <n v="0"/>
    <n v="0.73883840379296695"/>
    <n v="82.257499999999993"/>
    <n v="43.78"/>
    <n v="0"/>
    <n v="0"/>
    <n v="1524.415"/>
    <n v="50"/>
    <n v="329.03"/>
    <n v="0"/>
    <n v="0"/>
    <n v="14"/>
    <n v="0"/>
    <n v="1"/>
    <d v="2024-12-16T00:00:00"/>
    <x v="9"/>
    <n v="61"/>
    <n v="51.03"/>
    <n v="0.41"/>
    <n v="13"/>
    <n v="48"/>
    <n v="37.4"/>
    <n v="13.23"/>
    <n v="15.81"/>
    <n v="13.48"/>
    <n v="1.2"/>
    <n v="67"/>
    <n v="1"/>
    <n v="0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.620000000000005"/>
    <n v="747.08"/>
  </r>
  <r>
    <x v="0"/>
    <n v="425"/>
    <n v="407.07000000000005"/>
    <n v="407.07000000000005"/>
    <n v="0.95781176470588203"/>
    <n v="8599.3538000000008"/>
    <n v="0"/>
    <n v="0"/>
    <n v="661.4887500000001"/>
    <n v="0.91304347826086996"/>
    <n v="1.8062397372742199E-2"/>
    <n v="0"/>
    <n v="0"/>
    <n v="0.79052742771513496"/>
    <n v="661.48879999999997"/>
    <n v="476.63"/>
    <n v="31.9"/>
    <n v="0"/>
    <n v="10430.8613"/>
    <n v="425"/>
    <n v="661.48879999999997"/>
    <n v="0"/>
    <n v="0"/>
    <n v="51"/>
    <n v="0"/>
    <n v="0"/>
    <d v="2024-12-16T00:00:00"/>
    <x v="10"/>
    <n v="533"/>
    <n v="412.7299999999999"/>
    <n v="5.66"/>
    <n v="190"/>
    <n v="343"/>
    <n v="321.8"/>
    <n v="85.26"/>
    <n v="184.28000000000003"/>
    <n v="166.35"/>
    <n v="11.78"/>
    <n v="609"/>
    <n v="7"/>
    <n v="11"/>
    <n v="298.23"/>
    <n v="0.1"/>
    <n v="0.05"/>
    <n v="0.7"/>
    <n v="32.5"/>
    <n v="0"/>
    <n v="0.65"/>
    <n v="0.98"/>
    <n v="0.96"/>
    <n v="0.94"/>
    <n v="0.2"/>
    <n v="0.1"/>
    <n v="0.05"/>
    <n v="0.05"/>
    <n v="425"/>
    <n v="0"/>
    <n v="407.07000000000005"/>
    <n v="6937.4699999999993"/>
  </r>
  <r>
    <x v="0"/>
    <n v="51"/>
    <n v="50.5"/>
    <n v="50.5"/>
    <n v="1"/>
    <n v="1066.8125"/>
    <n v="328.25"/>
    <n v="0"/>
    <n v="0"/>
    <n v="0.98750000000000004"/>
    <n v="0"/>
    <n v="164.125"/>
    <n v="0"/>
    <n v="0.76019801980197999"/>
    <n v="82.0625"/>
    <n v="34"/>
    <n v="0"/>
    <n v="0"/>
    <n v="1675.25"/>
    <n v="50"/>
    <n v="328.25"/>
    <n v="50.5"/>
    <n v="0"/>
    <n v="1"/>
    <n v="164.125"/>
    <n v="1"/>
    <d v="2024-12-16T00:00:00"/>
    <x v="11"/>
    <n v="69"/>
    <n v="50.5"/>
    <n v="0"/>
    <n v="16"/>
    <n v="53"/>
    <n v="38.39"/>
    <n v="12.11"/>
    <n v="19.920000000000002"/>
    <n v="18.309999999999999"/>
    <n v="1.37"/>
    <n v="79"/>
    <n v="0"/>
    <n v="0"/>
    <n v="50.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55.55"/>
  </r>
  <r>
    <x v="0"/>
    <n v="50"/>
    <n v="32.56"/>
    <n v="32.56"/>
    <n v="0.6512"/>
    <n v="0"/>
    <n v="0"/>
    <n v="0"/>
    <n v="0"/>
    <n v="1"/>
    <n v="0"/>
    <n v="0"/>
    <n v="0"/>
    <n v="0.93120393120393097"/>
    <n v="0"/>
    <n v="108.99"/>
    <n v="24"/>
    <n v="648.21"/>
    <n v="781.2"/>
    <n v="50"/>
    <n v="0"/>
    <n v="32.56"/>
    <n v="0"/>
    <n v="0"/>
    <n v="0"/>
    <n v="0"/>
    <d v="2024-12-16T00:00:00"/>
    <x v="12"/>
    <n v="52"/>
    <n v="39.340000000000003"/>
    <n v="6.78"/>
    <n v="24"/>
    <n v="28"/>
    <n v="30.32"/>
    <n v="2.2400000000000002"/>
    <n v="21.68"/>
    <n v="17.32"/>
    <n v="1.32"/>
    <n v="58"/>
    <n v="0"/>
    <n v="0"/>
    <n v="32.5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48.21"/>
  </r>
  <r>
    <x v="0"/>
    <n v="50"/>
    <n v="47.85"/>
    <n v="47.85"/>
    <n v="0.95699999999999996"/>
    <n v="1010.8312"/>
    <n v="0"/>
    <n v="0"/>
    <n v="77.756250000000009"/>
    <n v="1"/>
    <n v="0"/>
    <n v="155.51249999999999"/>
    <n v="0"/>
    <n v="0.76969696969696999"/>
    <n v="77.756200000000007"/>
    <n v="31.11"/>
    <n v="4"/>
    <n v="0"/>
    <n v="1356.9662000000001"/>
    <n v="50"/>
    <n v="77.756200000000007"/>
    <n v="47.85"/>
    <n v="0"/>
    <n v="0"/>
    <n v="155.51249999999999"/>
    <n v="0"/>
    <d v="2024-12-16T00:00:00"/>
    <x v="13"/>
    <n v="81"/>
    <n v="50.67"/>
    <n v="2.82"/>
    <n v="7"/>
    <n v="74"/>
    <n v="36.83"/>
    <n v="11.02"/>
    <n v="3.49"/>
    <n v="3.17"/>
    <n v="1.6"/>
    <n v="87"/>
    <n v="0"/>
    <n v="0"/>
    <n v="47.8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38.33"/>
  </r>
  <r>
    <x v="0"/>
    <n v="50"/>
    <n v="48.290000000000006"/>
    <n v="48.290000000000006"/>
    <n v="0.96579999999999999"/>
    <n v="1020.1262"/>
    <n v="0"/>
    <n v="156.94250000000002"/>
    <n v="0"/>
    <n v="1"/>
    <n v="4.6511627906976702E-2"/>
    <n v="0"/>
    <n v="78.471199999999996"/>
    <n v="0.67446676330503197"/>
    <n v="0"/>
    <n v="42"/>
    <n v="7.06"/>
    <n v="0"/>
    <n v="1304.5999999999999"/>
    <n v="50"/>
    <n v="156.9425"/>
    <n v="0"/>
    <n v="48.290000000000006"/>
    <n v="0"/>
    <n v="78.471199999999996"/>
    <n v="0"/>
    <d v="2024-12-16T00:00:00"/>
    <x v="14"/>
    <n v="58"/>
    <n v="50.02"/>
    <n v="1.73"/>
    <n v="8"/>
    <n v="50"/>
    <n v="32.57"/>
    <n v="15.73"/>
    <n v="12.7"/>
    <n v="8.6199999999999992"/>
    <n v="1.1599999999999999"/>
    <n v="86"/>
    <n v="0"/>
    <n v="4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81.96"/>
  </r>
  <r>
    <x v="0"/>
    <n v="51"/>
    <n v="50.92"/>
    <n v="50.92"/>
    <n v="1"/>
    <n v="1075.6849999999999"/>
    <n v="330.98"/>
    <n v="0"/>
    <n v="0"/>
    <n v="1"/>
    <n v="0"/>
    <n v="165.49"/>
    <n v="0"/>
    <n v="0.74980361351139002"/>
    <n v="82.745000000000005"/>
    <n v="43.56"/>
    <n v="0"/>
    <n v="0"/>
    <n v="1698.46"/>
    <n v="50"/>
    <n v="330.98"/>
    <n v="50.92"/>
    <n v="0"/>
    <n v="0"/>
    <n v="165.49"/>
    <n v="1"/>
    <d v="2024-12-16T00:00:00"/>
    <x v="15"/>
    <n v="74"/>
    <n v="50.92"/>
    <n v="0"/>
    <n v="12"/>
    <n v="62"/>
    <n v="38.18"/>
    <n v="12.74"/>
    <n v="19.13"/>
    <n v="13.7"/>
    <n v="1.45"/>
    <n v="71"/>
    <n v="0"/>
    <n v="0"/>
    <n v="50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7.86"/>
  </r>
  <r>
    <x v="0"/>
    <n v="51"/>
    <n v="50.61"/>
    <n v="50.61"/>
    <n v="1"/>
    <n v="1069.1361999999999"/>
    <n v="328.96499999999997"/>
    <n v="0"/>
    <n v="0"/>
    <n v="1"/>
    <n v="0"/>
    <n v="164.48249999999999"/>
    <n v="0"/>
    <n v="0.780478166370282"/>
    <n v="82.241200000000006"/>
    <n v="19"/>
    <n v="0"/>
    <n v="0"/>
    <n v="1663.825"/>
    <n v="50"/>
    <n v="328.96499999999997"/>
    <n v="50.61"/>
    <n v="0"/>
    <n v="0"/>
    <n v="164.48249999999999"/>
    <n v="1"/>
    <d v="2024-12-16T00:00:00"/>
    <x v="16"/>
    <n v="48"/>
    <n v="50.61"/>
    <n v="0"/>
    <n v="29"/>
    <n v="19"/>
    <n v="39.5"/>
    <n v="11.11"/>
    <n v="38.6"/>
    <n v="31.65"/>
    <n v="0.95"/>
    <n v="65"/>
    <n v="0"/>
    <n v="0"/>
    <n v="50.6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20.28"/>
  </r>
  <r>
    <x v="0"/>
    <n v="100"/>
    <n v="99.389999999999986"/>
    <n v="99.389999999999986"/>
    <n v="0.99390000000000001"/>
    <n v="2099.6138000000001"/>
    <n v="646.03499999999985"/>
    <n v="0"/>
    <n v="0"/>
    <n v="1"/>
    <n v="1.8072289156626498E-2"/>
    <n v="323.01749999999998"/>
    <n v="0"/>
    <n v="0.75067914277090297"/>
    <n v="161.50880000000001"/>
    <n v="70.989999999999995"/>
    <n v="0"/>
    <n v="0"/>
    <n v="3301.165"/>
    <n v="100"/>
    <n v="646.03499999999997"/>
    <n v="99.389999999999986"/>
    <n v="0"/>
    <n v="0"/>
    <n v="323.01749999999998"/>
    <n v="0"/>
    <d v="2024-12-16T00:00:00"/>
    <x v="17"/>
    <n v="140"/>
    <n v="99.449999999999989"/>
    <n v="6.0000000000000005E-2"/>
    <n v="38"/>
    <n v="102"/>
    <n v="74.61"/>
    <n v="24.790000000000003"/>
    <n v="40.43"/>
    <n v="31.47"/>
    <n v="3.83"/>
    <n v="166"/>
    <n v="0"/>
    <n v="3"/>
    <n v="79.930000000000007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44.7"/>
  </r>
  <r>
    <x v="0"/>
    <n v="560"/>
    <n v="558.02"/>
    <n v="558.02"/>
    <n v="1"/>
    <n v="11962.2747"/>
    <n v="3680.69992"/>
    <n v="0"/>
    <n v="0"/>
    <n v="0.99216027874564405"/>
    <n v="2.1071115013169401E-2"/>
    <n v="1840.35"/>
    <n v="0"/>
    <n v="0.95455360022938196"/>
    <n v="920.17499999999995"/>
    <n v="672.86"/>
    <n v="76.599999999999994"/>
    <n v="0"/>
    <n v="19152.959599999998"/>
    <n v="540"/>
    <n v="3680.6999000000001"/>
    <n v="558.02"/>
    <n v="0"/>
    <n v="3"/>
    <n v="1840.35"/>
    <n v="20"/>
    <d v="2024-12-16T00:00:00"/>
    <x v="18"/>
    <n v="948"/>
    <n v="566.47"/>
    <n v="8.4499999999999993"/>
    <n v="254"/>
    <n v="694"/>
    <n v="532.66"/>
    <n v="25.36"/>
    <n v="255.09000000000003"/>
    <n v="245.45"/>
    <n v="20.260000000000002"/>
    <n v="1139"/>
    <n v="6"/>
    <n v="24"/>
    <n v="372.15999999999997"/>
    <n v="0.1"/>
    <n v="0.05"/>
    <n v="0.7"/>
    <n v="32.979999999999997"/>
    <n v="0"/>
    <n v="0.65"/>
    <n v="0.98"/>
    <n v="0.96"/>
    <n v="0.94"/>
    <n v="0.2"/>
    <n v="0.1"/>
    <n v="0.05"/>
    <n v="0.05"/>
    <n v="540"/>
    <n v="0"/>
    <n v="0"/>
    <n v="11851.31"/>
  </r>
  <r>
    <x v="0"/>
    <n v="806"/>
    <n v="794.84000000000015"/>
    <n v="794.84000000000015"/>
    <n v="0.99355000000000004"/>
    <n v="17824.287"/>
    <n v="5484.3960000000015"/>
    <n v="0"/>
    <n v="0"/>
    <n v="0.95382078064870801"/>
    <n v="4.6109510086455301E-2"/>
    <n v="0"/>
    <n v="1371.0989999999999"/>
    <n v="0.933382819183735"/>
    <n v="1371.0989999999999"/>
    <n v="951.2"/>
    <n v="59.9"/>
    <n v="0"/>
    <n v="27061.981"/>
    <n v="800"/>
    <n v="5484.3959999999997"/>
    <n v="0"/>
    <n v="794.84000000000015"/>
    <n v="46"/>
    <n v="1371.0989999999999"/>
    <n v="6"/>
    <d v="2024-12-16T00:00:00"/>
    <x v="19"/>
    <n v="1335"/>
    <n v="801.47000000000014"/>
    <n v="6.63"/>
    <n v="312"/>
    <n v="1023"/>
    <n v="741.89000000000021"/>
    <n v="52.919999999999995"/>
    <n v="344.89"/>
    <n v="324.67000000000007"/>
    <n v="46.589999999999996"/>
    <n v="1735"/>
    <n v="38"/>
    <n v="80"/>
    <n v="421.17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5693.289999999999"/>
  </r>
  <r>
    <x v="0"/>
    <n v="50"/>
    <n v="50.1"/>
    <n v="50"/>
    <n v="1"/>
    <n v="1056.25"/>
    <n v="325"/>
    <n v="0"/>
    <n v="0"/>
    <n v="1"/>
    <n v="2.7027027027027001E-2"/>
    <n v="162.5"/>
    <n v="0"/>
    <n v="0.57504990019960101"/>
    <n v="0"/>
    <n v="31"/>
    <n v="0"/>
    <n v="0"/>
    <n v="1574.75"/>
    <n v="50"/>
    <n v="325"/>
    <n v="50"/>
    <n v="0"/>
    <n v="0"/>
    <n v="162.5"/>
    <n v="0"/>
    <d v="2024-12-16T00:00:00"/>
    <x v="20"/>
    <n v="51"/>
    <n v="50.11"/>
    <n v="0.01"/>
    <n v="17"/>
    <n v="34"/>
    <n v="28.81"/>
    <n v="21.3"/>
    <n v="29.28"/>
    <n v="18.68"/>
    <n v="1.02"/>
    <n v="74"/>
    <n v="0"/>
    <n v="2"/>
    <n v="50.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545.98"/>
  </r>
  <r>
    <x v="1"/>
    <n v="60"/>
    <n v="59.9"/>
    <n v="59.9"/>
    <n v="1"/>
    <n v="1265.3875"/>
    <n v="389.34999999999997"/>
    <n v="0"/>
    <n v="0"/>
    <n v="0.893805309734513"/>
    <n v="2.9702970297029702E-2"/>
    <n v="0"/>
    <n v="0"/>
    <n v="0.67495826377295498"/>
    <n v="0"/>
    <n v="73.8"/>
    <n v="6"/>
    <n v="0"/>
    <n v="1734.5374999999999"/>
    <n v="50"/>
    <n v="389.35"/>
    <n v="0"/>
    <n v="0"/>
    <n v="12"/>
    <n v="0"/>
    <n v="10"/>
    <d v="2024-12-23T00:00:00"/>
    <x v="1"/>
    <n v="94"/>
    <n v="60"/>
    <n v="0.1"/>
    <n v="10"/>
    <n v="84"/>
    <n v="40.43"/>
    <n v="19.46"/>
    <n v="16.78"/>
    <n v="13.18"/>
    <n v="1.57"/>
    <n v="101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9.9"/>
    <n v="1050.47"/>
  </r>
  <r>
    <x v="1"/>
    <n v="82"/>
    <n v="81.36"/>
    <n v="81.36"/>
    <n v="1"/>
    <n v="1718.73"/>
    <n v="528.84"/>
    <n v="0"/>
    <n v="0"/>
    <n v="1"/>
    <n v="5.9171597633136102E-3"/>
    <n v="264.42"/>
    <n v="0"/>
    <n v="0.85656342182890899"/>
    <n v="132.21"/>
    <n v="98.93"/>
    <n v="5.5"/>
    <n v="0"/>
    <n v="2748.63"/>
    <n v="50"/>
    <n v="528.84"/>
    <n v="81.36"/>
    <n v="0"/>
    <n v="0"/>
    <n v="264.42"/>
    <n v="32"/>
    <d v="2024-12-23T00:00:00"/>
    <x v="7"/>
    <n v="157"/>
    <n v="84.84"/>
    <n v="3.48"/>
    <n v="10"/>
    <n v="147"/>
    <n v="69.69"/>
    <n v="11.67"/>
    <n v="11.68"/>
    <n v="6.92"/>
    <n v="1.85"/>
    <n v="169"/>
    <n v="0"/>
    <n v="1"/>
    <n v="81.36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806.49"/>
  </r>
  <r>
    <x v="1"/>
    <n v="60"/>
    <n v="59.99"/>
    <n v="59.99"/>
    <n v="1"/>
    <n v="1267.2888"/>
    <n v="389.935"/>
    <n v="0"/>
    <n v="0"/>
    <n v="1"/>
    <n v="0"/>
    <n v="194.9675"/>
    <n v="0"/>
    <n v="0.77446241040173402"/>
    <n v="97.483800000000002"/>
    <n v="97.89"/>
    <n v="0"/>
    <n v="0"/>
    <n v="2047.5650000000001"/>
    <n v="50"/>
    <n v="389.935"/>
    <n v="59.99"/>
    <n v="0"/>
    <n v="0"/>
    <n v="194.9675"/>
    <n v="10"/>
    <d v="2024-12-23T00:00:00"/>
    <x v="2"/>
    <n v="83"/>
    <n v="60"/>
    <n v="0.01"/>
    <n v="20"/>
    <n v="63"/>
    <n v="46.46"/>
    <n v="13.52"/>
    <n v="37.51"/>
    <n v="29.82"/>
    <n v="1.38"/>
    <n v="99"/>
    <n v="0"/>
    <n v="0"/>
    <n v="59.99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23.87"/>
  </r>
  <r>
    <x v="1"/>
    <n v="540"/>
    <n v="507.21000000000004"/>
    <n v="507.21000000000004"/>
    <n v="0.93927777777777799"/>
    <n v="0"/>
    <n v="0"/>
    <n v="0"/>
    <n v="0"/>
    <n v="0.94450050454086798"/>
    <n v="2.45726495726496E-2"/>
    <n v="0"/>
    <n v="0"/>
    <n v="0.83963249935924"/>
    <n v="0"/>
    <n v="775.55"/>
    <n v="98.13"/>
    <n v="9726.5499999999993"/>
    <n v="10600.23"/>
    <n v="540"/>
    <n v="0"/>
    <n v="0"/>
    <n v="507.21000000000004"/>
    <n v="48"/>
    <n v="0"/>
    <n v="0"/>
    <d v="2024-12-23T00:00:00"/>
    <x v="0"/>
    <n v="804"/>
    <n v="527.20999999999992"/>
    <n v="19.999999999999993"/>
    <n v="122"/>
    <n v="682"/>
    <n v="425.86999999999995"/>
    <n v="81.320000000000007"/>
    <n v="202.51000000000002"/>
    <n v="161.99"/>
    <n v="26.220000000000002"/>
    <n v="936"/>
    <n v="7"/>
    <n v="23"/>
    <n v="325.33000000000004"/>
    <n v="0.1"/>
    <n v="0.05"/>
    <n v="0.7"/>
    <n v="33"/>
    <n v="0"/>
    <n v="0.65"/>
    <n v="0.98"/>
    <n v="0.96"/>
    <n v="0.94"/>
    <n v="0.2"/>
    <n v="0.1"/>
    <n v="0.05"/>
    <n v="0.05"/>
    <n v="540"/>
    <n v="0"/>
    <n v="0"/>
    <n v="9726.5500000000011"/>
  </r>
  <r>
    <x v="1"/>
    <n v="50"/>
    <n v="50.63"/>
    <n v="50"/>
    <n v="1"/>
    <n v="1056.25"/>
    <n v="325"/>
    <n v="0"/>
    <n v="0"/>
    <n v="0.96721311475409799"/>
    <n v="0"/>
    <n v="162.5"/>
    <n v="0"/>
    <n v="0.58246099150701203"/>
    <n v="0"/>
    <n v="30.18"/>
    <n v="9.9"/>
    <n v="0"/>
    <n v="1583.83"/>
    <n v="50"/>
    <n v="325"/>
    <n v="50"/>
    <n v="0"/>
    <n v="0"/>
    <n v="162.5"/>
    <n v="0"/>
    <d v="2024-12-23T00:00:00"/>
    <x v="3"/>
    <n v="55"/>
    <n v="50.99"/>
    <n v="0.36"/>
    <n v="2"/>
    <n v="53"/>
    <n v="29.49"/>
    <n v="21.14"/>
    <n v="8.07"/>
    <n v="7"/>
    <n v="1.08"/>
    <n v="59"/>
    <n v="2"/>
    <n v="0"/>
    <n v="50.6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6.97"/>
  </r>
  <r>
    <x v="1"/>
    <n v="57"/>
    <n v="57.050000000000004"/>
    <n v="57"/>
    <n v="1"/>
    <n v="1204.125"/>
    <n v="370.5"/>
    <n v="0"/>
    <n v="0"/>
    <n v="0.97826086956521696"/>
    <n v="0"/>
    <n v="185.25"/>
    <n v="0"/>
    <n v="0.78615249780894003"/>
    <n v="92.625"/>
    <n v="69"/>
    <n v="0"/>
    <n v="0"/>
    <n v="1921.5"/>
    <n v="50"/>
    <n v="370.5"/>
    <n v="57"/>
    <n v="0"/>
    <n v="2"/>
    <n v="185.25"/>
    <n v="7"/>
    <d v="2024-12-23T00:00:00"/>
    <x v="16"/>
    <n v="76"/>
    <n v="57.1"/>
    <n v="0.05"/>
    <n v="24"/>
    <n v="52"/>
    <n v="44.85"/>
    <n v="12.2"/>
    <n v="45.5"/>
    <n v="37.85"/>
    <n v="1.33"/>
    <n v="90"/>
    <n v="0"/>
    <n v="0"/>
    <n v="57.050000000000004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904.31"/>
  </r>
  <r>
    <x v="1"/>
    <n v="160"/>
    <n v="158.84"/>
    <n v="158.84"/>
    <n v="1"/>
    <n v="3355.4949999999999"/>
    <n v="1032.46"/>
    <n v="0"/>
    <n v="0"/>
    <n v="0.87114845938375396"/>
    <n v="3.2154340836012901E-2"/>
    <n v="0"/>
    <n v="0"/>
    <n v="0.79262150591790503"/>
    <n v="258.11500000000001"/>
    <n v="152.74"/>
    <n v="27.2"/>
    <n v="0"/>
    <n v="4826.01"/>
    <n v="150"/>
    <n v="1032.46"/>
    <n v="0"/>
    <n v="0"/>
    <n v="43"/>
    <n v="0"/>
    <n v="10"/>
    <d v="2024-12-23T00:00:00"/>
    <x v="4"/>
    <n v="262"/>
    <n v="160.67000000000002"/>
    <n v="1.83"/>
    <n v="39"/>
    <n v="223"/>
    <n v="125.9"/>
    <n v="32.92"/>
    <n v="68.3"/>
    <n v="53.64"/>
    <n v="4.83"/>
    <n v="311"/>
    <n v="3"/>
    <n v="10"/>
    <n v="48.37"/>
    <n v="0.1"/>
    <n v="0.05"/>
    <n v="0.7"/>
    <n v="32.5"/>
    <n v="0"/>
    <n v="0.65"/>
    <n v="0.98"/>
    <n v="0.96"/>
    <n v="0.94"/>
    <n v="0.2"/>
    <n v="0.1"/>
    <n v="0.05"/>
    <n v="0.05"/>
    <n v="150"/>
    <n v="0"/>
    <n v="158.84"/>
    <n v="3051.4300000000003"/>
  </r>
  <r>
    <x v="1"/>
    <n v="50"/>
    <n v="49.85"/>
    <n v="49.85"/>
    <n v="0.997"/>
    <n v="1053.0812000000001"/>
    <n v="324.02500000000003"/>
    <n v="0"/>
    <n v="0"/>
    <n v="0.88888888888888895"/>
    <n v="6.25E-2"/>
    <n v="0"/>
    <n v="0"/>
    <n v="0.111735205616851"/>
    <n v="0"/>
    <n v="13.75"/>
    <n v="6"/>
    <n v="0"/>
    <n v="1396.8561999999999"/>
    <n v="50"/>
    <n v="324.02499999999998"/>
    <n v="0"/>
    <n v="0"/>
    <n v="0"/>
    <n v="0"/>
    <n v="0"/>
    <d v="2024-12-23T00:00:00"/>
    <x v="5"/>
    <n v="13"/>
    <n v="50.02"/>
    <n v="0.17"/>
    <n v="0"/>
    <n v="13"/>
    <n v="5.57"/>
    <n v="44.28"/>
    <n v="17.440000000000001"/>
    <n v="2.2400000000000002"/>
    <n v="0.26"/>
    <n v="16"/>
    <n v="2"/>
    <n v="1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49.85"/>
    <n v="138.04"/>
  </r>
  <r>
    <x v="1"/>
    <n v="100"/>
    <n v="101.98"/>
    <n v="100"/>
    <n v="1"/>
    <n v="2112.5"/>
    <n v="650"/>
    <n v="0"/>
    <n v="0"/>
    <n v="0.99502487562189101"/>
    <n v="7.0000000000000007E-2"/>
    <n v="0"/>
    <n v="0"/>
    <n v="0.74593057462247503"/>
    <n v="162.5"/>
    <n v="141.54"/>
    <n v="5.4"/>
    <n v="0"/>
    <n v="3071.94"/>
    <n v="100"/>
    <n v="650"/>
    <n v="0"/>
    <n v="0"/>
    <n v="0"/>
    <n v="0"/>
    <n v="0"/>
    <d v="2024-12-23T00:00:00"/>
    <x v="6"/>
    <n v="161"/>
    <n v="102.21000000000001"/>
    <n v="0.23"/>
    <n v="22"/>
    <n v="139"/>
    <n v="76.069999999999993"/>
    <n v="25.91"/>
    <n v="40.479999999999997"/>
    <n v="28.950000000000003"/>
    <n v="3.1500000000000004"/>
    <n v="200"/>
    <n v="1"/>
    <n v="14"/>
    <n v="50.370000000000005"/>
    <n v="0.1"/>
    <n v="0.05"/>
    <n v="0.7"/>
    <n v="32.5"/>
    <n v="0"/>
    <n v="0.65"/>
    <n v="0.98"/>
    <n v="0.96"/>
    <n v="0.94"/>
    <n v="0.2"/>
    <n v="0.1"/>
    <n v="0.05"/>
    <n v="0.05"/>
    <n v="100"/>
    <n v="0"/>
    <n v="100"/>
    <n v="1761.09"/>
  </r>
  <r>
    <x v="1"/>
    <n v="53"/>
    <n v="53.41"/>
    <n v="53"/>
    <n v="1"/>
    <n v="1119.625"/>
    <n v="344.5"/>
    <n v="0"/>
    <n v="0"/>
    <n v="1"/>
    <n v="0"/>
    <n v="172.25"/>
    <n v="0"/>
    <n v="0.69799662984459798"/>
    <n v="0"/>
    <n v="55.81"/>
    <n v="0"/>
    <n v="0"/>
    <n v="1692.1849999999999"/>
    <n v="50"/>
    <n v="344.5"/>
    <n v="53"/>
    <n v="0"/>
    <n v="0"/>
    <n v="172.25"/>
    <n v="3"/>
    <d v="2024-12-23T00:00:00"/>
    <x v="8"/>
    <n v="54"/>
    <n v="53.41"/>
    <n v="0"/>
    <n v="14"/>
    <n v="40"/>
    <n v="37.28"/>
    <n v="16.14"/>
    <n v="38.31"/>
    <n v="26.83"/>
    <n v="1.01"/>
    <n v="63"/>
    <n v="0"/>
    <n v="0"/>
    <n v="53.41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30.3"/>
  </r>
  <r>
    <x v="1"/>
    <n v="50"/>
    <n v="50.03"/>
    <n v="50"/>
    <n v="1"/>
    <n v="1056.25"/>
    <n v="325"/>
    <n v="0"/>
    <n v="0"/>
    <n v="1"/>
    <n v="4.47761194029851E-2"/>
    <n v="0"/>
    <n v="81.25"/>
    <n v="0.58344993004197498"/>
    <n v="0"/>
    <n v="45.02"/>
    <n v="0"/>
    <n v="0"/>
    <n v="1507.52"/>
    <n v="50"/>
    <n v="325"/>
    <n v="0"/>
    <n v="50"/>
    <n v="0"/>
    <n v="81.25"/>
    <n v="0"/>
    <d v="2024-12-23T00:00:00"/>
    <x v="20"/>
    <n v="54"/>
    <n v="50.03"/>
    <n v="0"/>
    <n v="19"/>
    <n v="35"/>
    <n v="29.19"/>
    <n v="20.84"/>
    <n v="37.49"/>
    <n v="24.53"/>
    <n v="1.08"/>
    <n v="67"/>
    <n v="0"/>
    <n v="3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631.01"/>
  </r>
  <r>
    <x v="1"/>
    <n v="510"/>
    <n v="509.03000000000003"/>
    <n v="509.03000000000003"/>
    <n v="0.99809803921568596"/>
    <n v="10912.0761"/>
    <n v="3357.5618800000002"/>
    <n v="0"/>
    <n v="0"/>
    <n v="0.98223801065719396"/>
    <n v="1.5370705244123E-2"/>
    <n v="1678.7809"/>
    <n v="0"/>
    <n v="0.93279374496591505"/>
    <n v="839.39049999999997"/>
    <n v="758.28"/>
    <n v="68.7"/>
    <n v="0"/>
    <n v="17614.789400000001"/>
    <n v="510"/>
    <n v="3357.5619000000002"/>
    <n v="509.03000000000003"/>
    <n v="0"/>
    <n v="6"/>
    <n v="1678.7809"/>
    <n v="0"/>
    <d v="2024-12-23T00:00:00"/>
    <x v="18"/>
    <n v="955"/>
    <n v="517.31000000000006"/>
    <n v="8.2800000000000011"/>
    <n v="177"/>
    <n v="778"/>
    <n v="474.81999999999994"/>
    <n v="34.19"/>
    <n v="247.41"/>
    <n v="223.01999999999998"/>
    <n v="20.37"/>
    <n v="1106"/>
    <n v="14"/>
    <n v="17"/>
    <n v="509.03000000000003"/>
    <n v="0.1"/>
    <n v="0.05"/>
    <n v="0.7"/>
    <n v="32.979999999999997"/>
    <n v="0"/>
    <n v="0.65"/>
    <n v="0.98"/>
    <n v="0.96"/>
    <n v="0.94"/>
    <n v="0.2"/>
    <n v="0.1"/>
    <n v="0.05"/>
    <n v="0.05"/>
    <n v="510"/>
    <n v="0"/>
    <n v="0"/>
    <n v="11166.119999999999"/>
  </r>
  <r>
    <x v="1"/>
    <n v="70"/>
    <n v="69.92"/>
    <n v="69.92"/>
    <n v="1"/>
    <n v="1477.06"/>
    <n v="454.48"/>
    <n v="0"/>
    <n v="0"/>
    <n v="1"/>
    <n v="1.1111111111111099E-2"/>
    <n v="227.24"/>
    <n v="0"/>
    <n v="0.59253432494279201"/>
    <n v="0"/>
    <n v="71.69"/>
    <n v="6"/>
    <n v="0"/>
    <n v="2236.4699999999998"/>
    <n v="50"/>
    <n v="454.48"/>
    <n v="69.92"/>
    <n v="0"/>
    <n v="0"/>
    <n v="227.24"/>
    <n v="20"/>
    <d v="2024-12-23T00:00:00"/>
    <x v="9"/>
    <n v="80"/>
    <n v="70.08"/>
    <n v="0.16"/>
    <n v="14"/>
    <n v="66"/>
    <n v="41.43"/>
    <n v="28.49"/>
    <n v="38.35"/>
    <n v="24.44"/>
    <n v="1.1399999999999999"/>
    <n v="90"/>
    <n v="0"/>
    <n v="1"/>
    <n v="69.92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92.86"/>
  </r>
  <r>
    <x v="1"/>
    <n v="50"/>
    <n v="50.06"/>
    <n v="50"/>
    <n v="1"/>
    <n v="1056.25"/>
    <n v="325"/>
    <n v="0"/>
    <n v="0"/>
    <n v="1"/>
    <n v="7.1428571428571397E-2"/>
    <n v="0"/>
    <n v="0"/>
    <n v="0.66939672393128202"/>
    <n v="0"/>
    <n v="60.36"/>
    <n v="3.8"/>
    <n v="0"/>
    <n v="1445.41"/>
    <n v="50"/>
    <n v="325"/>
    <n v="0"/>
    <n v="0"/>
    <n v="0"/>
    <n v="0"/>
    <n v="0"/>
    <d v="2024-12-23T00:00:00"/>
    <x v="14"/>
    <n v="70"/>
    <n v="50.07"/>
    <n v="0.01"/>
    <n v="10"/>
    <n v="60"/>
    <n v="33.51"/>
    <n v="16.54"/>
    <n v="15.75"/>
    <n v="11.36"/>
    <n v="1.4"/>
    <n v="84"/>
    <n v="0"/>
    <n v="6"/>
    <n v="0"/>
    <n v="0.1"/>
    <n v="0.05"/>
    <n v="0.7"/>
    <n v="32.5"/>
    <n v="0"/>
    <n v="0.65"/>
    <n v="0.98"/>
    <n v="0.96"/>
    <n v="0.94"/>
    <n v="0.2"/>
    <n v="0.1"/>
    <n v="0.05"/>
    <n v="0.05"/>
    <n v="50"/>
    <n v="0"/>
    <n v="50"/>
    <n v="816.34"/>
  </r>
  <r>
    <x v="1"/>
    <n v="825"/>
    <n v="824.95"/>
    <n v="824.95"/>
    <n v="1"/>
    <n v="18499.503799999999"/>
    <n v="5692.1550000000007"/>
    <n v="0"/>
    <n v="0"/>
    <n v="0.92080253431890202"/>
    <n v="4.7591743119266103E-2"/>
    <n v="0"/>
    <n v="1423.0388"/>
    <n v="0.90229710891569204"/>
    <n v="1423.0388"/>
    <n v="1061.71"/>
    <n v="160.5"/>
    <n v="0"/>
    <n v="28259.9463"/>
    <n v="800"/>
    <n v="5692.1549999999997"/>
    <n v="0"/>
    <n v="824.95"/>
    <n v="64"/>
    <n v="1423.0388"/>
    <n v="25"/>
    <d v="2024-12-23T00:00:00"/>
    <x v="19"/>
    <n v="1436"/>
    <n v="831.04"/>
    <n v="6.089999999999999"/>
    <n v="242"/>
    <n v="1194"/>
    <n v="744.35"/>
    <n v="80.550000000000011"/>
    <n v="292.80999999999995"/>
    <n v="260.54999999999995"/>
    <n v="49.13"/>
    <n v="1744"/>
    <n v="86"/>
    <n v="83"/>
    <n v="360.81000000000006"/>
    <n v="0.1"/>
    <n v="0.05"/>
    <n v="0.7"/>
    <n v="34.5"/>
    <n v="0"/>
    <n v="0.65"/>
    <n v="0.98"/>
    <n v="0.96"/>
    <n v="0.94"/>
    <n v="0.2"/>
    <n v="0.1"/>
    <n v="0.05"/>
    <n v="0.05"/>
    <n v="800"/>
    <n v="0"/>
    <n v="0"/>
    <n v="17204.329999999998"/>
  </r>
  <r>
    <x v="1"/>
    <n v="50"/>
    <n v="50.05"/>
    <n v="50"/>
    <n v="1"/>
    <n v="1056.25"/>
    <n v="325"/>
    <n v="0"/>
    <n v="0"/>
    <n v="1"/>
    <n v="0"/>
    <n v="162.5"/>
    <n v="0"/>
    <n v="0.72107892107892102"/>
    <n v="81.25"/>
    <n v="66"/>
    <n v="0"/>
    <n v="0"/>
    <n v="1691"/>
    <n v="50"/>
    <n v="325"/>
    <n v="50"/>
    <n v="0"/>
    <n v="0"/>
    <n v="162.5"/>
    <n v="0"/>
    <d v="2024-12-23T00:00:00"/>
    <x v="11"/>
    <n v="71"/>
    <n v="50.05"/>
    <n v="0"/>
    <n v="13"/>
    <n v="58"/>
    <n v="36.090000000000003"/>
    <n v="13.95"/>
    <n v="18.87"/>
    <n v="15.3"/>
    <n v="1.42"/>
    <n v="76"/>
    <n v="0"/>
    <n v="0"/>
    <n v="50.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781.02"/>
  </r>
  <r>
    <x v="1"/>
    <n v="105"/>
    <n v="101.62"/>
    <n v="101.62"/>
    <n v="1"/>
    <n v="2146.7224999999999"/>
    <n v="660.53"/>
    <n v="0"/>
    <n v="0"/>
    <n v="1"/>
    <n v="6.1349693251533796E-3"/>
    <n v="330.26499999999999"/>
    <n v="0"/>
    <n v="0.64150757724857299"/>
    <n v="0"/>
    <n v="123.94"/>
    <n v="7.1"/>
    <n v="0"/>
    <n v="3268.5574999999999"/>
    <n v="100"/>
    <n v="660.53"/>
    <n v="101.62"/>
    <n v="0"/>
    <n v="0"/>
    <n v="330.26499999999999"/>
    <n v="5"/>
    <d v="2024-12-23T00:00:00"/>
    <x v="17"/>
    <n v="143"/>
    <n v="101.69999999999999"/>
    <n v="0.08"/>
    <n v="24"/>
    <n v="119"/>
    <n v="65.19"/>
    <n v="36.42"/>
    <n v="43.03"/>
    <n v="29.6"/>
    <n v="2.8099999999999996"/>
    <n v="163"/>
    <n v="0"/>
    <n v="1"/>
    <n v="101.62"/>
    <n v="0.1"/>
    <n v="0.05"/>
    <n v="0.7"/>
    <n v="32.5"/>
    <n v="0"/>
    <n v="0.65"/>
    <n v="0.98"/>
    <n v="0.96"/>
    <n v="0.94"/>
    <n v="0.2"/>
    <n v="0.1"/>
    <n v="0.05"/>
    <n v="0.05"/>
    <n v="100"/>
    <n v="0"/>
    <n v="0"/>
    <n v="1509.05"/>
  </r>
  <r>
    <x v="1"/>
    <n v="50"/>
    <n v="44.510000000000005"/>
    <n v="44.510000000000005"/>
    <n v="0.89019999999999999"/>
    <n v="0"/>
    <n v="0"/>
    <n v="0"/>
    <n v="0"/>
    <n v="0.98387096774193605"/>
    <n v="0"/>
    <n v="0"/>
    <n v="0"/>
    <n v="0.83419456301954598"/>
    <n v="0"/>
    <n v="124.74"/>
    <n v="6"/>
    <n v="1084.3499999999999"/>
    <n v="1215.0899999999999"/>
    <n v="50"/>
    <n v="0"/>
    <n v="44.510000000000005"/>
    <n v="0"/>
    <n v="1"/>
    <n v="0"/>
    <n v="0"/>
    <d v="2024-12-23T00:00:00"/>
    <x v="12"/>
    <n v="70"/>
    <n v="48.92"/>
    <n v="4.41"/>
    <n v="17"/>
    <n v="53"/>
    <n v="37.130000000000003"/>
    <n v="7.37"/>
    <n v="20.76"/>
    <n v="14.29"/>
    <n v="1.43"/>
    <n v="61"/>
    <n v="0"/>
    <n v="0"/>
    <n v="44.510000000000005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84.3499999999999"/>
  </r>
  <r>
    <x v="1"/>
    <n v="55"/>
    <n v="53.23"/>
    <n v="53.23"/>
    <n v="1"/>
    <n v="1124.4838"/>
    <n v="345.995"/>
    <n v="0"/>
    <n v="0"/>
    <n v="0.97916666666666596"/>
    <n v="1.0638297872340399E-2"/>
    <n v="172.9975"/>
    <n v="0"/>
    <n v="0.713319556640992"/>
    <n v="86.498800000000003"/>
    <n v="84.74"/>
    <n v="6"/>
    <n v="0"/>
    <n v="1820.7149999999999"/>
    <n v="50"/>
    <n v="345.995"/>
    <n v="53.23"/>
    <n v="0"/>
    <n v="2"/>
    <n v="172.9975"/>
    <n v="5"/>
    <d v="2024-12-23T00:00:00"/>
    <x v="13"/>
    <n v="79"/>
    <n v="53.51"/>
    <n v="0.28000000000000003"/>
    <n v="6"/>
    <n v="73"/>
    <n v="37.97"/>
    <n v="15.26"/>
    <n v="9.24"/>
    <n v="6.51"/>
    <n v="1.48"/>
    <n v="94"/>
    <n v="0"/>
    <n v="1"/>
    <n v="53.2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874.32"/>
  </r>
  <r>
    <x v="1"/>
    <n v="61"/>
    <n v="61.13"/>
    <n v="61"/>
    <n v="1"/>
    <n v="1288.625"/>
    <n v="396.5"/>
    <n v="0"/>
    <n v="0"/>
    <n v="0.98888888888888904"/>
    <n v="0"/>
    <n v="198.25"/>
    <n v="0"/>
    <n v="0.68984132177326996"/>
    <n v="0"/>
    <n v="74.39"/>
    <n v="0"/>
    <n v="0"/>
    <n v="1957.7650000000001"/>
    <n v="50"/>
    <n v="396.5"/>
    <n v="61"/>
    <n v="0"/>
    <n v="0"/>
    <n v="198.25"/>
    <n v="11"/>
    <d v="2024-12-23T00:00:00"/>
    <x v="15"/>
    <n v="86"/>
    <n v="61.13"/>
    <n v="0"/>
    <n v="9"/>
    <n v="77"/>
    <n v="42.17"/>
    <n v="18.96"/>
    <n v="19.79"/>
    <n v="13.77"/>
    <n v="1.41"/>
    <n v="89"/>
    <n v="1"/>
    <n v="0"/>
    <n v="61.13"/>
    <n v="0.1"/>
    <n v="0.05"/>
    <n v="0.7"/>
    <n v="32.5"/>
    <n v="0"/>
    <n v="0.65"/>
    <n v="0.98"/>
    <n v="0.96"/>
    <n v="0.94"/>
    <n v="0.2"/>
    <n v="0.1"/>
    <n v="0.05"/>
    <n v="0.05"/>
    <n v="50"/>
    <n v="0"/>
    <n v="0"/>
    <n v="1029.2"/>
  </r>
  <r>
    <x v="1"/>
    <n v="461"/>
    <n v="461.48999999999995"/>
    <n v="461"/>
    <n v="1"/>
    <n v="9738.625"/>
    <n v="2996.5"/>
    <n v="0"/>
    <n v="0"/>
    <n v="0.90297542043984502"/>
    <n v="3.1518624641833803E-2"/>
    <n v="0"/>
    <n v="0"/>
    <n v="0.70996121259398903"/>
    <n v="749.125"/>
    <n v="586.95000000000005"/>
    <n v="54.8"/>
    <n v="0"/>
    <n v="14126"/>
    <n v="425"/>
    <n v="2996.5"/>
    <n v="0"/>
    <n v="0"/>
    <n v="69"/>
    <n v="0"/>
    <n v="36"/>
    <d v="2024-12-23T00:00:00"/>
    <x v="10"/>
    <n v="616"/>
    <n v="471.84999999999997"/>
    <n v="10.36"/>
    <n v="125"/>
    <n v="491"/>
    <n v="327.64"/>
    <n v="133.85"/>
    <n v="220.32"/>
    <n v="169.54999999999998"/>
    <n v="11.86"/>
    <n v="698"/>
    <n v="6"/>
    <n v="22"/>
    <n v="219.47000000000003"/>
    <n v="0.1"/>
    <n v="0.05"/>
    <n v="0.7"/>
    <n v="32.5"/>
    <n v="0"/>
    <n v="0.65"/>
    <n v="0.98"/>
    <n v="0.96"/>
    <n v="0.94"/>
    <n v="0.2"/>
    <n v="0.1"/>
    <n v="0.05"/>
    <n v="0.05"/>
    <n v="425"/>
    <n v="0"/>
    <n v="461"/>
    <n v="7339.320000000000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71947F-0595-4D24-939C-D8DCB02F6EFC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rowHeaderCaption="Partner ">
  <location ref="A3:D46" firstHeaderRow="0" firstDataRow="1" firstDataCol="2"/>
  <pivotFields count="59">
    <pivotField axis="axisRow" compact="0" outline="0" showAll="0" defaultSubtotal="0">
      <items count="2">
        <item x="0"/>
        <item x="1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axis="axisRow" compact="0" outline="0" showAll="0" defaultSubtotal="0">
      <items count="23">
        <item x="16"/>
        <item x="20"/>
        <item x="17"/>
        <item x="19"/>
        <item x="12"/>
        <item x="13"/>
        <item x="11"/>
        <item x="18"/>
        <item x="9"/>
        <item x="8"/>
        <item x="0"/>
        <item x="5"/>
        <item x="4"/>
        <item x="3"/>
        <item x="14"/>
        <item x="15"/>
        <item x="6"/>
        <item x="2"/>
        <item x="7"/>
        <item x="1"/>
        <item x="10"/>
        <item m="1" x="22"/>
        <item m="1" x="2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27"/>
    <field x="0"/>
  </rowFields>
  <rowItems count="43">
    <i>
      <x/>
      <x/>
    </i>
    <i r="1">
      <x v="1"/>
    </i>
    <i>
      <x v="1"/>
      <x/>
    </i>
    <i r="1">
      <x v="1"/>
    </i>
    <i>
      <x v="2"/>
      <x/>
    </i>
    <i r="1">
      <x v="1"/>
    </i>
    <i>
      <x v="3"/>
      <x/>
    </i>
    <i r="1">
      <x v="1"/>
    </i>
    <i>
      <x v="4"/>
      <x/>
    </i>
    <i r="1">
      <x v="1"/>
    </i>
    <i>
      <x v="5"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>
      <x v="9"/>
      <x/>
    </i>
    <i r="1">
      <x v="1"/>
    </i>
    <i>
      <x v="10"/>
      <x/>
    </i>
    <i r="1">
      <x v="1"/>
    </i>
    <i>
      <x v="11"/>
      <x/>
    </i>
    <i r="1">
      <x v="1"/>
    </i>
    <i>
      <x v="12"/>
      <x/>
    </i>
    <i r="1">
      <x v="1"/>
    </i>
    <i>
      <x v="13"/>
      <x/>
    </i>
    <i r="1">
      <x v="1"/>
    </i>
    <i>
      <x v="14"/>
      <x/>
    </i>
    <i r="1">
      <x v="1"/>
    </i>
    <i>
      <x v="15"/>
      <x/>
    </i>
    <i r="1">
      <x v="1"/>
    </i>
    <i>
      <x v="16"/>
      <x/>
    </i>
    <i r="1">
      <x v="1"/>
    </i>
    <i>
      <x v="17"/>
      <x/>
    </i>
    <i r="1">
      <x v="1"/>
    </i>
    <i>
      <x v="18"/>
      <x/>
    </i>
    <i r="1">
      <x v="1"/>
    </i>
    <i>
      <x v="19"/>
      <x/>
    </i>
    <i r="1">
      <x v="1"/>
    </i>
    <i>
      <x v="20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D39CFC8-5961-4718-A9C0-8F842A0F8993}" autoFormatId="16" applyNumberFormats="0" applyBorderFormats="0" applyFontFormats="0" applyPatternFormats="0" applyAlignmentFormats="0" applyWidthHeightFormats="0">
  <queryTableRefresh nextId="5">
    <queryTableFields count="4">
      <queryTableField id="1" name="PARTNER NAME" tableColumnId="1"/>
      <queryTableField id="2" name="Rate.PARTNER NAME" tableColumnId="2"/>
      <queryTableField id="3" name="Rate.Approved Extra Hours" tableColumnId="3"/>
      <queryTableField id="4" name="Rate.Required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9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4" xr16:uid="{CA1346E6-8296-4B58-8A4C-43766E6D1D8F}" autoFormatId="16" applyNumberFormats="0" applyBorderFormats="0" applyFontFormats="0" applyPatternFormats="0" applyAlignmentFormats="0" applyWidthHeightFormats="0">
  <queryTableRefresh nextId="114">
    <queryTableFields count="34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32" name="WeekN" tableColumnId="32"/>
      <queryTableField id="65" name="Non KPI" tableColumnId="36"/>
      <queryTableField id="96" name="Tier 1 ARDCRI Rate" tableColumnId="41"/>
      <queryTableField id="97" name="Tier 2 ARDCRI Rate" tableColumnId="42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D60C4C2A-9904-4205-9367-F8C17812D754}" autoFormatId="16" applyNumberFormats="0" applyBorderFormats="0" applyFontFormats="0" applyPatternFormats="0" applyAlignmentFormats="0" applyWidthHeightFormats="0">
  <queryTableRefresh nextId="218">
    <queryTableFields count="59">
      <queryTableField id="1" name="WeekN" tableColumnId="1"/>
      <queryTableField id="123" name="Allowable Hours" tableColumnId="56"/>
      <queryTableField id="18" name="Online Hours" tableColumnId="18"/>
      <queryTableField id="58" name="Payable Online Hours" tableColumnId="38"/>
      <queryTableField id="59" name="% of Hours to Required" tableColumnId="39"/>
      <queryTableField id="160" name="Core Hours Rev" tableColumnId="28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15" name="Tolls" tableColumnId="50"/>
      <queryTableField id="161" name="CHI Non-KPI" tableColumnId="51"/>
      <queryTableField id="108" name="Total Rev" tableColumnId="55"/>
      <queryTableField id="23" name="Required" tableColumnId="23"/>
      <queryTableField id="60" name="CHI Rev" tableColumnId="40"/>
      <queryTableField id="63" name="Tier 1 ARDCRI KPI" tableColumnId="43"/>
      <queryTableField id="64" name="Tier 2 ARDCRI KPI" tableColumnId="44"/>
      <queryTableField id="213" name="Total Expired Offers" tableColumnId="49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22" name="Bonus Hours" tableColumnId="22"/>
      <queryTableField id="65" name="ARDCRI Non KPI" tableColumnId="45"/>
      <queryTableField id="33" name="Driver Earnings Excl Tips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AE5233B2-AE80-4C18-92F0-F35E0E3EA8A6}" autoFormatId="16" applyNumberFormats="0" applyBorderFormats="0" applyFontFormats="0" applyPatternFormats="0" applyAlignmentFormats="0" applyWidthHeightFormats="0">
  <queryTableRefresh nextId="7">
    <queryTableFields count="6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OPERATOR NAM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10">
    <queryTableFields count="7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  <queryTableField id="7" name="VDPMVReportOperatorCheck.Online Hours" tableColumnId="3"/>
      <queryTableField id="8" name="VDPMVReportOperatorCheck.Total Comp Trips" tableColumnId="4"/>
      <queryTableField id="9" name="VDPMVReportOperatorCheck.WeekN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39">
    <queryTableFields count="20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3" name="Column7" tableColumnId="6"/>
      <queryTableField id="14" name="Column8" tableColumnId="7"/>
      <queryTableField id="15" name="Column9" tableColumnId="8"/>
      <queryTableField id="16" name="Column10" tableColumnId="9"/>
      <queryTableField id="17" name="Column11" tableColumnId="12"/>
      <queryTableField id="18" name="Column12" tableColumnId="13"/>
      <queryTableField id="19" name="Column13" tableColumnId="14"/>
      <queryTableField id="20" name="Column14" tableColumnId="15"/>
      <queryTableField id="21" name="Column15" tableColumnId="16"/>
      <queryTableField id="22" name="Column16" tableColumnId="17"/>
      <queryTableField id="23" name="Column17" tableColumnId="18"/>
      <queryTableField id="24" name="Column18" tableColumnId="19"/>
      <queryTableField id="25" name="Column19" tableColumnId="20"/>
      <queryTableField id="11" name="CLIENT TYPE - Copy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A46A8CE-F72E-48F4-AEB9-C7DBA0865E96}" name="Div12PartnerRateCheck" displayName="Div12PartnerRateCheck" ref="A1:D24" tableType="queryTable" totalsRowShown="0">
  <autoFilter ref="A1:D24" xr:uid="{7A46A8CE-F72E-48F4-AEB9-C7DBA0865E96}"/>
  <tableColumns count="4">
    <tableColumn id="1" xr3:uid="{DF502DFF-FCFF-43CE-9EA5-437923D659ED}" uniqueName="1" name="PARTNER NAME" queryTableFieldId="1" dataDxfId="29"/>
    <tableColumn id="2" xr3:uid="{6FEE9A9F-BC73-4834-BF05-8DFF7335ED47}" uniqueName="2" name="Rate.PARTNER NAME" queryTableFieldId="2" dataDxfId="28"/>
    <tableColumn id="3" xr3:uid="{885DF78F-4678-4C97-984E-2D852621E549}" uniqueName="3" name="Rate.Approved Extra Hours" queryTableFieldId="3"/>
    <tableColumn id="4" xr3:uid="{ABCBBFC7-9F76-4F51-AE3A-AFB755AA596C}" uniqueName="4" name="Rate.Required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H3" totalsRowShown="0" headerRowDxfId="27" dataDxfId="26">
  <tableColumns count="7">
    <tableColumn id="1" xr3:uid="{6E8F3551-4DCE-46CE-BD28-51A8302E87CB}" name="Type" dataDxfId="25"/>
    <tableColumn id="2" xr3:uid="{5404B4C5-ECEF-4C1F-8A18-BC9D8BE1C71B}" name="Start" dataDxfId="24"/>
    <tableColumn id="3" xr3:uid="{ED569C2B-A42E-43C5-A2F6-A3987EE52677}" name="End" dataDxfId="23">
      <calculatedColumnFormula>C2+6</calculatedColumnFormula>
    </tableColumn>
    <tableColumn id="8" xr3:uid="{7528310C-79CF-4C2C-A6A6-945EB7C53D6F}" name="Week#" dataDxfId="22"/>
    <tableColumn id="6" xr3:uid="{AE3F7AE3-B9B7-4FBD-BECC-F855DB3120A1}" name="Utilization Target" dataDxfId="21"/>
    <tableColumn id="4" xr3:uid="{76EDF2B3-48C2-41BC-8C8B-1E1DA27282E5}" name="Tier 1 ARDCRI Rate" dataDxfId="20" dataCellStyle="Percent"/>
    <tableColumn id="5" xr3:uid="{623BF9A5-9791-48A7-A063-0FCE89090301}" name="Tier 2 ARDCRI Rate" dataDxfId="19" dataCellStyle="Percent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55" tableType="queryTable" totalsRowShown="0">
  <autoFilter ref="A1:Q55" xr:uid="{425E9FDE-B83D-4045-8FD5-DD203C9CE861}"/>
  <tableColumns count="17">
    <tableColumn id="1" xr3:uid="{E230C15D-1F50-42B6-BAD8-8BBB397BDDF0}" uniqueName="1" name="PARTNER" queryTableFieldId="1" dataDxfId="18"/>
    <tableColumn id="7" xr3:uid="{6391F556-8AFE-459C-94D5-77F89EDE79EE}" uniqueName="7" name="UNIT" queryTableFieldId="16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7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331EE9-E54F-4657-8C37-887EF31A1FAC}" name="FirstReport" displayName="FirstReport" ref="A1:R1144" totalsRowShown="0">
  <autoFilter ref="A1:R1144" xr:uid="{69331EE9-E54F-4657-8C37-887EF31A1FAC}"/>
  <tableColumns count="18">
    <tableColumn id="1" xr3:uid="{72A236EA-D023-42AA-85E5-D36389ADB46D}" name="Trip Leg/Driver Name"/>
    <tableColumn id="2" xr3:uid="{E99422CA-93E9-433F-9EA2-E84B0EE8330B}" name="Date" dataDxfId="16"/>
    <tableColumn id="3" xr3:uid="{44DBA30E-5760-4AAA-B02A-4D13253F3706}" name="Provider"/>
    <tableColumn id="4" xr3:uid="{0A0396BA-6BD2-4791-B50F-F8543DE8E001}" name="Operator"/>
    <tableColumn id="5" xr3:uid="{7FDA5459-B8A7-4857-B7EE-2DAF5E9B78BC}" name="Fare Type"/>
    <tableColumn id="6" xr3:uid="{B949E0C3-3379-42B6-B622-DE829FAB46B0}" name="Flat Rate Miles"/>
    <tableColumn id="7" xr3:uid="{5B800A5A-FC1B-477B-897F-E74FEDC0BB99}" name="Extra Mileage"/>
    <tableColumn id="8" xr3:uid="{A62DBD2E-5757-44F3-9635-364DC80CBCAD}" name="Extra Mileage Cost"/>
    <tableColumn id="9" xr3:uid="{273EA572-09B2-482A-893E-9541BD6D7AD0}" name="Trip Cost"/>
    <tableColumn id="19" xr3:uid="{A64B7B5B-E1C4-4815-B35D-0E438C84DA6F}" name="Hourly Cost"/>
    <tableColumn id="18" xr3:uid="{0208DE0E-54E7-4920-B28C-91C7EAD740D4}" name="Hourly Earnings"/>
    <tableColumn id="10" xr3:uid="{8BCA2981-0D4D-4AF6-9731-CE241137222F}" name="Note"/>
    <tableColumn id="11" xr3:uid="{AEF79517-1E44-4688-B30E-BEF1E752FC59}" name="Trip Earnings" dataDxfId="15"/>
    <tableColumn id="13" xr3:uid="{1D1AF75F-15C7-45E3-A79E-945B61C4BE05}" name="IsTripCost20"/>
    <tableColumn id="14" xr3:uid="{17EAAD24-B625-4EAE-9D40-134D90D087BC}" name="FUEL RATE"/>
    <tableColumn id="12" xr3:uid="{5FF771FB-4E73-462C-B51F-82ED87C053CC}" name="Week#"/>
    <tableColumn id="15" xr3:uid="{953D0F66-953E-47E9-913C-26562AD2495C}" name="Fuel Relief"/>
    <tableColumn id="17" xr3:uid="{FF27CEA6-76DD-45C0-9516-FCFFC6105068}" name="Bill By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H174" tableType="queryTable" totalsRowShown="0">
  <autoFilter ref="A1:AH174" xr:uid="{E5D12863-AD84-4A4B-B180-F1201FADB94C}"/>
  <tableColumns count="34">
    <tableColumn id="1" xr3:uid="{2DF377BE-88DC-4F51-A0C3-719C6FB3A4E6}" uniqueName="1" name="Week" queryTableFieldId="1" dataDxfId="13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55D1B83A-D787-4234-90F7-43C6881CB730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888AF5A3-59CD-4031-A580-11AC3EF468E0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2" xr3:uid="{FD0069D7-BC74-49D0-8403-75914F971A35}" uniqueName="32" name="WeekN" queryTableFieldId="32"/>
    <tableColumn id="36" xr3:uid="{A0F30C11-222E-4438-93D0-9815F100A0BC}" uniqueName="36" name="Non KPI" queryTableFieldId="6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G43" tableType="queryTable" totalsRowShown="0">
  <autoFilter ref="A1:BG43" xr:uid="{DE01B30A-39AF-4694-BB2D-3D7EA17167B1}">
    <filterColumn colId="0">
      <filters>
        <filter val="Week1"/>
      </filters>
    </filterColumn>
    <filterColumn colId="27">
      <filters>
        <filter val="GIANNA TRANSPORT LLC"/>
      </filters>
    </filterColumn>
  </autoFilter>
  <tableColumns count="59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38" xr3:uid="{8D636687-415B-48F5-A497-1E99CDF83516}" uniqueName="38" name="Payable Online Hours" queryTableFieldId="58"/>
    <tableColumn id="39" xr3:uid="{FFDF7F0C-895D-47C7-A8DA-EB4BAD95100E}" uniqueName="39" name="% of Hours to Required" queryTableFieldId="59"/>
    <tableColumn id="28" xr3:uid="{452F9ADF-5FC2-42C8-8A7D-31D91FD5800D}" uniqueName="28" name="Core Hours Rev" queryTableFieldId="16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50" xr3:uid="{6DEEF3CA-7DD0-4B33-9BEF-97E8F71667D0}" uniqueName="50" name="Tolls" queryTableFieldId="215"/>
    <tableColumn id="51" xr3:uid="{B1676116-BB8B-4B08-857A-CFD0662E1CD5}" uniqueName="51" name="CHI Non-KPI" queryTableFieldId="161"/>
    <tableColumn id="55" xr3:uid="{3DFFE008-C825-41F9-BFB2-200849DA9BAF}" uniqueName="55" name="Total Rev" queryTableFieldId="10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9" xr3:uid="{1714ED8E-1104-4A92-8B8A-93A68EFADA4F}" uniqueName="49" name="Total Expired Offers" queryTableFieldId="213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2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22" xr3:uid="{C58E1E2C-6F29-43BE-8EB2-6D2040D4ECEB}" uniqueName="22" name="Bonus Hours" queryTableFieldId="22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A62B0-2ED6-4C1E-9EA0-78755B77154F}" name="TollsChecks" displayName="TollsChecks" ref="A1:F2" tableType="queryTable" insertRow="1" totalsRowShown="0">
  <autoFilter ref="A1:F2" xr:uid="{59EA62B0-2ED6-4C1E-9EA0-78755B77154F}"/>
  <tableColumns count="6">
    <tableColumn id="1" xr3:uid="{BF28AC28-63A2-4C2F-8154-FE02A3685785}" uniqueName="1" name="StartDate" queryTableFieldId="1" dataDxfId="11"/>
    <tableColumn id="2" xr3:uid="{7E4EAEE9-046F-44A2-AFBF-D4BD2F1F0374}" uniqueName="2" name="EndDate" queryTableFieldId="2" dataDxfId="10"/>
    <tableColumn id="3" xr3:uid="{7BBB95BB-7BA9-47D6-B137-63D9F67036E2}" uniqueName="3" name="Driver Name" queryTableFieldId="3"/>
    <tableColumn id="4" xr3:uid="{5C3322CA-18D4-4B9B-8DC9-7BCACE804B86}" uniqueName="4" name="Tolls" queryTableFieldId="4"/>
    <tableColumn id="5" xr3:uid="{85C418B2-DB72-40E8-8519-AD6FFD9E820E}" uniqueName="5" name="Week#" queryTableFieldId="5"/>
    <tableColumn id="6" xr3:uid="{C026CCBA-39CD-4765-B7D9-5AAA990CEE33}" uniqueName="6" name="OPERATOR NAME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12PartnerOperatorCheck" displayName="Div12PartnerOperatorCheck" ref="A1:G2" tableType="queryTable" totalsRowShown="0" headerRowDxfId="9">
  <autoFilter ref="A1:G2" xr:uid="{8C30C87A-9A34-4027-8438-327EE37D5D09}"/>
  <tableColumns count="7">
    <tableColumn id="1" xr3:uid="{A2DDEF17-4180-474F-8FD2-4A742D02A595}" uniqueName="1" name="PARTNER NAME" queryTableFieldId="1"/>
    <tableColumn id="2" xr3:uid="{199F8000-533A-4D13-9D9A-759582A3E92B}" uniqueName="2" name="OPERATOR NAME" queryTableFieldId="2"/>
    <tableColumn id="5" xr3:uid="{9401B264-4438-4ADD-9C9E-230087F8EC3D}" uniqueName="5" name="VDPMVReportOperatorCheck.Operators Name" queryTableFieldId="5"/>
    <tableColumn id="6" xr3:uid="{C7637019-3A1F-4B61-82FC-E68AB4305077}" uniqueName="6" name="VDPMVReportOperatorCheck.PARTNER NAME" queryTableFieldId="6"/>
    <tableColumn id="3" xr3:uid="{E76592E2-4983-4DDB-81BC-22B539988B2C}" uniqueName="3" name="VDPMVReportOperatorCheck.Online Hours" queryTableFieldId="7"/>
    <tableColumn id="4" xr3:uid="{C28F93DE-89E0-4C25-8181-C3136388B983}" uniqueName="4" name="VDPMVReportOperatorCheck.Total Comp Trips" queryTableFieldId="8"/>
    <tableColumn id="7" xr3:uid="{A7DA6E37-BDB3-44A8-9C84-F7706125BE79}" uniqueName="7" name="VDPMVReportOperatorCheck.WeekN" queryTableField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12PartnerListPR" displayName="Div12PartnerListPR" ref="A1:E24" tableType="queryTable" totalsRowShown="0">
  <autoFilter ref="A1:E24" xr:uid="{08E01115-DC5C-456C-9CF1-D6A927DC81CB}"/>
  <tableColumns count="5">
    <tableColumn id="1" xr3:uid="{F796AAFE-55AB-48F7-9F7F-A8E54ADD75A5}" uniqueName="1" name="PARTNER NAME" queryTableFieldId="1" dataDxfId="8"/>
    <tableColumn id="3" xr3:uid="{E3BEB53E-30C2-49C0-831F-FA69F47D6A67}" uniqueName="3" name="FILE #" queryTableFieldId="3"/>
    <tableColumn id="2" xr3:uid="{01145E20-AA32-4805-9ED6-07B654B57048}" uniqueName="2" name="EMAIL" queryTableFieldId="2" dataDxfId="7"/>
    <tableColumn id="11" xr3:uid="{E2C6E0DF-970A-4E8B-9039-19535AED8ADA}" uniqueName="11" name="CLIENT TYPE" queryTableFieldId="12" dataDxfId="6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12PartnerList" displayName="Div12PartnerList" ref="A1:T201" tableType="queryTable" totalsRowShown="0">
  <autoFilter ref="A1:T201" xr:uid="{7BDF058E-3982-4999-AD80-8E91E4CE4D47}"/>
  <tableColumns count="20">
    <tableColumn id="1" xr3:uid="{73AB47F6-22C8-4731-8CA9-E6ECA292ADE1}" uniqueName="1" name="PARTNER NAME" queryTableFieldId="1" dataDxfId="5"/>
    <tableColumn id="2" xr3:uid="{77D45F60-B84F-4823-BCEB-AADF7DF4E8FF}" uniqueName="2" name="OPERATOR NAME" queryTableFieldId="2" dataDxfId="4"/>
    <tableColumn id="10" xr3:uid="{7139AE2B-99E2-48A3-9846-54856CBB34E3}" uniqueName="10" name="CLIENT TYPE" queryTableFieldId="10" dataDxfId="3"/>
    <tableColumn id="3" xr3:uid="{6F5AA685-9A3B-4069-ACE6-1B0E354F2E59}" uniqueName="3" name="VEHICLE TYPE" queryTableFieldId="3" dataDxfId="2"/>
    <tableColumn id="4" xr3:uid="{99C28A24-DD87-4862-91CB-D428594003AE}" uniqueName="4" name="EMAIL" queryTableFieldId="4" dataDxfId="1"/>
    <tableColumn id="5" xr3:uid="{5650847F-13D6-4666-A3F5-AA69F8F036C9}" uniqueName="5" name="FILE #" queryTableFieldId="5"/>
    <tableColumn id="6" xr3:uid="{B28B95FA-E090-4F29-87C1-2BF301D67420}" uniqueName="6" name="Column7" queryTableFieldId="13"/>
    <tableColumn id="7" xr3:uid="{8BF4BDE3-0011-4347-A427-62888EB23738}" uniqueName="7" name="Column8" queryTableFieldId="14"/>
    <tableColumn id="8" xr3:uid="{E1F478A9-7F11-4336-B618-7450EECF789A}" uniqueName="8" name="Column9" queryTableFieldId="15"/>
    <tableColumn id="9" xr3:uid="{01E82F64-E7A6-4197-8FC6-611FB00CDAB8}" uniqueName="9" name="Column10" queryTableFieldId="16"/>
    <tableColumn id="12" xr3:uid="{72F39570-EC4B-4261-A3FA-0D3A1C2F1DF4}" uniqueName="12" name="Column11" queryTableFieldId="17"/>
    <tableColumn id="13" xr3:uid="{E5F1B971-FE0E-42D0-8BB7-ECEC466038EB}" uniqueName="13" name="Column12" queryTableFieldId="18"/>
    <tableColumn id="14" xr3:uid="{FEFC04E9-8C33-4F08-9C4E-37E65C72F688}" uniqueName="14" name="Column13" queryTableFieldId="19"/>
    <tableColumn id="15" xr3:uid="{BC452746-03B2-43A4-8ED2-EF1776A7BA20}" uniqueName="15" name="Column14" queryTableFieldId="20"/>
    <tableColumn id="16" xr3:uid="{F292AD97-A8E9-4766-B625-87D9D978849C}" uniqueName="16" name="Column15" queryTableFieldId="21"/>
    <tableColumn id="17" xr3:uid="{D4AD737C-6E01-4CF1-B123-A5223CA8A66D}" uniqueName="17" name="Column16" queryTableFieldId="22"/>
    <tableColumn id="18" xr3:uid="{F6542A27-B81A-4864-AA6B-E90381846D3A}" uniqueName="18" name="Column17" queryTableFieldId="23"/>
    <tableColumn id="19" xr3:uid="{C46AEEAB-036D-4F48-8BDA-467EEF0B2277}" uniqueName="19" name="Column18" queryTableFieldId="24"/>
    <tableColumn id="20" xr3:uid="{2B2EDA90-24EA-43CA-9E5B-B1D005BF568A}" uniqueName="20" name="Column19" queryTableFieldId="25"/>
    <tableColumn id="11" xr3:uid="{2211B347-AF23-43D6-A5F3-EE90AB2FE0FD}" uniqueName="11" name="CLIENT TYPE - Copy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72253-29E5-4DF7-864B-97249605F97C}">
  <sheetPr codeName="Sheet15"/>
  <dimension ref="A1:D24"/>
  <sheetViews>
    <sheetView workbookViewId="0">
      <selection activeCell="B21" sqref="B21"/>
    </sheetView>
  </sheetViews>
  <sheetFormatPr defaultRowHeight="15" x14ac:dyDescent="0.25"/>
  <cols>
    <col min="1" max="2" width="30.5703125" bestFit="1" customWidth="1"/>
    <col min="3" max="3" width="27.42578125" bestFit="1" customWidth="1"/>
    <col min="4" max="4" width="16.140625" bestFit="1" customWidth="1"/>
  </cols>
  <sheetData>
    <row r="1" spans="1:4" x14ac:dyDescent="0.25">
      <c r="A1" t="s">
        <v>16</v>
      </c>
      <c r="B1" t="s">
        <v>1713</v>
      </c>
      <c r="C1" t="s">
        <v>1714</v>
      </c>
      <c r="D1" t="s">
        <v>1715</v>
      </c>
    </row>
    <row r="2" spans="1:4" x14ac:dyDescent="0.25">
      <c r="A2" t="s">
        <v>1599</v>
      </c>
      <c r="B2" t="s">
        <v>1599</v>
      </c>
      <c r="C2">
        <v>6</v>
      </c>
      <c r="D2">
        <v>800</v>
      </c>
    </row>
    <row r="3" spans="1:4" x14ac:dyDescent="0.25">
      <c r="A3" t="s">
        <v>1600</v>
      </c>
      <c r="B3" t="s">
        <v>1600</v>
      </c>
      <c r="C3">
        <v>20</v>
      </c>
      <c r="D3">
        <v>540</v>
      </c>
    </row>
    <row r="4" spans="1:4" x14ac:dyDescent="0.25">
      <c r="A4" t="s">
        <v>1665</v>
      </c>
      <c r="B4" t="s">
        <v>1665</v>
      </c>
      <c r="C4">
        <v>0</v>
      </c>
      <c r="D4">
        <v>50</v>
      </c>
    </row>
    <row r="5" spans="1:4" x14ac:dyDescent="0.25">
      <c r="A5" t="s">
        <v>1601</v>
      </c>
      <c r="B5" t="s">
        <v>1601</v>
      </c>
      <c r="C5">
        <v>10</v>
      </c>
      <c r="D5">
        <v>540</v>
      </c>
    </row>
    <row r="6" spans="1:4" x14ac:dyDescent="0.25">
      <c r="A6" t="s">
        <v>1667</v>
      </c>
      <c r="B6" t="s">
        <v>1667</v>
      </c>
      <c r="C6">
        <v>0</v>
      </c>
      <c r="D6">
        <v>50</v>
      </c>
    </row>
    <row r="7" spans="1:4" x14ac:dyDescent="0.25">
      <c r="A7" t="s">
        <v>1670</v>
      </c>
      <c r="B7" t="s">
        <v>1670</v>
      </c>
      <c r="C7">
        <v>0</v>
      </c>
      <c r="D7">
        <v>425</v>
      </c>
    </row>
    <row r="8" spans="1:4" x14ac:dyDescent="0.25">
      <c r="A8" t="s">
        <v>1751</v>
      </c>
      <c r="B8" t="s">
        <v>1751</v>
      </c>
      <c r="C8">
        <v>2</v>
      </c>
      <c r="D8">
        <v>50</v>
      </c>
    </row>
    <row r="9" spans="1:4" x14ac:dyDescent="0.25">
      <c r="A9" t="s">
        <v>1749</v>
      </c>
      <c r="B9" t="s">
        <v>1749</v>
      </c>
      <c r="C9">
        <v>1</v>
      </c>
      <c r="D9">
        <v>50</v>
      </c>
    </row>
    <row r="10" spans="1:4" x14ac:dyDescent="0.25">
      <c r="A10" t="s">
        <v>1814</v>
      </c>
      <c r="B10" t="s">
        <v>1814</v>
      </c>
      <c r="C10">
        <v>0</v>
      </c>
      <c r="D10">
        <v>100</v>
      </c>
    </row>
    <row r="11" spans="1:4" x14ac:dyDescent="0.25">
      <c r="A11" t="s">
        <v>1750</v>
      </c>
      <c r="B11" t="s">
        <v>1750</v>
      </c>
      <c r="C11">
        <v>1</v>
      </c>
      <c r="D11">
        <v>50</v>
      </c>
    </row>
    <row r="12" spans="1:4" x14ac:dyDescent="0.25">
      <c r="A12" t="s">
        <v>1716</v>
      </c>
      <c r="B12" t="s">
        <v>1716</v>
      </c>
      <c r="C12">
        <v>34</v>
      </c>
      <c r="D12">
        <v>50</v>
      </c>
    </row>
    <row r="13" spans="1:4" x14ac:dyDescent="0.25">
      <c r="A13" t="s">
        <v>1746</v>
      </c>
      <c r="B13" t="s">
        <v>1746</v>
      </c>
      <c r="C13">
        <v>0</v>
      </c>
      <c r="D13">
        <v>50</v>
      </c>
    </row>
    <row r="14" spans="1:4" x14ac:dyDescent="0.25">
      <c r="A14" t="s">
        <v>1699</v>
      </c>
      <c r="B14" t="s">
        <v>1699</v>
      </c>
      <c r="C14">
        <v>0</v>
      </c>
      <c r="D14">
        <v>50</v>
      </c>
    </row>
    <row r="15" spans="1:4" x14ac:dyDescent="0.25">
      <c r="A15" t="s">
        <v>1815</v>
      </c>
      <c r="B15" t="s">
        <v>1815</v>
      </c>
      <c r="C15">
        <v>0</v>
      </c>
      <c r="D15">
        <v>50</v>
      </c>
    </row>
    <row r="16" spans="1:4" x14ac:dyDescent="0.25">
      <c r="A16" t="s">
        <v>1816</v>
      </c>
      <c r="B16" t="s">
        <v>1816</v>
      </c>
      <c r="C16">
        <v>0</v>
      </c>
      <c r="D16">
        <v>50</v>
      </c>
    </row>
    <row r="17" spans="1:4" x14ac:dyDescent="0.25">
      <c r="A17" t="s">
        <v>1747</v>
      </c>
      <c r="B17" t="s">
        <v>1747</v>
      </c>
      <c r="C17">
        <v>23</v>
      </c>
      <c r="D17">
        <v>150</v>
      </c>
    </row>
    <row r="18" spans="1:4" x14ac:dyDescent="0.25">
      <c r="A18" t="s">
        <v>1787</v>
      </c>
      <c r="B18" t="s">
        <v>1787</v>
      </c>
      <c r="C18">
        <v>0</v>
      </c>
      <c r="D18">
        <v>50</v>
      </c>
    </row>
    <row r="19" spans="1:4" x14ac:dyDescent="0.25">
      <c r="A19" t="s">
        <v>1742</v>
      </c>
      <c r="B19" t="s">
        <v>1742</v>
      </c>
      <c r="C19">
        <v>1</v>
      </c>
      <c r="D19">
        <v>50</v>
      </c>
    </row>
    <row r="20" spans="1:4" x14ac:dyDescent="0.25">
      <c r="A20" t="s">
        <v>1748</v>
      </c>
      <c r="B20" t="s">
        <v>1748</v>
      </c>
      <c r="C20">
        <v>1</v>
      </c>
      <c r="D20">
        <v>50</v>
      </c>
    </row>
    <row r="21" spans="1:4" x14ac:dyDescent="0.25">
      <c r="A21" t="s">
        <v>1788</v>
      </c>
      <c r="B21" t="s">
        <v>1788</v>
      </c>
      <c r="C21">
        <v>10</v>
      </c>
      <c r="D21">
        <v>50</v>
      </c>
    </row>
    <row r="22" spans="1:4" x14ac:dyDescent="0.25">
      <c r="A22" t="s">
        <v>1745</v>
      </c>
      <c r="B22" t="s">
        <v>1745</v>
      </c>
      <c r="C22">
        <v>0</v>
      </c>
      <c r="D22">
        <v>50</v>
      </c>
    </row>
    <row r="23" spans="1:4" x14ac:dyDescent="0.25">
      <c r="A23" t="s">
        <v>1812</v>
      </c>
      <c r="B23" t="s">
        <v>1812</v>
      </c>
      <c r="C23">
        <v>0</v>
      </c>
      <c r="D23">
        <v>50</v>
      </c>
    </row>
    <row r="24" spans="1:4" x14ac:dyDescent="0.25">
      <c r="A24" t="s">
        <v>2071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DA989-1FC0-49F2-9FB3-7C83064A0FEA}">
  <sheetPr codeName="Sheet34"/>
  <dimension ref="A3:J5"/>
  <sheetViews>
    <sheetView showGridLines="0" workbookViewId="0">
      <selection activeCell="B7" sqref="B7"/>
    </sheetView>
  </sheetViews>
  <sheetFormatPr defaultColWidth="8.85546875" defaultRowHeight="15" x14ac:dyDescent="0.25"/>
  <cols>
    <col min="1" max="16384" width="8.85546875" style="27"/>
  </cols>
  <sheetData>
    <row r="3" spans="1:10" ht="15.75" x14ac:dyDescent="0.25">
      <c r="F3" s="87"/>
    </row>
    <row r="5" spans="1:10" ht="18.75" x14ac:dyDescent="0.3">
      <c r="A5" s="88" t="s">
        <v>2025</v>
      </c>
      <c r="B5" s="88"/>
      <c r="C5" s="88"/>
      <c r="D5" s="88"/>
      <c r="E5" s="88"/>
      <c r="F5" s="88"/>
      <c r="G5" s="88"/>
      <c r="H5" s="88"/>
      <c r="I5" s="88"/>
      <c r="J5" s="8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H3"/>
  <sheetViews>
    <sheetView showGridLines="0" workbookViewId="0">
      <selection activeCell="C3" sqref="C3"/>
    </sheetView>
  </sheetViews>
  <sheetFormatPr defaultRowHeight="15" x14ac:dyDescent="0.25"/>
  <cols>
    <col min="1" max="1" width="2.28515625" customWidth="1"/>
    <col min="2" max="2" width="18.7109375" customWidth="1"/>
    <col min="3" max="4" width="17" style="55" customWidth="1"/>
    <col min="5" max="5" width="12.28515625" customWidth="1"/>
    <col min="6" max="6" width="20.28515625" style="65" customWidth="1"/>
    <col min="7" max="7" width="23.7109375" style="49" customWidth="1"/>
    <col min="8" max="8" width="25" style="49" customWidth="1"/>
  </cols>
  <sheetData>
    <row r="1" spans="2:8" ht="18.75" x14ac:dyDescent="0.25">
      <c r="B1" s="53" t="s">
        <v>111</v>
      </c>
      <c r="C1" s="50" t="s">
        <v>109</v>
      </c>
      <c r="D1" s="50" t="s">
        <v>110</v>
      </c>
      <c r="E1" s="50" t="s">
        <v>113</v>
      </c>
      <c r="F1" s="64" t="s">
        <v>184</v>
      </c>
      <c r="G1" s="51" t="s">
        <v>182</v>
      </c>
      <c r="H1" s="51" t="s">
        <v>183</v>
      </c>
    </row>
    <row r="2" spans="2:8" ht="18.75" x14ac:dyDescent="0.25">
      <c r="B2" s="53" t="s">
        <v>112</v>
      </c>
      <c r="C2" s="54">
        <v>45642</v>
      </c>
      <c r="D2" s="54">
        <f>C2+6</f>
        <v>45648</v>
      </c>
      <c r="E2" s="52" t="s">
        <v>114</v>
      </c>
      <c r="F2" s="64">
        <v>0.7</v>
      </c>
      <c r="G2" s="51">
        <v>0.1</v>
      </c>
      <c r="H2" s="51">
        <v>0.05</v>
      </c>
    </row>
    <row r="3" spans="2:8" ht="18.75" x14ac:dyDescent="0.25">
      <c r="B3" s="53" t="s">
        <v>112</v>
      </c>
      <c r="C3" s="54">
        <v>45649</v>
      </c>
      <c r="D3" s="54">
        <f>C3+6</f>
        <v>45655</v>
      </c>
      <c r="E3" s="52" t="s">
        <v>115</v>
      </c>
      <c r="F3" s="64">
        <v>0.7</v>
      </c>
      <c r="G3" s="51">
        <v>0.1</v>
      </c>
      <c r="H3" s="51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55"/>
  <sheetViews>
    <sheetView workbookViewId="0">
      <selection activeCell="J1" sqref="J1:J1048576"/>
    </sheetView>
  </sheetViews>
  <sheetFormatPr defaultRowHeight="15" x14ac:dyDescent="0.25"/>
  <cols>
    <col min="1" max="1" width="30.5703125" bestFit="1" customWidth="1"/>
    <col min="2" max="2" width="7.7109375" bestFit="1" customWidth="1"/>
    <col min="3" max="3" width="16.5703125" bestFit="1" customWidth="1"/>
    <col min="4" max="4" width="12" bestFit="1" customWidth="1"/>
    <col min="5" max="5" width="18.42578125" bestFit="1" customWidth="1"/>
    <col min="6" max="6" width="13.42578125" bestFit="1" customWidth="1"/>
    <col min="7" max="7" width="11.42578125" bestFit="1" customWidth="1"/>
    <col min="8" max="8" width="15.5703125" bestFit="1" customWidth="1"/>
    <col min="9" max="9" width="8.7109375" bestFit="1" customWidth="1"/>
    <col min="10" max="10" width="17.7109375" bestFit="1" customWidth="1"/>
    <col min="11" max="11" width="7.42578125" bestFit="1" customWidth="1"/>
    <col min="12" max="12" width="16.7109375" bestFit="1" customWidth="1"/>
    <col min="13" max="13" width="16.5703125" bestFit="1" customWidth="1"/>
    <col min="14" max="14" width="19" bestFit="1" customWidth="1"/>
    <col min="15" max="15" width="18.5703125" bestFit="1" customWidth="1"/>
    <col min="16" max="16" width="13.42578125" bestFit="1" customWidth="1"/>
    <col min="17" max="17" width="16.42578125" bestFit="1" customWidth="1"/>
    <col min="18" max="18" width="13.42578125" bestFit="1" customWidth="1"/>
    <col min="19" max="19" width="16.42578125" bestFit="1" customWidth="1"/>
    <col min="20" max="20" width="13.42578125" bestFit="1" customWidth="1"/>
    <col min="21" max="21" width="16.42578125" bestFit="1" customWidth="1"/>
    <col min="22" max="22" width="14.140625" bestFit="1" customWidth="1"/>
    <col min="23" max="23" width="16.42578125" bestFit="1" customWidth="1"/>
    <col min="24" max="24" width="16.42578125" customWidth="1"/>
    <col min="25" max="25" width="8.42578125" bestFit="1" customWidth="1"/>
    <col min="26" max="26" width="17.140625" bestFit="1" customWidth="1"/>
  </cols>
  <sheetData>
    <row r="1" spans="1:17" x14ac:dyDescent="0.25">
      <c r="A1" t="s">
        <v>60</v>
      </c>
      <c r="B1" t="s">
        <v>121</v>
      </c>
      <c r="C1" t="s">
        <v>61</v>
      </c>
      <c r="D1" t="s">
        <v>49</v>
      </c>
      <c r="E1" t="s">
        <v>62</v>
      </c>
      <c r="F1" t="s">
        <v>46</v>
      </c>
      <c r="G1" t="s">
        <v>50</v>
      </c>
      <c r="H1" t="s">
        <v>64</v>
      </c>
      <c r="I1" t="s">
        <v>63</v>
      </c>
      <c r="J1" t="s">
        <v>65</v>
      </c>
      <c r="K1" t="s">
        <v>9</v>
      </c>
      <c r="L1" t="s">
        <v>124</v>
      </c>
      <c r="M1" t="s">
        <v>125</v>
      </c>
      <c r="N1" t="s">
        <v>66</v>
      </c>
      <c r="O1" t="s">
        <v>149</v>
      </c>
      <c r="P1" t="s">
        <v>93</v>
      </c>
      <c r="Q1" t="s">
        <v>126</v>
      </c>
    </row>
    <row r="2" spans="1:17" x14ac:dyDescent="0.25">
      <c r="A2" t="s">
        <v>1749</v>
      </c>
      <c r="B2">
        <v>4536</v>
      </c>
      <c r="C2">
        <v>154.5</v>
      </c>
      <c r="D2">
        <v>2</v>
      </c>
      <c r="E2">
        <v>309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96</v>
      </c>
      <c r="P2">
        <v>0</v>
      </c>
      <c r="Q2">
        <v>0</v>
      </c>
    </row>
    <row r="3" spans="1:17" x14ac:dyDescent="0.25">
      <c r="A3" t="s">
        <v>1599</v>
      </c>
      <c r="B3">
        <v>4530</v>
      </c>
      <c r="C3">
        <v>309</v>
      </c>
      <c r="D3">
        <v>2</v>
      </c>
      <c r="E3">
        <v>618</v>
      </c>
      <c r="F3">
        <v>0</v>
      </c>
      <c r="G3">
        <v>1000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96</v>
      </c>
      <c r="P3">
        <v>0</v>
      </c>
      <c r="Q3">
        <v>1000</v>
      </c>
    </row>
    <row r="4" spans="1:17" x14ac:dyDescent="0.25">
      <c r="A4" t="s">
        <v>1599</v>
      </c>
      <c r="B4">
        <v>4531</v>
      </c>
      <c r="C4">
        <v>309</v>
      </c>
      <c r="D4">
        <v>2</v>
      </c>
      <c r="E4">
        <v>618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96</v>
      </c>
      <c r="P4">
        <v>0</v>
      </c>
      <c r="Q4">
        <v>0</v>
      </c>
    </row>
    <row r="5" spans="1:17" x14ac:dyDescent="0.25">
      <c r="A5" t="s">
        <v>1599</v>
      </c>
      <c r="B5">
        <v>4532</v>
      </c>
      <c r="C5">
        <v>309</v>
      </c>
      <c r="D5">
        <v>2</v>
      </c>
      <c r="E5">
        <v>618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96</v>
      </c>
      <c r="P5">
        <v>0</v>
      </c>
      <c r="Q5">
        <v>0</v>
      </c>
    </row>
    <row r="6" spans="1:17" x14ac:dyDescent="0.25">
      <c r="A6" t="s">
        <v>1599</v>
      </c>
      <c r="B6">
        <v>4533</v>
      </c>
      <c r="C6">
        <v>309</v>
      </c>
      <c r="D6">
        <v>2</v>
      </c>
      <c r="E6">
        <v>618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96</v>
      </c>
      <c r="P6">
        <v>0</v>
      </c>
      <c r="Q6">
        <v>0</v>
      </c>
    </row>
    <row r="7" spans="1:17" x14ac:dyDescent="0.25">
      <c r="A7" t="s">
        <v>1599</v>
      </c>
      <c r="B7">
        <v>4534</v>
      </c>
      <c r="C7">
        <v>309</v>
      </c>
      <c r="D7">
        <v>2</v>
      </c>
      <c r="E7">
        <v>618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96</v>
      </c>
      <c r="P7">
        <v>0</v>
      </c>
      <c r="Q7">
        <v>0</v>
      </c>
    </row>
    <row r="8" spans="1:17" x14ac:dyDescent="0.25">
      <c r="A8" t="s">
        <v>1599</v>
      </c>
      <c r="B8">
        <v>4535</v>
      </c>
      <c r="C8">
        <v>309</v>
      </c>
      <c r="D8">
        <v>2</v>
      </c>
      <c r="E8">
        <v>618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96</v>
      </c>
      <c r="P8">
        <v>0</v>
      </c>
      <c r="Q8">
        <v>0</v>
      </c>
    </row>
    <row r="9" spans="1:17" x14ac:dyDescent="0.25">
      <c r="A9" t="s">
        <v>1599</v>
      </c>
      <c r="B9">
        <v>4542</v>
      </c>
      <c r="C9">
        <v>309</v>
      </c>
      <c r="D9">
        <v>2</v>
      </c>
      <c r="E9">
        <v>618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96</v>
      </c>
      <c r="P9">
        <v>0</v>
      </c>
      <c r="Q9">
        <v>0</v>
      </c>
    </row>
    <row r="10" spans="1:17" x14ac:dyDescent="0.25">
      <c r="A10" t="s">
        <v>1599</v>
      </c>
      <c r="B10">
        <v>4547</v>
      </c>
      <c r="C10">
        <v>309</v>
      </c>
      <c r="D10">
        <v>2</v>
      </c>
      <c r="E10">
        <v>618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96</v>
      </c>
      <c r="P10">
        <v>0</v>
      </c>
      <c r="Q10">
        <v>0</v>
      </c>
    </row>
    <row r="11" spans="1:17" x14ac:dyDescent="0.25">
      <c r="A11" t="s">
        <v>1599</v>
      </c>
      <c r="B11">
        <v>4549</v>
      </c>
      <c r="C11">
        <v>309</v>
      </c>
      <c r="D11">
        <v>2</v>
      </c>
      <c r="E11">
        <v>618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96</v>
      </c>
      <c r="P11">
        <v>0</v>
      </c>
      <c r="Q11">
        <v>0</v>
      </c>
    </row>
    <row r="12" spans="1:17" x14ac:dyDescent="0.25">
      <c r="A12" t="s">
        <v>1599</v>
      </c>
      <c r="B12">
        <v>4553</v>
      </c>
      <c r="C12">
        <v>309</v>
      </c>
      <c r="D12">
        <v>2</v>
      </c>
      <c r="E12">
        <v>618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96</v>
      </c>
      <c r="P12">
        <v>0</v>
      </c>
      <c r="Q12">
        <v>0</v>
      </c>
    </row>
    <row r="13" spans="1:17" x14ac:dyDescent="0.25">
      <c r="A13" t="s">
        <v>1599</v>
      </c>
      <c r="B13">
        <v>4558</v>
      </c>
      <c r="C13">
        <v>309</v>
      </c>
      <c r="D13">
        <v>2</v>
      </c>
      <c r="E13">
        <v>618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96</v>
      </c>
      <c r="P13">
        <v>0</v>
      </c>
      <c r="Q13">
        <v>0</v>
      </c>
    </row>
    <row r="14" spans="1:17" x14ac:dyDescent="0.25">
      <c r="A14" t="s">
        <v>1599</v>
      </c>
      <c r="B14">
        <v>4568</v>
      </c>
      <c r="C14">
        <v>309</v>
      </c>
      <c r="D14">
        <v>2</v>
      </c>
      <c r="E14">
        <v>618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96</v>
      </c>
      <c r="P14">
        <v>0</v>
      </c>
      <c r="Q14">
        <v>0</v>
      </c>
    </row>
    <row r="15" spans="1:17" x14ac:dyDescent="0.25">
      <c r="A15" t="s">
        <v>1599</v>
      </c>
      <c r="B15">
        <v>4569</v>
      </c>
      <c r="C15">
        <v>309</v>
      </c>
      <c r="D15">
        <v>2</v>
      </c>
      <c r="E15">
        <v>618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96</v>
      </c>
      <c r="P15">
        <v>0</v>
      </c>
      <c r="Q15">
        <v>0</v>
      </c>
    </row>
    <row r="16" spans="1:17" x14ac:dyDescent="0.25">
      <c r="A16" t="s">
        <v>1815</v>
      </c>
      <c r="B16">
        <v>4552</v>
      </c>
      <c r="C16">
        <v>154.5</v>
      </c>
      <c r="D16">
        <v>2</v>
      </c>
      <c r="E16">
        <v>309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96</v>
      </c>
      <c r="P16">
        <v>0</v>
      </c>
      <c r="Q16">
        <v>0</v>
      </c>
    </row>
    <row r="17" spans="1:17" x14ac:dyDescent="0.25">
      <c r="A17" t="s">
        <v>1600</v>
      </c>
      <c r="B17">
        <v>4571</v>
      </c>
      <c r="C17">
        <v>309</v>
      </c>
      <c r="D17">
        <v>2</v>
      </c>
      <c r="E17">
        <v>618</v>
      </c>
      <c r="F17">
        <v>0</v>
      </c>
      <c r="G17">
        <v>1000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96</v>
      </c>
      <c r="P17">
        <v>0</v>
      </c>
      <c r="Q17">
        <v>1000</v>
      </c>
    </row>
    <row r="18" spans="1:17" x14ac:dyDescent="0.25">
      <c r="A18" t="s">
        <v>1600</v>
      </c>
      <c r="B18">
        <v>4538</v>
      </c>
      <c r="C18">
        <v>309</v>
      </c>
      <c r="D18">
        <v>2</v>
      </c>
      <c r="E18">
        <v>618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96</v>
      </c>
      <c r="P18">
        <v>0</v>
      </c>
      <c r="Q18">
        <v>0</v>
      </c>
    </row>
    <row r="19" spans="1:17" x14ac:dyDescent="0.25">
      <c r="A19" t="s">
        <v>1600</v>
      </c>
      <c r="B19">
        <v>4539</v>
      </c>
      <c r="C19">
        <v>309</v>
      </c>
      <c r="D19">
        <v>2</v>
      </c>
      <c r="E19">
        <v>618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96</v>
      </c>
      <c r="P19">
        <v>0</v>
      </c>
      <c r="Q19">
        <v>0</v>
      </c>
    </row>
    <row r="20" spans="1:17" x14ac:dyDescent="0.25">
      <c r="A20" t="s">
        <v>1814</v>
      </c>
      <c r="B20">
        <v>4561</v>
      </c>
      <c r="C20">
        <v>309</v>
      </c>
      <c r="D20">
        <v>2</v>
      </c>
      <c r="E20">
        <v>618</v>
      </c>
      <c r="F20">
        <v>0</v>
      </c>
      <c r="G20">
        <v>1000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96</v>
      </c>
      <c r="P20">
        <v>0</v>
      </c>
      <c r="Q20">
        <v>1000</v>
      </c>
    </row>
    <row r="21" spans="1:17" x14ac:dyDescent="0.25">
      <c r="A21" t="s">
        <v>1814</v>
      </c>
      <c r="B21">
        <v>4529</v>
      </c>
      <c r="C21">
        <v>309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96</v>
      </c>
      <c r="P21">
        <v>0</v>
      </c>
      <c r="Q21">
        <v>0</v>
      </c>
    </row>
    <row r="22" spans="1:17" x14ac:dyDescent="0.25">
      <c r="A22" t="s">
        <v>1667</v>
      </c>
      <c r="B22">
        <v>4537</v>
      </c>
      <c r="C22">
        <v>154.5</v>
      </c>
      <c r="D22">
        <v>2</v>
      </c>
      <c r="E22">
        <v>309</v>
      </c>
      <c r="F22">
        <v>0</v>
      </c>
      <c r="G22">
        <v>250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96</v>
      </c>
      <c r="P22">
        <v>0</v>
      </c>
      <c r="Q22">
        <v>250</v>
      </c>
    </row>
    <row r="23" spans="1:17" x14ac:dyDescent="0.25">
      <c r="A23" t="s">
        <v>1750</v>
      </c>
      <c r="B23">
        <v>4548</v>
      </c>
      <c r="C23">
        <v>154.5</v>
      </c>
      <c r="D23">
        <v>2</v>
      </c>
      <c r="E23">
        <v>309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96</v>
      </c>
      <c r="P23">
        <v>0</v>
      </c>
      <c r="Q23">
        <v>0</v>
      </c>
    </row>
    <row r="24" spans="1:17" x14ac:dyDescent="0.25">
      <c r="A24" t="s">
        <v>1812</v>
      </c>
      <c r="B24">
        <v>4567</v>
      </c>
      <c r="C24">
        <v>154.5</v>
      </c>
      <c r="D24">
        <v>2</v>
      </c>
      <c r="E24">
        <v>309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96</v>
      </c>
      <c r="P24">
        <v>0</v>
      </c>
      <c r="Q24">
        <v>0</v>
      </c>
    </row>
    <row r="25" spans="1:17" x14ac:dyDescent="0.25">
      <c r="A25" t="s">
        <v>1666</v>
      </c>
      <c r="C25">
        <v>154.5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96</v>
      </c>
      <c r="Q25">
        <v>0</v>
      </c>
    </row>
    <row r="26" spans="1:17" x14ac:dyDescent="0.25">
      <c r="A26" t="s">
        <v>1600</v>
      </c>
      <c r="B26">
        <v>4540</v>
      </c>
      <c r="C26">
        <v>309</v>
      </c>
      <c r="D26">
        <v>2</v>
      </c>
      <c r="E26">
        <v>618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96</v>
      </c>
      <c r="P26">
        <v>0</v>
      </c>
      <c r="Q26">
        <v>0</v>
      </c>
    </row>
    <row r="27" spans="1:17" x14ac:dyDescent="0.25">
      <c r="A27" t="s">
        <v>1600</v>
      </c>
      <c r="B27">
        <v>4541</v>
      </c>
      <c r="C27">
        <v>309</v>
      </c>
      <c r="D27">
        <v>2</v>
      </c>
      <c r="E27">
        <v>618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 t="s">
        <v>96</v>
      </c>
      <c r="P27">
        <v>0</v>
      </c>
      <c r="Q27">
        <v>0</v>
      </c>
    </row>
    <row r="28" spans="1:17" x14ac:dyDescent="0.25">
      <c r="A28" t="s">
        <v>1600</v>
      </c>
      <c r="B28">
        <v>4546</v>
      </c>
      <c r="C28">
        <v>309</v>
      </c>
      <c r="D28">
        <v>2</v>
      </c>
      <c r="E28">
        <v>618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 t="s">
        <v>96</v>
      </c>
      <c r="P28">
        <v>0</v>
      </c>
      <c r="Q28">
        <v>0</v>
      </c>
    </row>
    <row r="29" spans="1:17" x14ac:dyDescent="0.25">
      <c r="A29" t="s">
        <v>1600</v>
      </c>
      <c r="B29">
        <v>4555</v>
      </c>
      <c r="C29">
        <v>309</v>
      </c>
      <c r="D29">
        <v>2</v>
      </c>
      <c r="E29">
        <v>618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 t="s">
        <v>96</v>
      </c>
      <c r="P29">
        <v>0</v>
      </c>
      <c r="Q29">
        <v>0</v>
      </c>
    </row>
    <row r="30" spans="1:17" x14ac:dyDescent="0.25">
      <c r="A30" t="s">
        <v>1742</v>
      </c>
      <c r="B30">
        <v>4561</v>
      </c>
      <c r="C30">
        <v>154.5</v>
      </c>
      <c r="D30">
        <v>2</v>
      </c>
      <c r="E30">
        <v>309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 t="s">
        <v>96</v>
      </c>
      <c r="P30">
        <v>0</v>
      </c>
      <c r="Q30">
        <v>0</v>
      </c>
    </row>
    <row r="31" spans="1:17" x14ac:dyDescent="0.25">
      <c r="A31" t="s">
        <v>1751</v>
      </c>
      <c r="B31">
        <v>4548</v>
      </c>
      <c r="C31">
        <v>154.5</v>
      </c>
      <c r="D31">
        <v>2</v>
      </c>
      <c r="E31">
        <v>309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 t="s">
        <v>96</v>
      </c>
      <c r="P31">
        <v>0</v>
      </c>
      <c r="Q31">
        <v>0</v>
      </c>
    </row>
    <row r="32" spans="1:17" x14ac:dyDescent="0.25">
      <c r="A32" t="s">
        <v>1601</v>
      </c>
      <c r="B32">
        <v>4543</v>
      </c>
      <c r="C32">
        <v>309</v>
      </c>
      <c r="D32">
        <v>2</v>
      </c>
      <c r="E32">
        <v>618</v>
      </c>
      <c r="F32">
        <v>0</v>
      </c>
      <c r="G32">
        <v>1000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 t="s">
        <v>96</v>
      </c>
      <c r="P32">
        <v>0</v>
      </c>
      <c r="Q32">
        <v>1000</v>
      </c>
    </row>
    <row r="33" spans="1:17" x14ac:dyDescent="0.25">
      <c r="A33" t="s">
        <v>1601</v>
      </c>
      <c r="B33">
        <v>4544</v>
      </c>
      <c r="C33">
        <v>309</v>
      </c>
      <c r="D33">
        <v>2</v>
      </c>
      <c r="E33">
        <v>618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 t="s">
        <v>96</v>
      </c>
      <c r="P33">
        <v>0</v>
      </c>
      <c r="Q33">
        <v>0</v>
      </c>
    </row>
    <row r="34" spans="1:17" x14ac:dyDescent="0.25">
      <c r="A34" t="s">
        <v>1601</v>
      </c>
      <c r="B34">
        <v>4545</v>
      </c>
      <c r="C34">
        <v>309</v>
      </c>
      <c r="D34">
        <v>2</v>
      </c>
      <c r="E34">
        <v>618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 t="s">
        <v>96</v>
      </c>
      <c r="P34">
        <v>0</v>
      </c>
      <c r="Q34">
        <v>0</v>
      </c>
    </row>
    <row r="35" spans="1:17" x14ac:dyDescent="0.25">
      <c r="A35" t="s">
        <v>1601</v>
      </c>
      <c r="B35">
        <v>4546</v>
      </c>
      <c r="C35">
        <v>309</v>
      </c>
      <c r="D35">
        <v>2</v>
      </c>
      <c r="E35">
        <v>618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 t="s">
        <v>96</v>
      </c>
      <c r="P35">
        <v>0</v>
      </c>
      <c r="Q35">
        <v>0</v>
      </c>
    </row>
    <row r="36" spans="1:17" x14ac:dyDescent="0.25">
      <c r="A36" t="s">
        <v>1601</v>
      </c>
      <c r="B36">
        <v>4557</v>
      </c>
      <c r="C36">
        <v>309</v>
      </c>
      <c r="D36">
        <v>2</v>
      </c>
      <c r="E36">
        <v>618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 t="s">
        <v>96</v>
      </c>
      <c r="P36">
        <v>0</v>
      </c>
      <c r="Q36">
        <v>0</v>
      </c>
    </row>
    <row r="37" spans="1:17" x14ac:dyDescent="0.25">
      <c r="A37" t="s">
        <v>1601</v>
      </c>
      <c r="B37">
        <v>4560</v>
      </c>
      <c r="C37">
        <v>309</v>
      </c>
      <c r="D37">
        <v>2</v>
      </c>
      <c r="E37">
        <v>618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 t="s">
        <v>96</v>
      </c>
      <c r="P37">
        <v>0</v>
      </c>
      <c r="Q37">
        <v>0</v>
      </c>
    </row>
    <row r="38" spans="1:17" x14ac:dyDescent="0.25">
      <c r="A38" t="s">
        <v>1601</v>
      </c>
      <c r="B38">
        <v>4556</v>
      </c>
      <c r="C38">
        <v>309</v>
      </c>
      <c r="D38">
        <v>2</v>
      </c>
      <c r="E38">
        <v>618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 t="s">
        <v>96</v>
      </c>
      <c r="P38">
        <v>0</v>
      </c>
      <c r="Q38">
        <v>0</v>
      </c>
    </row>
    <row r="39" spans="1:17" x14ac:dyDescent="0.25">
      <c r="A39" t="s">
        <v>1746</v>
      </c>
      <c r="B39">
        <v>4554</v>
      </c>
      <c r="C39">
        <v>154.5</v>
      </c>
      <c r="D39">
        <v>2</v>
      </c>
      <c r="E39">
        <v>309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 t="s">
        <v>96</v>
      </c>
      <c r="P39">
        <v>0</v>
      </c>
      <c r="Q39">
        <v>0</v>
      </c>
    </row>
    <row r="40" spans="1:17" x14ac:dyDescent="0.25">
      <c r="A40" t="s">
        <v>1747</v>
      </c>
      <c r="B40">
        <v>4570</v>
      </c>
      <c r="C40">
        <v>309</v>
      </c>
      <c r="D40">
        <v>2</v>
      </c>
      <c r="E40">
        <v>618</v>
      </c>
      <c r="F40">
        <v>0</v>
      </c>
      <c r="G40">
        <v>0</v>
      </c>
      <c r="H40">
        <v>309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 t="s">
        <v>96</v>
      </c>
      <c r="P40">
        <v>0</v>
      </c>
      <c r="Q40">
        <v>0</v>
      </c>
    </row>
    <row r="41" spans="1:17" x14ac:dyDescent="0.25">
      <c r="A41" t="s">
        <v>1747</v>
      </c>
      <c r="B41">
        <v>4537</v>
      </c>
      <c r="C41">
        <v>154.5</v>
      </c>
      <c r="D41">
        <v>2</v>
      </c>
      <c r="E41">
        <v>309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 t="s">
        <v>96</v>
      </c>
      <c r="P41">
        <v>0</v>
      </c>
      <c r="Q41">
        <v>0</v>
      </c>
    </row>
    <row r="42" spans="1:17" x14ac:dyDescent="0.25">
      <c r="A42" t="s">
        <v>1614</v>
      </c>
      <c r="C42">
        <v>154.5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 t="s">
        <v>96</v>
      </c>
      <c r="Q42">
        <v>0</v>
      </c>
    </row>
    <row r="43" spans="1:17" x14ac:dyDescent="0.25">
      <c r="A43" t="s">
        <v>1816</v>
      </c>
      <c r="B43">
        <v>4565</v>
      </c>
      <c r="C43">
        <v>154.5</v>
      </c>
      <c r="D43">
        <v>2</v>
      </c>
      <c r="E43">
        <v>309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 t="s">
        <v>96</v>
      </c>
      <c r="P43">
        <v>0</v>
      </c>
      <c r="Q43">
        <v>0</v>
      </c>
    </row>
    <row r="44" spans="1:17" x14ac:dyDescent="0.25">
      <c r="A44" t="s">
        <v>1665</v>
      </c>
      <c r="B44">
        <v>4554</v>
      </c>
      <c r="C44">
        <v>154.5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 t="s">
        <v>96</v>
      </c>
      <c r="P44">
        <v>0</v>
      </c>
      <c r="Q44">
        <v>0</v>
      </c>
    </row>
    <row r="45" spans="1:17" x14ac:dyDescent="0.25">
      <c r="A45" t="s">
        <v>1699</v>
      </c>
      <c r="B45">
        <v>4552</v>
      </c>
      <c r="C45">
        <v>154.5</v>
      </c>
      <c r="D45">
        <v>2</v>
      </c>
      <c r="E45">
        <v>309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 t="s">
        <v>96</v>
      </c>
      <c r="P45">
        <v>0</v>
      </c>
      <c r="Q45">
        <v>0</v>
      </c>
    </row>
    <row r="46" spans="1:17" x14ac:dyDescent="0.25">
      <c r="A46" t="s">
        <v>1748</v>
      </c>
      <c r="B46">
        <v>4564</v>
      </c>
      <c r="C46">
        <v>154.5</v>
      </c>
      <c r="D46">
        <v>2</v>
      </c>
      <c r="E46">
        <v>309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 t="s">
        <v>96</v>
      </c>
      <c r="P46">
        <v>0</v>
      </c>
      <c r="Q46">
        <v>0</v>
      </c>
    </row>
    <row r="47" spans="1:17" x14ac:dyDescent="0.25">
      <c r="A47" t="s">
        <v>1787</v>
      </c>
      <c r="B47">
        <v>4564</v>
      </c>
      <c r="C47">
        <v>154.5</v>
      </c>
      <c r="D47">
        <v>2</v>
      </c>
      <c r="E47">
        <v>309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 t="s">
        <v>96</v>
      </c>
      <c r="P47">
        <v>0</v>
      </c>
      <c r="Q47">
        <v>0</v>
      </c>
    </row>
    <row r="48" spans="1:17" x14ac:dyDescent="0.25">
      <c r="A48" t="s">
        <v>1630</v>
      </c>
      <c r="C48">
        <v>154.5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 t="s">
        <v>96</v>
      </c>
      <c r="Q48">
        <v>0</v>
      </c>
    </row>
    <row r="49" spans="1:17" x14ac:dyDescent="0.25">
      <c r="A49" t="s">
        <v>1788</v>
      </c>
      <c r="B49">
        <v>4567</v>
      </c>
      <c r="C49">
        <v>154.5</v>
      </c>
      <c r="D49">
        <v>2</v>
      </c>
      <c r="E49">
        <v>309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 t="s">
        <v>96</v>
      </c>
      <c r="P49">
        <v>0</v>
      </c>
      <c r="Q49">
        <v>0</v>
      </c>
    </row>
    <row r="50" spans="1:17" x14ac:dyDescent="0.25">
      <c r="A50" t="s">
        <v>1716</v>
      </c>
      <c r="B50">
        <v>4536</v>
      </c>
      <c r="C50">
        <v>154.5</v>
      </c>
      <c r="D50">
        <v>2</v>
      </c>
      <c r="E50">
        <v>309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 t="s">
        <v>96</v>
      </c>
      <c r="P50">
        <v>0</v>
      </c>
      <c r="Q50">
        <v>0</v>
      </c>
    </row>
    <row r="51" spans="1:17" x14ac:dyDescent="0.25">
      <c r="A51" t="s">
        <v>1745</v>
      </c>
      <c r="B51">
        <v>4551</v>
      </c>
      <c r="C51">
        <v>154.5</v>
      </c>
      <c r="D51">
        <v>2</v>
      </c>
      <c r="E51">
        <v>309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 t="s">
        <v>96</v>
      </c>
      <c r="P51">
        <v>0</v>
      </c>
      <c r="Q51">
        <v>0</v>
      </c>
    </row>
    <row r="52" spans="1:17" x14ac:dyDescent="0.25">
      <c r="A52" t="s">
        <v>1670</v>
      </c>
      <c r="B52">
        <v>4562</v>
      </c>
      <c r="C52">
        <v>309</v>
      </c>
      <c r="D52">
        <v>2</v>
      </c>
      <c r="E52">
        <v>618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 t="s">
        <v>96</v>
      </c>
      <c r="P52">
        <v>0</v>
      </c>
      <c r="Q52">
        <v>0</v>
      </c>
    </row>
    <row r="53" spans="1:17" x14ac:dyDescent="0.25">
      <c r="A53" t="s">
        <v>1670</v>
      </c>
      <c r="B53">
        <v>4566</v>
      </c>
      <c r="C53">
        <v>309</v>
      </c>
      <c r="D53">
        <v>2</v>
      </c>
      <c r="E53">
        <v>618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 t="s">
        <v>96</v>
      </c>
      <c r="P53">
        <v>0</v>
      </c>
      <c r="Q53">
        <v>0</v>
      </c>
    </row>
    <row r="54" spans="1:17" x14ac:dyDescent="0.25">
      <c r="A54" t="s">
        <v>1670</v>
      </c>
      <c r="B54">
        <v>4527</v>
      </c>
      <c r="C54">
        <v>154.5</v>
      </c>
      <c r="D54">
        <v>2</v>
      </c>
      <c r="E54">
        <v>309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 t="s">
        <v>96</v>
      </c>
      <c r="P54">
        <v>0</v>
      </c>
      <c r="Q54">
        <v>0</v>
      </c>
    </row>
    <row r="55" spans="1:17" x14ac:dyDescent="0.25">
      <c r="A55" t="s">
        <v>1670</v>
      </c>
      <c r="B55">
        <v>4528</v>
      </c>
      <c r="C55">
        <v>309</v>
      </c>
      <c r="D55">
        <v>2</v>
      </c>
      <c r="E55">
        <v>618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 t="s">
        <v>96</v>
      </c>
      <c r="P55">
        <v>0</v>
      </c>
      <c r="Q55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T44"/>
  <sheetViews>
    <sheetView showGridLines="0" zoomScale="80" zoomScaleNormal="80" workbookViewId="0">
      <pane ySplit="4" topLeftCell="A5" activePane="bottomLeft" state="frozen"/>
      <selection pane="bottomLeft" activeCell="Y11" sqref="Y11"/>
    </sheetView>
  </sheetViews>
  <sheetFormatPr defaultColWidth="9.28515625" defaultRowHeight="15" customHeight="1" x14ac:dyDescent="0.25"/>
  <cols>
    <col min="1" max="1" width="32.7109375" style="41" bestFit="1" customWidth="1"/>
    <col min="2" max="2" width="11.140625" style="48" bestFit="1" customWidth="1"/>
    <col min="3" max="3" width="31.7109375" style="27" bestFit="1" customWidth="1"/>
    <col min="4" max="4" width="13.28515625" style="27" customWidth="1"/>
    <col min="5" max="6" width="13.28515625" style="27" hidden="1" customWidth="1"/>
    <col min="7" max="8" width="13.28515625" style="27" customWidth="1"/>
    <col min="9" max="9" width="14.5703125" style="27" customWidth="1"/>
    <col min="10" max="10" width="13.7109375" style="27" bestFit="1" customWidth="1"/>
    <col min="11" max="11" width="13.42578125" style="27" bestFit="1" customWidth="1"/>
    <col min="12" max="14" width="13.42578125" style="27" customWidth="1"/>
    <col min="15" max="15" width="14" style="27" bestFit="1" customWidth="1"/>
    <col min="16" max="16" width="15.7109375" style="27" bestFit="1" customWidth="1"/>
    <col min="17" max="17" width="17.42578125" style="28" customWidth="1"/>
    <col min="18" max="19" width="0" style="27" hidden="1" customWidth="1"/>
    <col min="20" max="16384" width="9.28515625" style="27"/>
  </cols>
  <sheetData>
    <row r="1" spans="1:20" ht="15.75" x14ac:dyDescent="0.25">
      <c r="A1" s="25" t="s">
        <v>2079</v>
      </c>
      <c r="B1" s="26"/>
      <c r="C1" s="26"/>
    </row>
    <row r="2" spans="1:20" ht="18.75" x14ac:dyDescent="0.3">
      <c r="A2" s="25"/>
      <c r="B2" s="26"/>
      <c r="C2" s="26"/>
      <c r="D2" s="90" t="s">
        <v>68</v>
      </c>
      <c r="E2" s="90"/>
      <c r="F2" s="90"/>
      <c r="G2" s="90"/>
      <c r="H2" s="90"/>
      <c r="I2" s="90"/>
      <c r="J2" s="91" t="s">
        <v>69</v>
      </c>
      <c r="K2" s="91"/>
      <c r="L2" s="91"/>
      <c r="M2" s="91"/>
      <c r="N2" s="91"/>
      <c r="O2" s="91"/>
      <c r="P2" s="91"/>
    </row>
    <row r="3" spans="1:20" ht="15.75" x14ac:dyDescent="0.25">
      <c r="A3" s="25"/>
      <c r="B3" s="26"/>
      <c r="C3" s="26"/>
      <c r="D3" s="93" t="s">
        <v>70</v>
      </c>
      <c r="E3" s="93"/>
      <c r="F3" s="93" t="s">
        <v>71</v>
      </c>
      <c r="G3" s="93"/>
      <c r="H3" s="93"/>
      <c r="I3" s="93"/>
      <c r="J3" s="30"/>
      <c r="O3" s="30"/>
      <c r="P3" s="30"/>
      <c r="Q3" s="31" t="s">
        <v>72</v>
      </c>
    </row>
    <row r="4" spans="1:20" s="29" customFormat="1" ht="15.75" thickBot="1" x14ac:dyDescent="0.3">
      <c r="A4" s="32" t="s">
        <v>73</v>
      </c>
      <c r="B4" s="33" t="s">
        <v>74</v>
      </c>
      <c r="C4" s="33" t="s">
        <v>75</v>
      </c>
      <c r="D4" s="33" t="s">
        <v>138</v>
      </c>
      <c r="E4" s="33" t="s">
        <v>139</v>
      </c>
      <c r="F4" s="33" t="s">
        <v>76</v>
      </c>
      <c r="G4" s="33" t="s">
        <v>77</v>
      </c>
      <c r="H4" s="33" t="s">
        <v>63</v>
      </c>
      <c r="I4" s="33" t="s">
        <v>54</v>
      </c>
      <c r="J4" s="33" t="s">
        <v>48</v>
      </c>
      <c r="K4" s="33" t="s">
        <v>78</v>
      </c>
      <c r="L4" s="33" t="s">
        <v>9</v>
      </c>
      <c r="M4" s="33" t="s">
        <v>124</v>
      </c>
      <c r="N4" s="33" t="s">
        <v>125</v>
      </c>
      <c r="O4" s="33" t="s">
        <v>50</v>
      </c>
      <c r="P4" s="33" t="s">
        <v>140</v>
      </c>
      <c r="Q4" s="34" t="s">
        <v>79</v>
      </c>
    </row>
    <row r="5" spans="1:20" s="29" customFormat="1" ht="21.6" customHeight="1" thickTop="1" x14ac:dyDescent="0.35">
      <c r="A5" s="92" t="s">
        <v>96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</row>
    <row r="6" spans="1:20" ht="15" customHeight="1" x14ac:dyDescent="0.25">
      <c r="A6" s="41" t="str" cm="1">
        <f t="array" ref="A6:C28">_xlfn._xlws.FILTER(_xlfn.UNIQUE(Div12PartnerListPR[[PARTNER NAME]:[EMAIL]]),((Div12PartnerListPR[PartnerSort]=0)+(Div12PartnerListPR[PartnerSort]=2)),"No First Trip Partner")</f>
        <v>BROOKES TRANSPORTATION, LLC</v>
      </c>
      <c r="B6" s="48">
        <v>1202</v>
      </c>
      <c r="C6" s="35" t="str">
        <v>transportationbrookes@gmail.com</v>
      </c>
      <c r="D6" s="36">
        <f>IFERROR(SUMIF(SumVDPMVReport[PARTNER NAME],$A6,SumVDPMVReport[Total Rev]),0)</f>
        <v>55321.927299999996</v>
      </c>
      <c r="E6" s="36"/>
      <c r="F6" s="36"/>
      <c r="G6" s="37" cm="1">
        <f t="array" ref="G6">SUM(_xlfn._xlws.FILTER(Deduction_and_other_Revenue[Other Income],((Deduction_and_other_Revenue[TYPE]=$A$5)*(Deduction_and_other_Revenue[PARTNER]=$A6)),0))</f>
        <v>0</v>
      </c>
      <c r="H6" s="36" cm="1">
        <f t="array" ref="H6">SUM(_xlfn._xlws.FILTER(Deduction_and_other_Revenue[Bonus],((Deduction_and_other_Revenue[TYPE]=$A$5)*(Deduction_and_other_Revenue[PARTNER]=$A6)),0))</f>
        <v>0</v>
      </c>
      <c r="I6" s="37" cm="1">
        <f t="array" ref="I6">SUM(_xlfn._xlws.FILTER(Deduction_and_other_Revenue[Reimbursement],((Deduction_and_other_Revenue[TYPE]=$A$5)*(Deduction_and_other_Revenue[PARTNER]=$A6)),0))</f>
        <v>0</v>
      </c>
      <c r="J6" s="36" cm="1">
        <f t="array" ref="J6">SUM(_xlfn._xlws.FILTER(Deduction_and_other_Revenue[Credentials],((Deduction_and_other_Revenue[TYPE]=$A$5)*(Deduction_and_other_Revenue[PARTNER]=$A6)),0))</f>
        <v>0</v>
      </c>
      <c r="K6" s="38" cm="1">
        <f t="array" ref="K6">SUM(_xlfn._xlws.FILTER(Deduction_and_other_Revenue[LIFT LEASE TOTAL],((Deduction_and_other_Revenue[TYPE]=$A$5)*(Deduction_and_other_Revenue[PARTNER]=$A6)),0))</f>
        <v>8034</v>
      </c>
      <c r="L6" s="38" cm="1">
        <f t="array" ref="L6">SUM(_xlfn._xlws.FILTER(Deduction_and_other_Revenue[Tolls],((Deduction_and_other_Revenue[TYPE]=$A$5)*(Deduction_and_other_Revenue[PARTNER]=$A6)),0))</f>
        <v>0</v>
      </c>
      <c r="M6" s="38" cm="1">
        <f t="array" ref="M6">SUM(_xlfn._xlws.FILTER(Deduction_and_other_Revenue[Camera Tickets],((Deduction_and_other_Revenue[TYPE]=$A$5)*(Deduction_and_other_Revenue[PARTNER]=$A6)),0))</f>
        <v>0</v>
      </c>
      <c r="N6" s="38" cm="1">
        <f t="array" ref="N6">SUM(_xlfn._xlws.FILTER(Deduction_and_other_Revenue[Parking Tickets],((Deduction_and_other_Revenue[TYPE]=$A$5)*(Deduction_and_other_Revenue[PARTNER]=$A6)),0))</f>
        <v>0</v>
      </c>
      <c r="O6" s="36" cm="1">
        <f t="array" ref="O6">SUM(_xlfn._xlws.FILTER(Deduction_and_other_Revenue[Violation],((Deduction_and_other_Revenue[TYPE]=$A$5)*(Deduction_and_other_Revenue[PARTNER]=$A6)),0))</f>
        <v>1000</v>
      </c>
      <c r="P6" s="36" cm="1">
        <f t="array" ref="P6">SUM(_xlfn._xlws.FILTER(Deduction_and_other_Revenue[Other Deductions],((Deduction_and_other_Revenue[TYPE]=$A$5)*(Deduction_and_other_Revenue[PARTNER]=$A6)),0))</f>
        <v>0</v>
      </c>
      <c r="Q6" s="39">
        <f>IFERROR(SUM(D6:I6)-SUM(J6:P6),0)</f>
        <v>46287.927299999996</v>
      </c>
      <c r="T6" s="40"/>
    </row>
    <row r="7" spans="1:20" ht="15" customHeight="1" x14ac:dyDescent="0.25">
      <c r="A7" s="41" t="str">
        <v>MELINIO TRANSIT</v>
      </c>
      <c r="B7" s="48">
        <v>3114</v>
      </c>
      <c r="C7" s="35" t="str">
        <v>Fleet@meliniotransit.com</v>
      </c>
      <c r="D7" s="36">
        <f>IFERROR(SUMIF(SumVDPMVReport[PARTNER NAME],$A7,SumVDPMVReport[Total Rev]),0)</f>
        <v>36767.748999999996</v>
      </c>
      <c r="E7" s="36"/>
      <c r="F7" s="36"/>
      <c r="G7" s="37" cm="1">
        <f t="array" ref="G7">SUM(_xlfn._xlws.FILTER(Deduction_and_other_Revenue[Other Income],((Deduction_and_other_Revenue[TYPE]=$A$5)*(Deduction_and_other_Revenue[PARTNER]=$A7)),0))</f>
        <v>0</v>
      </c>
      <c r="H7" s="36" cm="1">
        <f t="array" ref="H7">SUM(_xlfn._xlws.FILTER(Deduction_and_other_Revenue[Bonus],((Deduction_and_other_Revenue[TYPE]=$A$5)*(Deduction_and_other_Revenue[PARTNER]=$A7)),0))</f>
        <v>0</v>
      </c>
      <c r="I7" s="37" cm="1">
        <f t="array" ref="I7">SUM(_xlfn._xlws.FILTER(Deduction_and_other_Revenue[Reimbursement],((Deduction_and_other_Revenue[TYPE]=$A$5)*(Deduction_and_other_Revenue[PARTNER]=$A7)),0))</f>
        <v>0</v>
      </c>
      <c r="J7" s="36" cm="1">
        <f t="array" ref="J7">SUM(_xlfn._xlws.FILTER(Deduction_and_other_Revenue[Credentials],((Deduction_and_other_Revenue[TYPE]=$A$5)*(Deduction_and_other_Revenue[PARTNER]=$A7)),0))</f>
        <v>0</v>
      </c>
      <c r="K7" s="38" cm="1">
        <f t="array" ref="K7">SUM(_xlfn._xlws.FILTER(Deduction_and_other_Revenue[LIFT LEASE TOTAL],((Deduction_and_other_Revenue[TYPE]=$A$5)*(Deduction_and_other_Revenue[PARTNER]=$A7)),0))</f>
        <v>4326</v>
      </c>
      <c r="L7" s="38" cm="1">
        <f t="array" ref="L7">SUM(_xlfn._xlws.FILTER(Deduction_and_other_Revenue[Tolls],((Deduction_and_other_Revenue[TYPE]=$A$5)*(Deduction_and_other_Revenue[PARTNER]=$A7)),0))</f>
        <v>0</v>
      </c>
      <c r="M7" s="38" cm="1">
        <f t="array" ref="M7">SUM(_xlfn._xlws.FILTER(Deduction_and_other_Revenue[Camera Tickets],((Deduction_and_other_Revenue[TYPE]=$A$5)*(Deduction_and_other_Revenue[PARTNER]=$A7)),0))</f>
        <v>0</v>
      </c>
      <c r="N7" s="38" cm="1">
        <f t="array" ref="N7">SUM(_xlfn._xlws.FILTER(Deduction_and_other_Revenue[Parking Tickets],((Deduction_and_other_Revenue[TYPE]=$A$5)*(Deduction_and_other_Revenue[PARTNER]=$A7)),0))</f>
        <v>0</v>
      </c>
      <c r="O7" s="36" cm="1">
        <f t="array" ref="O7">SUM(_xlfn._xlws.FILTER(Deduction_and_other_Revenue[Violation],((Deduction_and_other_Revenue[TYPE]=$A$5)*(Deduction_and_other_Revenue[PARTNER]=$A7)),0))</f>
        <v>1000</v>
      </c>
      <c r="P7" s="36" cm="1">
        <f t="array" ref="P7">SUM(_xlfn._xlws.FILTER(Deduction_and_other_Revenue[Other Deductions],((Deduction_and_other_Revenue[TYPE]=$A$5)*(Deduction_and_other_Revenue[PARTNER]=$A7)),0))</f>
        <v>0</v>
      </c>
      <c r="Q7" s="39">
        <f t="shared" ref="Q7:Q13" si="0">IFERROR(SUM(D7:I7)-SUM(J7:P7),0)</f>
        <v>31441.748999999996</v>
      </c>
      <c r="T7" s="40"/>
    </row>
    <row r="8" spans="1:20" ht="15" customHeight="1" x14ac:dyDescent="0.25">
      <c r="A8" s="41" t="str">
        <v>RR CONVEYANCE LLC</v>
      </c>
      <c r="B8" s="48">
        <v>6125</v>
      </c>
      <c r="C8" s="35" t="str">
        <v>mrcollins220@gmail.com</v>
      </c>
      <c r="D8" s="36">
        <f>IFERROR(SUMIF(SumVDPMVReport[PARTNER NAME],$A8,SumVDPMVReport[Total Rev]),0)</f>
        <v>0</v>
      </c>
      <c r="E8" s="36"/>
      <c r="F8" s="36"/>
      <c r="G8" s="37" cm="1">
        <f t="array" ref="G8">SUM(_xlfn._xlws.FILTER(Deduction_and_other_Revenue[Other Income],((Deduction_and_other_Revenue[TYPE]=$A$5)*(Deduction_and_other_Revenue[PARTNER]=$A8)),0))</f>
        <v>0</v>
      </c>
      <c r="H8" s="36" cm="1">
        <f t="array" ref="H8">SUM(_xlfn._xlws.FILTER(Deduction_and_other_Revenue[Bonus],((Deduction_and_other_Revenue[TYPE]=$A$5)*(Deduction_and_other_Revenue[PARTNER]=$A8)),0))</f>
        <v>0</v>
      </c>
      <c r="I8" s="37" cm="1">
        <f t="array" ref="I8">SUM(_xlfn._xlws.FILTER(Deduction_and_other_Revenue[Reimbursement],((Deduction_and_other_Revenue[TYPE]=$A$5)*(Deduction_and_other_Revenue[PARTNER]=$A8)),0))</f>
        <v>0</v>
      </c>
      <c r="J8" s="36" cm="1">
        <f t="array" ref="J8">SUM(_xlfn._xlws.FILTER(Deduction_and_other_Revenue[Credentials],((Deduction_and_other_Revenue[TYPE]=$A$5)*(Deduction_and_other_Revenue[PARTNER]=$A8)),0))</f>
        <v>0</v>
      </c>
      <c r="K8" s="38" cm="1">
        <f t="array" ref="K8">SUM(_xlfn._xlws.FILTER(Deduction_and_other_Revenue[LIFT LEASE TOTAL],((Deduction_and_other_Revenue[TYPE]=$A$5)*(Deduction_and_other_Revenue[PARTNER]=$A8)),0))</f>
        <v>0</v>
      </c>
      <c r="L8" s="38" cm="1">
        <f t="array" ref="L8">SUM(_xlfn._xlws.FILTER(Deduction_and_other_Revenue[Tolls],((Deduction_and_other_Revenue[TYPE]=$A$5)*(Deduction_and_other_Revenue[PARTNER]=$A8)),0))</f>
        <v>0</v>
      </c>
      <c r="M8" s="38" cm="1">
        <f t="array" ref="M8">SUM(_xlfn._xlws.FILTER(Deduction_and_other_Revenue[Camera Tickets],((Deduction_and_other_Revenue[TYPE]=$A$5)*(Deduction_and_other_Revenue[PARTNER]=$A8)),0))</f>
        <v>0</v>
      </c>
      <c r="N8" s="38" cm="1">
        <f t="array" ref="N8">SUM(_xlfn._xlws.FILTER(Deduction_and_other_Revenue[Parking Tickets],((Deduction_and_other_Revenue[TYPE]=$A$5)*(Deduction_and_other_Revenue[PARTNER]=$A8)),0))</f>
        <v>0</v>
      </c>
      <c r="O8" s="36" cm="1">
        <f t="array" ref="O8">SUM(_xlfn._xlws.FILTER(Deduction_and_other_Revenue[Violation],((Deduction_and_other_Revenue[TYPE]=$A$5)*(Deduction_and_other_Revenue[PARTNER]=$A8)),0))</f>
        <v>0</v>
      </c>
      <c r="P8" s="36" cm="1">
        <f t="array" ref="P8">SUM(_xlfn._xlws.FILTER(Deduction_and_other_Revenue[Other Deductions],((Deduction_and_other_Revenue[TYPE]=$A$5)*(Deduction_and_other_Revenue[PARTNER]=$A8)),0))</f>
        <v>0</v>
      </c>
      <c r="Q8" s="39">
        <f t="shared" si="0"/>
        <v>0</v>
      </c>
      <c r="T8" s="40"/>
    </row>
    <row r="9" spans="1:20" ht="15" customHeight="1" x14ac:dyDescent="0.25">
      <c r="A9" s="41" t="str">
        <v>ORION TRANSIT, LLC</v>
      </c>
      <c r="B9" s="48">
        <v>9066</v>
      </c>
      <c r="C9" s="35" t="str">
        <v>tony@oriontransitdfw.com</v>
      </c>
      <c r="D9" s="36">
        <f>IFERROR(SUMIF(SumVDPMVReport[PARTNER NAME],$A9,SumVDPMVReport[Total Rev]),0)</f>
        <v>29396.34</v>
      </c>
      <c r="E9" s="36"/>
      <c r="F9" s="36"/>
      <c r="G9" s="37" cm="1">
        <f t="array" ref="G9">SUM(_xlfn._xlws.FILTER(Deduction_and_other_Revenue[Other Income],((Deduction_and_other_Revenue[TYPE]=$A$5)*(Deduction_and_other_Revenue[PARTNER]=$A9)),0))</f>
        <v>0</v>
      </c>
      <c r="H9" s="36" cm="1">
        <f t="array" ref="H9">SUM(_xlfn._xlws.FILTER(Deduction_and_other_Revenue[Bonus],((Deduction_and_other_Revenue[TYPE]=$A$5)*(Deduction_and_other_Revenue[PARTNER]=$A9)),0))</f>
        <v>0</v>
      </c>
      <c r="I9" s="37" cm="1">
        <f t="array" ref="I9">SUM(_xlfn._xlws.FILTER(Deduction_and_other_Revenue[Reimbursement],((Deduction_and_other_Revenue[TYPE]=$A$5)*(Deduction_and_other_Revenue[PARTNER]=$A9)),0))</f>
        <v>0</v>
      </c>
      <c r="J9" s="36" cm="1">
        <f t="array" ref="J9">SUM(_xlfn._xlws.FILTER(Deduction_and_other_Revenue[Credentials],((Deduction_and_other_Revenue[TYPE]=$A$5)*(Deduction_and_other_Revenue[PARTNER]=$A9)),0))</f>
        <v>0</v>
      </c>
      <c r="K9" s="38" cm="1">
        <f t="array" ref="K9">SUM(_xlfn._xlws.FILTER(Deduction_and_other_Revenue[LIFT LEASE TOTAL],((Deduction_and_other_Revenue[TYPE]=$A$5)*(Deduction_and_other_Revenue[PARTNER]=$A9)),0))</f>
        <v>4326</v>
      </c>
      <c r="L9" s="38" cm="1">
        <f t="array" ref="L9">SUM(_xlfn._xlws.FILTER(Deduction_and_other_Revenue[Tolls],((Deduction_and_other_Revenue[TYPE]=$A$5)*(Deduction_and_other_Revenue[PARTNER]=$A9)),0))</f>
        <v>0</v>
      </c>
      <c r="M9" s="38" cm="1">
        <f t="array" ref="M9">SUM(_xlfn._xlws.FILTER(Deduction_and_other_Revenue[Camera Tickets],((Deduction_and_other_Revenue[TYPE]=$A$5)*(Deduction_and_other_Revenue[PARTNER]=$A9)),0))</f>
        <v>0</v>
      </c>
      <c r="N9" s="38" cm="1">
        <f t="array" ref="N9">SUM(_xlfn._xlws.FILTER(Deduction_and_other_Revenue[Parking Tickets],((Deduction_and_other_Revenue[TYPE]=$A$5)*(Deduction_and_other_Revenue[PARTNER]=$A9)),0))</f>
        <v>0</v>
      </c>
      <c r="O9" s="36" cm="1">
        <f t="array" ref="O9">SUM(_xlfn._xlws.FILTER(Deduction_and_other_Revenue[Violation],((Deduction_and_other_Revenue[TYPE]=$A$5)*(Deduction_and_other_Revenue[PARTNER]=$A9)),0))</f>
        <v>1000</v>
      </c>
      <c r="P9" s="36" cm="1">
        <f t="array" ref="P9">SUM(_xlfn._xlws.FILTER(Deduction_and_other_Revenue[Other Deductions],((Deduction_and_other_Revenue[TYPE]=$A$5)*(Deduction_and_other_Revenue[PARTNER]=$A9)),0))</f>
        <v>0</v>
      </c>
      <c r="Q9" s="39">
        <f t="shared" si="0"/>
        <v>24070.34</v>
      </c>
      <c r="T9" s="40"/>
    </row>
    <row r="10" spans="1:20" ht="15" customHeight="1" x14ac:dyDescent="0.25">
      <c r="A10" s="41" t="str">
        <v>GIANNA TRANSPORT LLC</v>
      </c>
      <c r="B10" s="48">
        <v>12060</v>
      </c>
      <c r="C10" s="27" t="str">
        <v>jakegianna32@outlook.com</v>
      </c>
      <c r="D10" s="36">
        <f>IFERROR(SUMIF(SumVDPMVReport[PARTNER NAME],$A10,SumVDPMVReport[Total Rev]),0)</f>
        <v>1996.29</v>
      </c>
      <c r="E10" s="36"/>
      <c r="F10" s="36"/>
      <c r="G10" s="37" cm="1">
        <f t="array" ref="G10">SUM(_xlfn._xlws.FILTER(Deduction_and_other_Revenue[Other Income],((Deduction_and_other_Revenue[TYPE]=$A$5)*(Deduction_and_other_Revenue[PARTNER]=$A10)),0))</f>
        <v>0</v>
      </c>
      <c r="H10" s="36" cm="1">
        <f t="array" ref="H10">SUM(_xlfn._xlws.FILTER(Deduction_and_other_Revenue[Bonus],((Deduction_and_other_Revenue[TYPE]=$A$5)*(Deduction_and_other_Revenue[PARTNER]=$A10)),0))</f>
        <v>0</v>
      </c>
      <c r="I10" s="37" cm="1">
        <f t="array" ref="I10">SUM(_xlfn._xlws.FILTER(Deduction_and_other_Revenue[Reimbursement],((Deduction_and_other_Revenue[TYPE]=$A$5)*(Deduction_and_other_Revenue[PARTNER]=$A10)),0))</f>
        <v>0</v>
      </c>
      <c r="J10" s="36" cm="1">
        <f t="array" ref="J10">SUM(_xlfn._xlws.FILTER(Deduction_and_other_Revenue[Credentials],((Deduction_and_other_Revenue[TYPE]=$A$5)*(Deduction_and_other_Revenue[PARTNER]=$A10)),0))</f>
        <v>0</v>
      </c>
      <c r="K10" s="38" cm="1">
        <f t="array" ref="K10">SUM(_xlfn._xlws.FILTER(Deduction_and_other_Revenue[LIFT LEASE TOTAL],((Deduction_and_other_Revenue[TYPE]=$A$5)*(Deduction_and_other_Revenue[PARTNER]=$A10)),0))</f>
        <v>309</v>
      </c>
      <c r="L10" s="38" cm="1">
        <f t="array" ref="L10">SUM(_xlfn._xlws.FILTER(Deduction_and_other_Revenue[Tolls],((Deduction_and_other_Revenue[TYPE]=$A$5)*(Deduction_and_other_Revenue[PARTNER]=$A10)),0))</f>
        <v>0</v>
      </c>
      <c r="M10" s="38" cm="1">
        <f t="array" ref="M10">SUM(_xlfn._xlws.FILTER(Deduction_and_other_Revenue[Camera Tickets],((Deduction_and_other_Revenue[TYPE]=$A$5)*(Deduction_and_other_Revenue[PARTNER]=$A10)),0))</f>
        <v>0</v>
      </c>
      <c r="N10" s="38" cm="1">
        <f t="array" ref="N10">SUM(_xlfn._xlws.FILTER(Deduction_and_other_Revenue[Parking Tickets],((Deduction_and_other_Revenue[TYPE]=$A$5)*(Deduction_and_other_Revenue[PARTNER]=$A10)),0))</f>
        <v>0</v>
      </c>
      <c r="O10" s="36" cm="1">
        <f t="array" ref="O10">SUM(_xlfn._xlws.FILTER(Deduction_and_other_Revenue[Violation],((Deduction_and_other_Revenue[TYPE]=$A$5)*(Deduction_and_other_Revenue[PARTNER]=$A10)),0))</f>
        <v>250</v>
      </c>
      <c r="P10" s="36" cm="1">
        <f t="array" ref="P10">SUM(_xlfn._xlws.FILTER(Deduction_and_other_Revenue[Other Deductions],((Deduction_and_other_Revenue[TYPE]=$A$5)*(Deduction_and_other_Revenue[PARTNER]=$A10)),0))</f>
        <v>0</v>
      </c>
      <c r="Q10" s="39">
        <f t="shared" si="0"/>
        <v>1437.29</v>
      </c>
    </row>
    <row r="11" spans="1:20" ht="15" customHeight="1" x14ac:dyDescent="0.25">
      <c r="A11" s="41" t="str">
        <v>ZAHIA LLC</v>
      </c>
      <c r="B11" s="48">
        <v>12078</v>
      </c>
      <c r="C11" s="27" t="str">
        <v>zahiacare21@gmail.com</v>
      </c>
      <c r="D11" s="36">
        <f>IFERROR(SUMIF(SumVDPMVReport[PARTNER NAME],$A11,SumVDPMVReport[Total Rev]),0)</f>
        <v>24556.8613</v>
      </c>
      <c r="E11" s="36"/>
      <c r="F11" s="36"/>
      <c r="G11" s="37" cm="1">
        <f t="array" ref="G11">SUM(_xlfn._xlws.FILTER(Deduction_and_other_Revenue[Other Income],((Deduction_and_other_Revenue[TYPE]=$A$5)*(Deduction_and_other_Revenue[PARTNER]=$A11)),0))</f>
        <v>0</v>
      </c>
      <c r="H11" s="36" cm="1">
        <f t="array" ref="H11">SUM(_xlfn._xlws.FILTER(Deduction_and_other_Revenue[Bonus],((Deduction_and_other_Revenue[TYPE]=$A$5)*(Deduction_and_other_Revenue[PARTNER]=$A11)),0))</f>
        <v>0</v>
      </c>
      <c r="I11" s="37" cm="1">
        <f t="array" ref="I11">SUM(_xlfn._xlws.FILTER(Deduction_and_other_Revenue[Reimbursement],((Deduction_and_other_Revenue[TYPE]=$A$5)*(Deduction_and_other_Revenue[PARTNER]=$A11)),0))</f>
        <v>0</v>
      </c>
      <c r="J11" s="36" cm="1">
        <f t="array" ref="J11">SUM(_xlfn._xlws.FILTER(Deduction_and_other_Revenue[Credentials],((Deduction_and_other_Revenue[TYPE]=$A$5)*(Deduction_and_other_Revenue[PARTNER]=$A11)),0))</f>
        <v>0</v>
      </c>
      <c r="K11" s="38" cm="1">
        <f t="array" ref="K11">SUM(_xlfn._xlws.FILTER(Deduction_and_other_Revenue[LIFT LEASE TOTAL],((Deduction_and_other_Revenue[TYPE]=$A$5)*(Deduction_and_other_Revenue[PARTNER]=$A11)),0))</f>
        <v>2163</v>
      </c>
      <c r="L11" s="38" cm="1">
        <f t="array" ref="L11">SUM(_xlfn._xlws.FILTER(Deduction_and_other_Revenue[Tolls],((Deduction_and_other_Revenue[TYPE]=$A$5)*(Deduction_and_other_Revenue[PARTNER]=$A11)),0))</f>
        <v>0</v>
      </c>
      <c r="M11" s="38" cm="1">
        <f t="array" ref="M11">SUM(_xlfn._xlws.FILTER(Deduction_and_other_Revenue[Camera Tickets],((Deduction_and_other_Revenue[TYPE]=$A$5)*(Deduction_and_other_Revenue[PARTNER]=$A11)),0))</f>
        <v>0</v>
      </c>
      <c r="N11" s="38" cm="1">
        <f t="array" ref="N11">SUM(_xlfn._xlws.FILTER(Deduction_and_other_Revenue[Parking Tickets],((Deduction_and_other_Revenue[TYPE]=$A$5)*(Deduction_and_other_Revenue[PARTNER]=$A11)),0))</f>
        <v>0</v>
      </c>
      <c r="O11" s="36" cm="1">
        <f t="array" ref="O11">SUM(_xlfn._xlws.FILTER(Deduction_and_other_Revenue[Violation],((Deduction_and_other_Revenue[TYPE]=$A$5)*(Deduction_and_other_Revenue[PARTNER]=$A11)),0))</f>
        <v>0</v>
      </c>
      <c r="P11" s="36" cm="1">
        <f t="array" ref="P11">SUM(_xlfn._xlws.FILTER(Deduction_and_other_Revenue[Other Deductions],((Deduction_and_other_Revenue[TYPE]=$A$5)*(Deduction_and_other_Revenue[PARTNER]=$A11)),0))</f>
        <v>0</v>
      </c>
      <c r="Q11" s="39">
        <f t="shared" si="0"/>
        <v>22393.8613</v>
      </c>
    </row>
    <row r="12" spans="1:20" ht="15" customHeight="1" x14ac:dyDescent="0.25">
      <c r="A12" s="41" t="str">
        <v>NUBIANTOD LLC</v>
      </c>
      <c r="B12" s="48">
        <v>12081</v>
      </c>
      <c r="C12" s="27" t="str">
        <v>mg09233@gmail.com</v>
      </c>
      <c r="D12" s="36">
        <f>IFERROR(SUMIF(SumVDPMVReport[PARTNER NAME],$A12,SumVDPMVReport[Total Rev]),0)</f>
        <v>3259.1849999999999</v>
      </c>
      <c r="E12" s="36"/>
      <c r="F12" s="36"/>
      <c r="G12" s="37" cm="1">
        <f t="array" ref="G12">SUM(_xlfn._xlws.FILTER(Deduction_and_other_Revenue[Other Income],((Deduction_and_other_Revenue[TYPE]=$A$5)*(Deduction_and_other_Revenue[PARTNER]=$A12)),0))</f>
        <v>0</v>
      </c>
      <c r="H12" s="36" cm="1">
        <f t="array" ref="H12">SUM(_xlfn._xlws.FILTER(Deduction_and_other_Revenue[Bonus],((Deduction_and_other_Revenue[TYPE]=$A$5)*(Deduction_and_other_Revenue[PARTNER]=$A12)),0))</f>
        <v>0</v>
      </c>
      <c r="I12" s="37" cm="1">
        <f t="array" ref="I12">SUM(_xlfn._xlws.FILTER(Deduction_and_other_Revenue[Reimbursement],((Deduction_and_other_Revenue[TYPE]=$A$5)*(Deduction_and_other_Revenue[PARTNER]=$A12)),0))</f>
        <v>0</v>
      </c>
      <c r="J12" s="36" cm="1">
        <f t="array" ref="J12">SUM(_xlfn._xlws.FILTER(Deduction_and_other_Revenue[Credentials],((Deduction_and_other_Revenue[TYPE]=$A$5)*(Deduction_and_other_Revenue[PARTNER]=$A12)),0))</f>
        <v>0</v>
      </c>
      <c r="K12" s="38" cm="1">
        <f t="array" ref="K12">SUM(_xlfn._xlws.FILTER(Deduction_and_other_Revenue[LIFT LEASE TOTAL],((Deduction_and_other_Revenue[TYPE]=$A$5)*(Deduction_and_other_Revenue[PARTNER]=$A12)),0))</f>
        <v>309</v>
      </c>
      <c r="L12" s="38" cm="1">
        <f t="array" ref="L12">SUM(_xlfn._xlws.FILTER(Deduction_and_other_Revenue[Tolls],((Deduction_and_other_Revenue[TYPE]=$A$5)*(Deduction_and_other_Revenue[PARTNER]=$A12)),0))</f>
        <v>0</v>
      </c>
      <c r="M12" s="38" cm="1">
        <f t="array" ref="M12">SUM(_xlfn._xlws.FILTER(Deduction_and_other_Revenue[Camera Tickets],((Deduction_and_other_Revenue[TYPE]=$A$5)*(Deduction_and_other_Revenue[PARTNER]=$A12)),0))</f>
        <v>0</v>
      </c>
      <c r="N12" s="38" cm="1">
        <f t="array" ref="N12">SUM(_xlfn._xlws.FILTER(Deduction_and_other_Revenue[Parking Tickets],((Deduction_and_other_Revenue[TYPE]=$A$5)*(Deduction_and_other_Revenue[PARTNER]=$A12)),0))</f>
        <v>0</v>
      </c>
      <c r="O12" s="36" cm="1">
        <f t="array" ref="O12">SUM(_xlfn._xlws.FILTER(Deduction_and_other_Revenue[Violation],((Deduction_and_other_Revenue[TYPE]=$A$5)*(Deduction_and_other_Revenue[PARTNER]=$A12)),0))</f>
        <v>0</v>
      </c>
      <c r="P12" s="36" cm="1">
        <f t="array" ref="P12">SUM(_xlfn._xlws.FILTER(Deduction_and_other_Revenue[Other Deductions],((Deduction_and_other_Revenue[TYPE]=$A$5)*(Deduction_and_other_Revenue[PARTNER]=$A12)),0))</f>
        <v>0</v>
      </c>
      <c r="Q12" s="39">
        <f t="shared" si="0"/>
        <v>2950.1849999999999</v>
      </c>
    </row>
    <row r="13" spans="1:20" ht="15" customHeight="1" x14ac:dyDescent="0.25">
      <c r="A13" s="41" t="str">
        <v>ABOU RANI TRANSIT LLC</v>
      </c>
      <c r="B13" s="48">
        <v>12088</v>
      </c>
      <c r="C13" s="27" t="str">
        <v>zimoosman@gmail.com</v>
      </c>
      <c r="D13" s="36">
        <f>IFERROR(SUMIF(SumVDPMVReport[PARTNER NAME],$A13,SumVDPMVReport[Total Rev]),0)</f>
        <v>3585.3249999999998</v>
      </c>
      <c r="E13" s="36"/>
      <c r="F13" s="36"/>
      <c r="G13" s="37" cm="1">
        <f t="array" ref="G13">SUM(_xlfn._xlws.FILTER(Deduction_and_other_Revenue[Other Income],((Deduction_and_other_Revenue[TYPE]=$A$5)*(Deduction_and_other_Revenue[PARTNER]=$A13)),0))</f>
        <v>0</v>
      </c>
      <c r="H13" s="36" cm="1">
        <f t="array" ref="H13">SUM(_xlfn._xlws.FILTER(Deduction_and_other_Revenue[Bonus],((Deduction_and_other_Revenue[TYPE]=$A$5)*(Deduction_and_other_Revenue[PARTNER]=$A13)),0))</f>
        <v>0</v>
      </c>
      <c r="I13" s="37" cm="1">
        <f t="array" ref="I13">SUM(_xlfn._xlws.FILTER(Deduction_and_other_Revenue[Reimbursement],((Deduction_and_other_Revenue[TYPE]=$A$5)*(Deduction_and_other_Revenue[PARTNER]=$A13)),0))</f>
        <v>0</v>
      </c>
      <c r="J13" s="36" cm="1">
        <f t="array" ref="J13">SUM(_xlfn._xlws.FILTER(Deduction_and_other_Revenue[Credentials],((Deduction_and_other_Revenue[TYPE]=$A$5)*(Deduction_and_other_Revenue[PARTNER]=$A13)),0))</f>
        <v>0</v>
      </c>
      <c r="K13" s="38" cm="1">
        <f t="array" ref="K13">SUM(_xlfn._xlws.FILTER(Deduction_and_other_Revenue[LIFT LEASE TOTAL],((Deduction_and_other_Revenue[TYPE]=$A$5)*(Deduction_and_other_Revenue[PARTNER]=$A13)),0))</f>
        <v>309</v>
      </c>
      <c r="L13" s="38" cm="1">
        <f t="array" ref="L13">SUM(_xlfn._xlws.FILTER(Deduction_and_other_Revenue[Tolls],((Deduction_and_other_Revenue[TYPE]=$A$5)*(Deduction_and_other_Revenue[PARTNER]=$A13)),0))</f>
        <v>0</v>
      </c>
      <c r="M13" s="38" cm="1">
        <f t="array" ref="M13">SUM(_xlfn._xlws.FILTER(Deduction_and_other_Revenue[Camera Tickets],((Deduction_and_other_Revenue[TYPE]=$A$5)*(Deduction_and_other_Revenue[PARTNER]=$A13)),0))</f>
        <v>0</v>
      </c>
      <c r="N13" s="38" cm="1">
        <f t="array" ref="N13">SUM(_xlfn._xlws.FILTER(Deduction_and_other_Revenue[Parking Tickets],((Deduction_and_other_Revenue[TYPE]=$A$5)*(Deduction_and_other_Revenue[PARTNER]=$A13)),0))</f>
        <v>0</v>
      </c>
      <c r="O13" s="36" cm="1">
        <f t="array" ref="O13">SUM(_xlfn._xlws.FILTER(Deduction_and_other_Revenue[Violation],((Deduction_and_other_Revenue[TYPE]=$A$5)*(Deduction_and_other_Revenue[PARTNER]=$A13)),0))</f>
        <v>0</v>
      </c>
      <c r="P13" s="36" cm="1">
        <f t="array" ref="P13">SUM(_xlfn._xlws.FILTER(Deduction_and_other_Revenue[Other Deductions],((Deduction_and_other_Revenue[TYPE]=$A$5)*(Deduction_and_other_Revenue[PARTNER]=$A13)),0))</f>
        <v>0</v>
      </c>
      <c r="Q13" s="39">
        <f t="shared" si="0"/>
        <v>3276.3249999999998</v>
      </c>
    </row>
    <row r="14" spans="1:20" ht="15" customHeight="1" x14ac:dyDescent="0.25">
      <c r="A14" s="41" t="str">
        <v>ASKR AUTO INC</v>
      </c>
      <c r="B14" s="48">
        <v>12101</v>
      </c>
      <c r="C14" s="27" t="str">
        <v>shaaeldin@hotmail.com</v>
      </c>
      <c r="D14" s="36">
        <f>IFERROR(SUMIF(SumVDPMVReport[PARTNER NAME],$A14,SumVDPMVReport[Total Rev]),0)</f>
        <v>6569.7224999999999</v>
      </c>
      <c r="E14" s="36"/>
      <c r="F14" s="36"/>
      <c r="G14" s="37" cm="1">
        <f t="array" ref="G14">SUM(_xlfn._xlws.FILTER(Deduction_and_other_Revenue[Other Income],((Deduction_and_other_Revenue[TYPE]=$A$5)*(Deduction_and_other_Revenue[PARTNER]=$A14)),0))</f>
        <v>0</v>
      </c>
      <c r="H14" s="36" cm="1">
        <f t="array" ref="H14">SUM(_xlfn._xlws.FILTER(Deduction_and_other_Revenue[Bonus],((Deduction_and_other_Revenue[TYPE]=$A$5)*(Deduction_and_other_Revenue[PARTNER]=$A14)),0))</f>
        <v>0</v>
      </c>
      <c r="I14" s="37" cm="1">
        <f t="array" ref="I14">SUM(_xlfn._xlws.FILTER(Deduction_and_other_Revenue[Reimbursement],((Deduction_and_other_Revenue[TYPE]=$A$5)*(Deduction_and_other_Revenue[PARTNER]=$A14)),0))</f>
        <v>0</v>
      </c>
      <c r="J14" s="36" cm="1">
        <f t="array" ref="J14">SUM(_xlfn._xlws.FILTER(Deduction_and_other_Revenue[Credentials],((Deduction_and_other_Revenue[TYPE]=$A$5)*(Deduction_and_other_Revenue[PARTNER]=$A14)),0))</f>
        <v>0</v>
      </c>
      <c r="K14" s="38" cm="1">
        <f t="array" ref="K14">SUM(_xlfn._xlws.FILTER(Deduction_and_other_Revenue[LIFT LEASE TOTAL],((Deduction_and_other_Revenue[TYPE]=$A$5)*(Deduction_and_other_Revenue[PARTNER]=$A14)),0))</f>
        <v>618</v>
      </c>
      <c r="L14" s="38" cm="1">
        <f t="array" ref="L14">SUM(_xlfn._xlws.FILTER(Deduction_and_other_Revenue[Tolls],((Deduction_and_other_Revenue[TYPE]=$A$5)*(Deduction_and_other_Revenue[PARTNER]=$A14)),0))</f>
        <v>0</v>
      </c>
      <c r="M14" s="38" cm="1">
        <f t="array" ref="M14">SUM(_xlfn._xlws.FILTER(Deduction_and_other_Revenue[Camera Tickets],((Deduction_and_other_Revenue[TYPE]=$A$5)*(Deduction_and_other_Revenue[PARTNER]=$A14)),0))</f>
        <v>0</v>
      </c>
      <c r="N14" s="38" cm="1">
        <f t="array" ref="N14">SUM(_xlfn._xlws.FILTER(Deduction_and_other_Revenue[Parking Tickets],((Deduction_and_other_Revenue[TYPE]=$A$5)*(Deduction_and_other_Revenue[PARTNER]=$A14)),0))</f>
        <v>0</v>
      </c>
      <c r="O14" s="36" cm="1">
        <f t="array" ref="O14">SUM(_xlfn._xlws.FILTER(Deduction_and_other_Revenue[Violation],((Deduction_and_other_Revenue[TYPE]=$A$5)*(Deduction_and_other_Revenue[PARTNER]=$A14)),0))</f>
        <v>1000</v>
      </c>
      <c r="P14" s="36" cm="1">
        <f t="array" ref="P14">SUM(_xlfn._xlws.FILTER(Deduction_and_other_Revenue[Other Deductions],((Deduction_and_other_Revenue[TYPE]=$A$5)*(Deduction_and_other_Revenue[PARTNER]=$A14)),0))</f>
        <v>0</v>
      </c>
      <c r="Q14" s="39">
        <f t="shared" ref="Q14:Q17" si="1">IFERROR(SUM(D14:I14)-SUM(J14:P14),0)</f>
        <v>4951.7224999999999</v>
      </c>
    </row>
    <row r="15" spans="1:20" ht="15" customHeight="1" x14ac:dyDescent="0.25">
      <c r="A15" s="41" t="str">
        <v>JOUD LLC</v>
      </c>
      <c r="B15" s="48">
        <v>12106</v>
      </c>
      <c r="C15" s="27" t="str">
        <v>khlil3001@hotmail.com</v>
      </c>
      <c r="D15" s="36">
        <f>IFERROR(SUMIF(SumVDPMVReport[PARTNER NAME],$A15,SumVDPMVReport[Total Rev]),0)</f>
        <v>3366.25</v>
      </c>
      <c r="E15" s="36"/>
      <c r="F15" s="36"/>
      <c r="G15" s="37" cm="1">
        <f t="array" ref="G15">SUM(_xlfn._xlws.FILTER(Deduction_and_other_Revenue[Other Income],((Deduction_and_other_Revenue[TYPE]=$A$5)*(Deduction_and_other_Revenue[PARTNER]=$A15)),0))</f>
        <v>0</v>
      </c>
      <c r="H15" s="36" cm="1">
        <f t="array" ref="H15">SUM(_xlfn._xlws.FILTER(Deduction_and_other_Revenue[Bonus],((Deduction_and_other_Revenue[TYPE]=$A$5)*(Deduction_and_other_Revenue[PARTNER]=$A15)),0))</f>
        <v>0</v>
      </c>
      <c r="I15" s="37" cm="1">
        <f t="array" ref="I15">SUM(_xlfn._xlws.FILTER(Deduction_and_other_Revenue[Reimbursement],((Deduction_and_other_Revenue[TYPE]=$A$5)*(Deduction_and_other_Revenue[PARTNER]=$A15)),0))</f>
        <v>0</v>
      </c>
      <c r="J15" s="36" cm="1">
        <f t="array" ref="J15">SUM(_xlfn._xlws.FILTER(Deduction_and_other_Revenue[Credentials],((Deduction_and_other_Revenue[TYPE]=$A$5)*(Deduction_and_other_Revenue[PARTNER]=$A15)),0))</f>
        <v>0</v>
      </c>
      <c r="K15" s="38" cm="1">
        <f t="array" ref="K15">SUM(_xlfn._xlws.FILTER(Deduction_and_other_Revenue[LIFT LEASE TOTAL],((Deduction_and_other_Revenue[TYPE]=$A$5)*(Deduction_and_other_Revenue[PARTNER]=$A15)),0))</f>
        <v>309</v>
      </c>
      <c r="L15" s="38" cm="1">
        <f t="array" ref="L15">SUM(_xlfn._xlws.FILTER(Deduction_and_other_Revenue[Tolls],((Deduction_and_other_Revenue[TYPE]=$A$5)*(Deduction_and_other_Revenue[PARTNER]=$A15)),0))</f>
        <v>0</v>
      </c>
      <c r="M15" s="38" cm="1">
        <f t="array" ref="M15">SUM(_xlfn._xlws.FILTER(Deduction_and_other_Revenue[Camera Tickets],((Deduction_and_other_Revenue[TYPE]=$A$5)*(Deduction_and_other_Revenue[PARTNER]=$A15)),0))</f>
        <v>0</v>
      </c>
      <c r="N15" s="38" cm="1">
        <f t="array" ref="N15">SUM(_xlfn._xlws.FILTER(Deduction_and_other_Revenue[Parking Tickets],((Deduction_and_other_Revenue[TYPE]=$A$5)*(Deduction_and_other_Revenue[PARTNER]=$A15)),0))</f>
        <v>0</v>
      </c>
      <c r="O15" s="36" cm="1">
        <f t="array" ref="O15">SUM(_xlfn._xlws.FILTER(Deduction_and_other_Revenue[Violation],((Deduction_and_other_Revenue[TYPE]=$A$5)*(Deduction_and_other_Revenue[PARTNER]=$A15)),0))</f>
        <v>0</v>
      </c>
      <c r="P15" s="36" cm="1">
        <f t="array" ref="P15">SUM(_xlfn._xlws.FILTER(Deduction_and_other_Revenue[Other Deductions],((Deduction_and_other_Revenue[TYPE]=$A$5)*(Deduction_and_other_Revenue[PARTNER]=$A15)),0))</f>
        <v>0</v>
      </c>
      <c r="Q15" s="39">
        <f t="shared" si="1"/>
        <v>3057.25</v>
      </c>
    </row>
    <row r="16" spans="1:20" ht="15" customHeight="1" x14ac:dyDescent="0.25">
      <c r="A16" s="41" t="str">
        <v>UMDOR LIMO SERVICES LLC</v>
      </c>
      <c r="B16" s="48">
        <v>12114</v>
      </c>
      <c r="C16" s="27" t="str">
        <v>farahatsayed@hotmail.com</v>
      </c>
      <c r="D16" s="36">
        <f>IFERROR(SUMIF(SumVDPMVReport[PARTNER NAME],$A16,SumVDPMVReport[Total Rev]),0)</f>
        <v>5562.0150000000003</v>
      </c>
      <c r="E16" s="36"/>
      <c r="F16" s="36"/>
      <c r="G16" s="37" cm="1">
        <f t="array" ref="G16">SUM(_xlfn._xlws.FILTER(Deduction_and_other_Revenue[Other Income],((Deduction_and_other_Revenue[TYPE]=$A$5)*(Deduction_and_other_Revenue[PARTNER]=$A16)),0))</f>
        <v>0</v>
      </c>
      <c r="H16" s="36" cm="1">
        <f t="array" ref="H16">SUM(_xlfn._xlws.FILTER(Deduction_and_other_Revenue[Bonus],((Deduction_and_other_Revenue[TYPE]=$A$5)*(Deduction_and_other_Revenue[PARTNER]=$A16)),0))</f>
        <v>0</v>
      </c>
      <c r="I16" s="37" cm="1">
        <f t="array" ref="I16">SUM(_xlfn._xlws.FILTER(Deduction_and_other_Revenue[Reimbursement],((Deduction_and_other_Revenue[TYPE]=$A$5)*(Deduction_and_other_Revenue[PARTNER]=$A16)),0))</f>
        <v>0</v>
      </c>
      <c r="J16" s="36" cm="1">
        <f t="array" ref="J16">SUM(_xlfn._xlws.FILTER(Deduction_and_other_Revenue[Credentials],((Deduction_and_other_Revenue[TYPE]=$A$5)*(Deduction_and_other_Revenue[PARTNER]=$A16)),0))</f>
        <v>0</v>
      </c>
      <c r="K16" s="38" cm="1">
        <f t="array" ref="K16">SUM(_xlfn._xlws.FILTER(Deduction_and_other_Revenue[LIFT LEASE TOTAL],((Deduction_and_other_Revenue[TYPE]=$A$5)*(Deduction_and_other_Revenue[PARTNER]=$A16)),0))</f>
        <v>309</v>
      </c>
      <c r="L16" s="38" cm="1">
        <f t="array" ref="L16">SUM(_xlfn._xlws.FILTER(Deduction_and_other_Revenue[Tolls],((Deduction_and_other_Revenue[TYPE]=$A$5)*(Deduction_and_other_Revenue[PARTNER]=$A16)),0))</f>
        <v>0</v>
      </c>
      <c r="M16" s="38" cm="1">
        <f t="array" ref="M16">SUM(_xlfn._xlws.FILTER(Deduction_and_other_Revenue[Camera Tickets],((Deduction_and_other_Revenue[TYPE]=$A$5)*(Deduction_and_other_Revenue[PARTNER]=$A16)),0))</f>
        <v>0</v>
      </c>
      <c r="N16" s="38" cm="1">
        <f t="array" ref="N16">SUM(_xlfn._xlws.FILTER(Deduction_and_other_Revenue[Parking Tickets],((Deduction_and_other_Revenue[TYPE]=$A$5)*(Deduction_and_other_Revenue[PARTNER]=$A16)),0))</f>
        <v>0</v>
      </c>
      <c r="O16" s="36" cm="1">
        <f t="array" ref="O16">SUM(_xlfn._xlws.FILTER(Deduction_and_other_Revenue[Violation],((Deduction_and_other_Revenue[TYPE]=$A$5)*(Deduction_and_other_Revenue[PARTNER]=$A16)),0))</f>
        <v>0</v>
      </c>
      <c r="P16" s="36" cm="1">
        <f t="array" ref="P16">SUM(_xlfn._xlws.FILTER(Deduction_and_other_Revenue[Other Deductions],((Deduction_and_other_Revenue[TYPE]=$A$5)*(Deduction_and_other_Revenue[PARTNER]=$A16)),0))</f>
        <v>0</v>
      </c>
      <c r="Q16" s="39">
        <f t="shared" si="1"/>
        <v>5253.0150000000003</v>
      </c>
    </row>
    <row r="17" spans="1:17" ht="15" customHeight="1" x14ac:dyDescent="0.25">
      <c r="A17" s="41" t="str">
        <v>PUNCTUAL SERVICE LLC</v>
      </c>
      <c r="B17" s="48">
        <v>12118</v>
      </c>
      <c r="C17" s="27" t="str">
        <v>almothna20@yahoo.com</v>
      </c>
      <c r="D17" s="36">
        <f>IFERROR(SUMIF(SumVDPMVReport[PARTNER NAME],$A17,SumVDPMVReport[Total Rev]),0)</f>
        <v>1537.6361999999999</v>
      </c>
      <c r="E17" s="36"/>
      <c r="F17" s="36"/>
      <c r="G17" s="37" cm="1">
        <f t="array" ref="G17">SUM(_xlfn._xlws.FILTER(Deduction_and_other_Revenue[Other Income],((Deduction_and_other_Revenue[TYPE]=$A$5)*(Deduction_and_other_Revenue[PARTNER]=$A17)),0))</f>
        <v>0</v>
      </c>
      <c r="H17" s="36" cm="1">
        <f t="array" ref="H17">SUM(_xlfn._xlws.FILTER(Deduction_and_other_Revenue[Bonus],((Deduction_and_other_Revenue[TYPE]=$A$5)*(Deduction_and_other_Revenue[PARTNER]=$A17)),0))</f>
        <v>0</v>
      </c>
      <c r="I17" s="37" cm="1">
        <f t="array" ref="I17">SUM(_xlfn._xlws.FILTER(Deduction_and_other_Revenue[Reimbursement],((Deduction_and_other_Revenue[TYPE]=$A$5)*(Deduction_and_other_Revenue[PARTNER]=$A17)),0))</f>
        <v>0</v>
      </c>
      <c r="J17" s="36" cm="1">
        <f t="array" ref="J17">SUM(_xlfn._xlws.FILTER(Deduction_and_other_Revenue[Credentials],((Deduction_and_other_Revenue[TYPE]=$A$5)*(Deduction_and_other_Revenue[PARTNER]=$A17)),0))</f>
        <v>0</v>
      </c>
      <c r="K17" s="38" cm="1">
        <f t="array" ref="K17">SUM(_xlfn._xlws.FILTER(Deduction_and_other_Revenue[LIFT LEASE TOTAL],((Deduction_and_other_Revenue[TYPE]=$A$5)*(Deduction_and_other_Revenue[PARTNER]=$A17)),0))</f>
        <v>309</v>
      </c>
      <c r="L17" s="38" cm="1">
        <f t="array" ref="L17">SUM(_xlfn._xlws.FILTER(Deduction_and_other_Revenue[Tolls],((Deduction_and_other_Revenue[TYPE]=$A$5)*(Deduction_and_other_Revenue[PARTNER]=$A17)),0))</f>
        <v>0</v>
      </c>
      <c r="M17" s="38" cm="1">
        <f t="array" ref="M17">SUM(_xlfn._xlws.FILTER(Deduction_and_other_Revenue[Camera Tickets],((Deduction_and_other_Revenue[TYPE]=$A$5)*(Deduction_and_other_Revenue[PARTNER]=$A17)),0))</f>
        <v>0</v>
      </c>
      <c r="N17" s="38" cm="1">
        <f t="array" ref="N17">SUM(_xlfn._xlws.FILTER(Deduction_and_other_Revenue[Parking Tickets],((Deduction_and_other_Revenue[TYPE]=$A$5)*(Deduction_and_other_Revenue[PARTNER]=$A17)),0))</f>
        <v>0</v>
      </c>
      <c r="O17" s="36" cm="1">
        <f t="array" ref="O17">SUM(_xlfn._xlws.FILTER(Deduction_and_other_Revenue[Violation],((Deduction_and_other_Revenue[TYPE]=$A$5)*(Deduction_and_other_Revenue[PARTNER]=$A17)),0))</f>
        <v>0</v>
      </c>
      <c r="P17" s="36" cm="1">
        <f t="array" ref="P17">SUM(_xlfn._xlws.FILTER(Deduction_and_other_Revenue[Other Deductions],((Deduction_and_other_Revenue[TYPE]=$A$5)*(Deduction_and_other_Revenue[PARTNER]=$A17)),0))</f>
        <v>0</v>
      </c>
      <c r="Q17" s="39">
        <f t="shared" si="1"/>
        <v>1228.6361999999999</v>
      </c>
    </row>
    <row r="18" spans="1:17" ht="15" customHeight="1" x14ac:dyDescent="0.25">
      <c r="A18" s="41" t="str">
        <v>SABAH SBH LLC</v>
      </c>
      <c r="B18" s="48">
        <v>12119</v>
      </c>
      <c r="C18" s="27" t="str">
        <v>lmohamedsabah@yahoo.com</v>
      </c>
      <c r="D18" s="36">
        <f>IFERROR(SUMIF(SumVDPMVReport[PARTNER NAME],$A18,SumVDPMVReport[Total Rev]),0)</f>
        <v>2750.01</v>
      </c>
      <c r="E18" s="36"/>
      <c r="F18" s="36"/>
      <c r="G18" s="37" cm="1">
        <f t="array" ref="G18">SUM(_xlfn._xlws.FILTER(Deduction_and_other_Revenue[Other Income],((Deduction_and_other_Revenue[TYPE]=$A$5)*(Deduction_and_other_Revenue[PARTNER]=$A18)),0))</f>
        <v>0</v>
      </c>
      <c r="H18" s="36" cm="1">
        <f t="array" ref="H18">SUM(_xlfn._xlws.FILTER(Deduction_and_other_Revenue[Bonus],((Deduction_and_other_Revenue[TYPE]=$A$5)*(Deduction_and_other_Revenue[PARTNER]=$A18)),0))</f>
        <v>0</v>
      </c>
      <c r="I18" s="37" cm="1">
        <f t="array" ref="I18">SUM(_xlfn._xlws.FILTER(Deduction_and_other_Revenue[Reimbursement],((Deduction_and_other_Revenue[TYPE]=$A$5)*(Deduction_and_other_Revenue[PARTNER]=$A18)),0))</f>
        <v>0</v>
      </c>
      <c r="J18" s="36" cm="1">
        <f t="array" ref="J18">SUM(_xlfn._xlws.FILTER(Deduction_and_other_Revenue[Credentials],((Deduction_and_other_Revenue[TYPE]=$A$5)*(Deduction_and_other_Revenue[PARTNER]=$A18)),0))</f>
        <v>0</v>
      </c>
      <c r="K18" s="81" cm="1">
        <f t="array" ref="K18">SUM(_xlfn._xlws.FILTER(Deduction_and_other_Revenue[LIFT LEASE TOTAL],((Deduction_and_other_Revenue[TYPE]=$A$5)*(Deduction_and_other_Revenue[PARTNER]=$A18)),0))</f>
        <v>309</v>
      </c>
      <c r="L18" s="81" cm="1">
        <f t="array" ref="L18">SUM(_xlfn._xlws.FILTER(Deduction_and_other_Revenue[Tolls],((Deduction_and_other_Revenue[TYPE]=$A$5)*(Deduction_and_other_Revenue[PARTNER]=$A18)),0))</f>
        <v>0</v>
      </c>
      <c r="M18" s="81" cm="1">
        <f t="array" ref="M18">SUM(_xlfn._xlws.FILTER(Deduction_and_other_Revenue[Camera Tickets],((Deduction_and_other_Revenue[TYPE]=$A$5)*(Deduction_and_other_Revenue[PARTNER]=$A18)),0))</f>
        <v>0</v>
      </c>
      <c r="N18" s="81" cm="1">
        <f t="array" ref="N18">SUM(_xlfn._xlws.FILTER(Deduction_and_other_Revenue[Parking Tickets],((Deduction_and_other_Revenue[TYPE]=$A$5)*(Deduction_and_other_Revenue[PARTNER]=$A18)),0))</f>
        <v>0</v>
      </c>
      <c r="O18" s="36" cm="1">
        <f t="array" ref="O18">SUM(_xlfn._xlws.FILTER(Deduction_and_other_Revenue[Violation],((Deduction_and_other_Revenue[TYPE]=$A$5)*(Deduction_and_other_Revenue[PARTNER]=$A18)),0))</f>
        <v>0</v>
      </c>
      <c r="P18" s="36" cm="1">
        <f t="array" ref="P18">SUM(_xlfn._xlws.FILTER(Deduction_and_other_Revenue[Other Deductions],((Deduction_and_other_Revenue[TYPE]=$A$5)*(Deduction_and_other_Revenue[PARTNER]=$A18)),0))</f>
        <v>0</v>
      </c>
      <c r="Q18" s="39">
        <f t="shared" ref="Q18" si="2">IFERROR(SUM(D18:I18)-SUM(J18:P18),0)</f>
        <v>2441.0100000000002</v>
      </c>
    </row>
    <row r="19" spans="1:17" ht="15" customHeight="1" x14ac:dyDescent="0.25">
      <c r="A19" s="41" t="str">
        <v>ABU ANNE LLC</v>
      </c>
      <c r="B19" s="48">
        <v>12124</v>
      </c>
      <c r="C19" s="27" t="str">
        <v>hassanarizona@hotmail.com</v>
      </c>
      <c r="D19" s="36">
        <f>IFERROR(SUMIF(SumVDPMVReport[PARTNER NAME],$A19,SumVDPMVReport[Total Rev]),0)</f>
        <v>3082.27</v>
      </c>
      <c r="E19" s="36"/>
      <c r="F19" s="36"/>
      <c r="G19" s="37" cm="1">
        <f t="array" ref="G19">SUM(_xlfn._xlws.FILTER(Deduction_and_other_Revenue[Other Income],((Deduction_and_other_Revenue[TYPE]=$A$5)*(Deduction_and_other_Revenue[PARTNER]=$A19)),0))</f>
        <v>0</v>
      </c>
      <c r="H19" s="36" cm="1">
        <f t="array" ref="H19">SUM(_xlfn._xlws.FILTER(Deduction_and_other_Revenue[Bonus],((Deduction_and_other_Revenue[TYPE]=$A$5)*(Deduction_and_other_Revenue[PARTNER]=$A19)),0))</f>
        <v>0</v>
      </c>
      <c r="I19" s="37" cm="1">
        <f t="array" ref="I19">SUM(_xlfn._xlws.FILTER(Deduction_and_other_Revenue[Reimbursement],((Deduction_and_other_Revenue[TYPE]=$A$5)*(Deduction_and_other_Revenue[PARTNER]=$A19)),0))</f>
        <v>0</v>
      </c>
      <c r="J19" s="36" cm="1">
        <f t="array" ref="J19">SUM(_xlfn._xlws.FILTER(Deduction_and_other_Revenue[Credentials],((Deduction_and_other_Revenue[TYPE]=$A$5)*(Deduction_and_other_Revenue[PARTNER]=$A19)),0))</f>
        <v>0</v>
      </c>
      <c r="K19" s="38" cm="1">
        <f t="array" ref="K19">SUM(_xlfn._xlws.FILTER(Deduction_and_other_Revenue[LIFT LEASE TOTAL],((Deduction_and_other_Revenue[TYPE]=$A$5)*(Deduction_and_other_Revenue[PARTNER]=$A19)),0))</f>
        <v>309</v>
      </c>
      <c r="L19" s="38" cm="1">
        <f t="array" ref="L19">SUM(_xlfn._xlws.FILTER(Deduction_and_other_Revenue[Tolls],((Deduction_and_other_Revenue[TYPE]=$A$5)*(Deduction_and_other_Revenue[PARTNER]=$A19)),0))</f>
        <v>0</v>
      </c>
      <c r="M19" s="38" cm="1">
        <f t="array" ref="M19">SUM(_xlfn._xlws.FILTER(Deduction_and_other_Revenue[Camera Tickets],((Deduction_and_other_Revenue[TYPE]=$A$5)*(Deduction_and_other_Revenue[PARTNER]=$A19)),0))</f>
        <v>0</v>
      </c>
      <c r="N19" s="38" cm="1">
        <f t="array" ref="N19">SUM(_xlfn._xlws.FILTER(Deduction_and_other_Revenue[Parking Tickets],((Deduction_and_other_Revenue[TYPE]=$A$5)*(Deduction_and_other_Revenue[PARTNER]=$A19)),0))</f>
        <v>0</v>
      </c>
      <c r="O19" s="36" cm="1">
        <f t="array" ref="O19">SUM(_xlfn._xlws.FILTER(Deduction_and_other_Revenue[Violation],((Deduction_and_other_Revenue[TYPE]=$A$5)*(Deduction_and_other_Revenue[PARTNER]=$A19)),0))</f>
        <v>0</v>
      </c>
      <c r="P19" s="36" cm="1">
        <f t="array" ref="P19">SUM(_xlfn._xlws.FILTER(Deduction_and_other_Revenue[Other Deductions],((Deduction_and_other_Revenue[TYPE]=$A$5)*(Deduction_and_other_Revenue[PARTNER]=$A19)),0))</f>
        <v>0</v>
      </c>
      <c r="Q19" s="39">
        <f t="shared" ref="Q19:Q22" si="3">IFERROR(SUM(D19:I19)-SUM(J19:P19),0)</f>
        <v>2773.27</v>
      </c>
    </row>
    <row r="20" spans="1:17" ht="15" customHeight="1" x14ac:dyDescent="0.25">
      <c r="A20" s="41" t="str">
        <v>QUICK STARS LLC</v>
      </c>
      <c r="B20" s="48">
        <v>12138</v>
      </c>
      <c r="C20" s="27" t="str">
        <v>said7kabdi@gmail.com</v>
      </c>
      <c r="D20" s="36">
        <f>IFERROR(SUMIF(SumVDPMVReport[PARTNER NAME],$A20,SumVDPMVReport[Total Rev]),0)</f>
        <v>1585.52</v>
      </c>
      <c r="E20" s="36"/>
      <c r="F20" s="36"/>
      <c r="G20" s="37" cm="1">
        <f t="array" ref="G20">SUM(_xlfn._xlws.FILTER(Deduction_and_other_Revenue[Other Income],((Deduction_and_other_Revenue[TYPE]=$A$5)*(Deduction_and_other_Revenue[PARTNER]=$A20)),0))</f>
        <v>0</v>
      </c>
      <c r="H20" s="36" cm="1">
        <f t="array" ref="H20">SUM(_xlfn._xlws.FILTER(Deduction_and_other_Revenue[Bonus],((Deduction_and_other_Revenue[TYPE]=$A$5)*(Deduction_and_other_Revenue[PARTNER]=$A20)),0))</f>
        <v>0</v>
      </c>
      <c r="I20" s="37" cm="1">
        <f t="array" ref="I20">SUM(_xlfn._xlws.FILTER(Deduction_and_other_Revenue[Reimbursement],((Deduction_and_other_Revenue[TYPE]=$A$5)*(Deduction_and_other_Revenue[PARTNER]=$A20)),0))</f>
        <v>0</v>
      </c>
      <c r="J20" s="36" cm="1">
        <f t="array" ref="J20">SUM(_xlfn._xlws.FILTER(Deduction_and_other_Revenue[Credentials],((Deduction_and_other_Revenue[TYPE]=$A$5)*(Deduction_and_other_Revenue[PARTNER]=$A20)),0))</f>
        <v>0</v>
      </c>
      <c r="K20" s="38" cm="1">
        <f t="array" ref="K20">SUM(_xlfn._xlws.FILTER(Deduction_and_other_Revenue[LIFT LEASE TOTAL],((Deduction_and_other_Revenue[TYPE]=$A$5)*(Deduction_and_other_Revenue[PARTNER]=$A20)),0))</f>
        <v>309</v>
      </c>
      <c r="L20" s="38" cm="1">
        <f t="array" ref="L20">SUM(_xlfn._xlws.FILTER(Deduction_and_other_Revenue[Tolls],((Deduction_and_other_Revenue[TYPE]=$A$5)*(Deduction_and_other_Revenue[PARTNER]=$A20)),0))</f>
        <v>0</v>
      </c>
      <c r="M20" s="38" cm="1">
        <f t="array" ref="M20">SUM(_xlfn._xlws.FILTER(Deduction_and_other_Revenue[Camera Tickets],((Deduction_and_other_Revenue[TYPE]=$A$5)*(Deduction_and_other_Revenue[PARTNER]=$A20)),0))</f>
        <v>0</v>
      </c>
      <c r="N20" s="38" cm="1">
        <f t="array" ref="N20">SUM(_xlfn._xlws.FILTER(Deduction_and_other_Revenue[Parking Tickets],((Deduction_and_other_Revenue[TYPE]=$A$5)*(Deduction_and_other_Revenue[PARTNER]=$A20)),0))</f>
        <v>0</v>
      </c>
      <c r="O20" s="36" cm="1">
        <f t="array" ref="O20">SUM(_xlfn._xlws.FILTER(Deduction_and_other_Revenue[Violation],((Deduction_and_other_Revenue[TYPE]=$A$5)*(Deduction_and_other_Revenue[PARTNER]=$A20)),0))</f>
        <v>0</v>
      </c>
      <c r="P20" s="36" cm="1">
        <f t="array" ref="P20">SUM(_xlfn._xlws.FILTER(Deduction_and_other_Revenue[Other Deductions],((Deduction_and_other_Revenue[TYPE]=$A$5)*(Deduction_and_other_Revenue[PARTNER]=$A20)),0))</f>
        <v>0</v>
      </c>
      <c r="Q20" s="39">
        <f t="shared" si="3"/>
        <v>1276.52</v>
      </c>
    </row>
    <row r="21" spans="1:17" ht="15" customHeight="1" x14ac:dyDescent="0.25">
      <c r="A21" s="41" t="str">
        <v>QUAKER STATE TRANS LLC</v>
      </c>
      <c r="B21" s="48">
        <v>12141</v>
      </c>
      <c r="C21" s="27" t="str">
        <v>atigatig214@gmail.com</v>
      </c>
      <c r="D21" s="36">
        <f>IFERROR(SUMIF(SumVDPMVReport[PARTNER NAME],$A21,SumVDPMVReport[Total Rev]),0)</f>
        <v>10327.615</v>
      </c>
      <c r="E21" s="36"/>
      <c r="F21" s="36"/>
      <c r="G21" s="37" cm="1">
        <f t="array" ref="G21">SUM(_xlfn._xlws.FILTER(Deduction_and_other_Revenue[Other Income],((Deduction_and_other_Revenue[TYPE]=$A$5)*(Deduction_and_other_Revenue[PARTNER]=$A21)),0))</f>
        <v>309</v>
      </c>
      <c r="H21" s="36" cm="1">
        <f t="array" ref="H21">SUM(_xlfn._xlws.FILTER(Deduction_and_other_Revenue[Bonus],((Deduction_and_other_Revenue[TYPE]=$A$5)*(Deduction_and_other_Revenue[PARTNER]=$A21)),0))</f>
        <v>0</v>
      </c>
      <c r="I21" s="37" cm="1">
        <f t="array" ref="I21">SUM(_xlfn._xlws.FILTER(Deduction_and_other_Revenue[Reimbursement],((Deduction_and_other_Revenue[TYPE]=$A$5)*(Deduction_and_other_Revenue[PARTNER]=$A21)),0))</f>
        <v>0</v>
      </c>
      <c r="J21" s="36" cm="1">
        <f t="array" ref="J21">SUM(_xlfn._xlws.FILTER(Deduction_and_other_Revenue[Credentials],((Deduction_and_other_Revenue[TYPE]=$A$5)*(Deduction_and_other_Revenue[PARTNER]=$A21)),0))</f>
        <v>0</v>
      </c>
      <c r="K21" s="38" cm="1">
        <f t="array" ref="K21">SUM(_xlfn._xlws.FILTER(Deduction_and_other_Revenue[LIFT LEASE TOTAL],((Deduction_and_other_Revenue[TYPE]=$A$5)*(Deduction_and_other_Revenue[PARTNER]=$A21)),0))</f>
        <v>927</v>
      </c>
      <c r="L21" s="38" cm="1">
        <f t="array" ref="L21">SUM(_xlfn._xlws.FILTER(Deduction_and_other_Revenue[Tolls],((Deduction_and_other_Revenue[TYPE]=$A$5)*(Deduction_and_other_Revenue[PARTNER]=$A21)),0))</f>
        <v>0</v>
      </c>
      <c r="M21" s="38" cm="1">
        <f t="array" ref="M21">SUM(_xlfn._xlws.FILTER(Deduction_and_other_Revenue[Camera Tickets],((Deduction_and_other_Revenue[TYPE]=$A$5)*(Deduction_and_other_Revenue[PARTNER]=$A21)),0))</f>
        <v>0</v>
      </c>
      <c r="N21" s="38" cm="1">
        <f t="array" ref="N21">SUM(_xlfn._xlws.FILTER(Deduction_and_other_Revenue[Parking Tickets],((Deduction_and_other_Revenue[TYPE]=$A$5)*(Deduction_and_other_Revenue[PARTNER]=$A21)),0))</f>
        <v>0</v>
      </c>
      <c r="O21" s="36" cm="1">
        <f t="array" ref="O21">SUM(_xlfn._xlws.FILTER(Deduction_and_other_Revenue[Violation],((Deduction_and_other_Revenue[TYPE]=$A$5)*(Deduction_and_other_Revenue[PARTNER]=$A21)),0))</f>
        <v>0</v>
      </c>
      <c r="P21" s="36" cm="1">
        <f t="array" ref="P21">SUM(_xlfn._xlws.FILTER(Deduction_and_other_Revenue[Other Deductions],((Deduction_and_other_Revenue[TYPE]=$A$5)*(Deduction_and_other_Revenue[PARTNER]=$A21)),0))</f>
        <v>0</v>
      </c>
      <c r="Q21" s="39">
        <f t="shared" si="3"/>
        <v>9709.6149999999998</v>
      </c>
    </row>
    <row r="22" spans="1:17" ht="15" customHeight="1" x14ac:dyDescent="0.25">
      <c r="A22" s="41" t="str">
        <v>SHAMS TRANSPORTATION LLC</v>
      </c>
      <c r="B22" s="48">
        <v>12145</v>
      </c>
      <c r="C22" s="27" t="str">
        <v>abaalla429@gmail.com</v>
      </c>
      <c r="D22" s="36">
        <f>IFERROR(SUMIF(SumVDPMVReport[PARTNER NAME],$A22,SumVDPMVReport[Total Rev]),0)</f>
        <v>4806.6100000000006</v>
      </c>
      <c r="E22" s="36"/>
      <c r="F22" s="36"/>
      <c r="G22" s="37" cm="1">
        <f t="array" ref="G22">SUM(_xlfn._xlws.FILTER(Deduction_and_other_Revenue[Other Income],((Deduction_and_other_Revenue[TYPE]=$A$5)*(Deduction_and_other_Revenue[PARTNER]=$A22)),0))</f>
        <v>0</v>
      </c>
      <c r="H22" s="36" cm="1">
        <f t="array" ref="H22">SUM(_xlfn._xlws.FILTER(Deduction_and_other_Revenue[Bonus],((Deduction_and_other_Revenue[TYPE]=$A$5)*(Deduction_and_other_Revenue[PARTNER]=$A22)),0))</f>
        <v>0</v>
      </c>
      <c r="I22" s="37" cm="1">
        <f t="array" ref="I22">SUM(_xlfn._xlws.FILTER(Deduction_and_other_Revenue[Reimbursement],((Deduction_and_other_Revenue[TYPE]=$A$5)*(Deduction_and_other_Revenue[PARTNER]=$A22)),0))</f>
        <v>0</v>
      </c>
      <c r="J22" s="36" cm="1">
        <f t="array" ref="J22">SUM(_xlfn._xlws.FILTER(Deduction_and_other_Revenue[Credentials],((Deduction_and_other_Revenue[TYPE]=$A$5)*(Deduction_and_other_Revenue[PARTNER]=$A22)),0))</f>
        <v>0</v>
      </c>
      <c r="K22" s="81" cm="1">
        <f t="array" ref="K22">SUM(_xlfn._xlws.FILTER(Deduction_and_other_Revenue[LIFT LEASE TOTAL],((Deduction_and_other_Revenue[TYPE]=$A$5)*(Deduction_and_other_Revenue[PARTNER]=$A22)),0))</f>
        <v>309</v>
      </c>
      <c r="L22" s="81" cm="1">
        <f t="array" ref="L22">SUM(_xlfn._xlws.FILTER(Deduction_and_other_Revenue[Tolls],((Deduction_and_other_Revenue[TYPE]=$A$5)*(Deduction_and_other_Revenue[PARTNER]=$A22)),0))</f>
        <v>0</v>
      </c>
      <c r="M22" s="81" cm="1">
        <f t="array" ref="M22">SUM(_xlfn._xlws.FILTER(Deduction_and_other_Revenue[Camera Tickets],((Deduction_and_other_Revenue[TYPE]=$A$5)*(Deduction_and_other_Revenue[PARTNER]=$A22)),0))</f>
        <v>0</v>
      </c>
      <c r="N22" s="81" cm="1">
        <f t="array" ref="N22">SUM(_xlfn._xlws.FILTER(Deduction_and_other_Revenue[Parking Tickets],((Deduction_and_other_Revenue[TYPE]=$A$5)*(Deduction_and_other_Revenue[PARTNER]=$A22)),0))</f>
        <v>0</v>
      </c>
      <c r="O22" s="36" cm="1">
        <f t="array" ref="O22">SUM(_xlfn._xlws.FILTER(Deduction_and_other_Revenue[Violation],((Deduction_and_other_Revenue[TYPE]=$A$5)*(Deduction_and_other_Revenue[PARTNER]=$A22)),0))</f>
        <v>0</v>
      </c>
      <c r="P22" s="36" cm="1">
        <f t="array" ref="P22">SUM(_xlfn._xlws.FILTER(Deduction_and_other_Revenue[Other Deductions],((Deduction_and_other_Revenue[TYPE]=$A$5)*(Deduction_and_other_Revenue[PARTNER]=$A22)),0))</f>
        <v>0</v>
      </c>
      <c r="Q22" s="39">
        <f t="shared" si="3"/>
        <v>4497.6100000000006</v>
      </c>
    </row>
    <row r="23" spans="1:17" ht="14.45" customHeight="1" x14ac:dyDescent="0.25">
      <c r="A23" s="41" t="str">
        <v>MOAAZKO TRANSIT LLC</v>
      </c>
      <c r="B23" s="48">
        <v>12150</v>
      </c>
      <c r="C23" s="27" t="str">
        <v>moaazkhairy345@gmail.com</v>
      </c>
      <c r="D23" s="36">
        <f>IFERROR(SUMIF(SumVDPMVReport[PARTNER NAME],$A23,SumVDPMVReport[Total Rev]),0)</f>
        <v>3760.8849999999998</v>
      </c>
      <c r="E23" s="36"/>
      <c r="F23" s="36"/>
      <c r="G23" s="37" cm="1">
        <f t="array" ref="G23">SUM(_xlfn._xlws.FILTER(Deduction_and_other_Revenue[Other Income],((Deduction_and_other_Revenue[TYPE]=$A$5)*(Deduction_and_other_Revenue[PARTNER]=$A23)),0))</f>
        <v>0</v>
      </c>
      <c r="H23" s="36" cm="1">
        <f t="array" ref="H23">SUM(_xlfn._xlws.FILTER(Deduction_and_other_Revenue[Bonus],((Deduction_and_other_Revenue[TYPE]=$A$5)*(Deduction_and_other_Revenue[PARTNER]=$A23)),0))</f>
        <v>0</v>
      </c>
      <c r="I23" s="37" cm="1">
        <f t="array" ref="I23">SUM(_xlfn._xlws.FILTER(Deduction_and_other_Revenue[Reimbursement],((Deduction_and_other_Revenue[TYPE]=$A$5)*(Deduction_and_other_Revenue[PARTNER]=$A23)),0))</f>
        <v>0</v>
      </c>
      <c r="J23" s="36" cm="1">
        <f t="array" ref="J23">SUM(_xlfn._xlws.FILTER(Deduction_and_other_Revenue[Credentials],((Deduction_and_other_Revenue[TYPE]=$A$5)*(Deduction_and_other_Revenue[PARTNER]=$A23)),0))</f>
        <v>0</v>
      </c>
      <c r="K23" s="38" cm="1">
        <f t="array" ref="K23">SUM(_xlfn._xlws.FILTER(Deduction_and_other_Revenue[LIFT LEASE TOTAL],((Deduction_and_other_Revenue[TYPE]=$A$5)*(Deduction_and_other_Revenue[PARTNER]=$A23)),0))</f>
        <v>309</v>
      </c>
      <c r="L23" s="38" cm="1">
        <f t="array" ref="L23">SUM(_xlfn._xlws.FILTER(Deduction_and_other_Revenue[Tolls],((Deduction_and_other_Revenue[TYPE]=$A$5)*(Deduction_and_other_Revenue[PARTNER]=$A23)),0))</f>
        <v>0</v>
      </c>
      <c r="M23" s="38" cm="1">
        <f t="array" ref="M23">SUM(_xlfn._xlws.FILTER(Deduction_and_other_Revenue[Camera Tickets],((Deduction_and_other_Revenue[TYPE]=$A$5)*(Deduction_and_other_Revenue[PARTNER]=$A23)),0))</f>
        <v>0</v>
      </c>
      <c r="N23" s="38" cm="1">
        <f t="array" ref="N23">SUM(_xlfn._xlws.FILTER(Deduction_and_other_Revenue[Parking Tickets],((Deduction_and_other_Revenue[TYPE]=$A$5)*(Deduction_and_other_Revenue[PARTNER]=$A23)),0))</f>
        <v>0</v>
      </c>
      <c r="O23" s="36" cm="1">
        <f t="array" ref="O23">SUM(_xlfn._xlws.FILTER(Deduction_and_other_Revenue[Violation],((Deduction_and_other_Revenue[TYPE]=$A$5)*(Deduction_and_other_Revenue[PARTNER]=$A23)),0))</f>
        <v>0</v>
      </c>
      <c r="P23" s="36" cm="1">
        <f t="array" ref="P23">SUM(_xlfn._xlws.FILTER(Deduction_and_other_Revenue[Other Deductions],((Deduction_and_other_Revenue[TYPE]=$A$5)*(Deduction_and_other_Revenue[PARTNER]=$A23)),0))</f>
        <v>0</v>
      </c>
      <c r="Q23" s="39">
        <f t="shared" ref="Q23:Q32" si="4">IFERROR(SUM(D23:I23)-SUM(J23:P23),0)</f>
        <v>3451.8849999999998</v>
      </c>
    </row>
    <row r="24" spans="1:17" ht="15" customHeight="1" x14ac:dyDescent="0.25">
      <c r="A24" s="41" t="str">
        <v>SAFE DRIVE TRANS LLC</v>
      </c>
      <c r="B24" s="48">
        <v>12154</v>
      </c>
      <c r="C24" s="27" t="str">
        <v>ismailouarzazate1993@gmail.com</v>
      </c>
      <c r="D24" s="36">
        <f>IFERROR(SUMIF(SumVDPMVReport[PARTNER NAME],$A24,SumVDPMVReport[Total Rev]),0)</f>
        <v>3656.2250000000004</v>
      </c>
      <c r="E24" s="36"/>
      <c r="F24" s="36"/>
      <c r="G24" s="37" cm="1">
        <f t="array" ref="G24">SUM(_xlfn._xlws.FILTER(Deduction_and_other_Revenue[Other Income],((Deduction_and_other_Revenue[TYPE]=$A$5)*(Deduction_and_other_Revenue[PARTNER]=$A24)),0))</f>
        <v>0</v>
      </c>
      <c r="H24" s="36" cm="1">
        <f t="array" ref="H24">SUM(_xlfn._xlws.FILTER(Deduction_and_other_Revenue[Bonus],((Deduction_and_other_Revenue[TYPE]=$A$5)*(Deduction_and_other_Revenue[PARTNER]=$A24)),0))</f>
        <v>0</v>
      </c>
      <c r="I24" s="37" cm="1">
        <f t="array" ref="I24">SUM(_xlfn._xlws.FILTER(Deduction_and_other_Revenue[Reimbursement],((Deduction_and_other_Revenue[TYPE]=$A$5)*(Deduction_and_other_Revenue[PARTNER]=$A24)),0))</f>
        <v>0</v>
      </c>
      <c r="J24" s="36" cm="1">
        <f t="array" ref="J24">SUM(_xlfn._xlws.FILTER(Deduction_and_other_Revenue[Credentials],((Deduction_and_other_Revenue[TYPE]=$A$5)*(Deduction_and_other_Revenue[PARTNER]=$A24)),0))</f>
        <v>0</v>
      </c>
      <c r="K24" s="38" cm="1">
        <f t="array" ref="K24">SUM(_xlfn._xlws.FILTER(Deduction_and_other_Revenue[LIFT LEASE TOTAL],((Deduction_and_other_Revenue[TYPE]=$A$5)*(Deduction_and_other_Revenue[PARTNER]=$A24)),0))</f>
        <v>309</v>
      </c>
      <c r="L24" s="38" cm="1">
        <f t="array" ref="L24">SUM(_xlfn._xlws.FILTER(Deduction_and_other_Revenue[Tolls],((Deduction_and_other_Revenue[TYPE]=$A$5)*(Deduction_and_other_Revenue[PARTNER]=$A24)),0))</f>
        <v>0</v>
      </c>
      <c r="M24" s="38" cm="1">
        <f t="array" ref="M24">SUM(_xlfn._xlws.FILTER(Deduction_and_other_Revenue[Camera Tickets],((Deduction_and_other_Revenue[TYPE]=$A$5)*(Deduction_and_other_Revenue[PARTNER]=$A24)),0))</f>
        <v>0</v>
      </c>
      <c r="N24" s="38" cm="1">
        <f t="array" ref="N24">SUM(_xlfn._xlws.FILTER(Deduction_and_other_Revenue[Parking Tickets],((Deduction_and_other_Revenue[TYPE]=$A$5)*(Deduction_and_other_Revenue[PARTNER]=$A24)),0))</f>
        <v>0</v>
      </c>
      <c r="O24" s="36" cm="1">
        <f t="array" ref="O24">SUM(_xlfn._xlws.FILTER(Deduction_and_other_Revenue[Violation],((Deduction_and_other_Revenue[TYPE]=$A$5)*(Deduction_and_other_Revenue[PARTNER]=$A24)),0))</f>
        <v>0</v>
      </c>
      <c r="P24" s="36" cm="1">
        <f t="array" ref="P24">SUM(_xlfn._xlws.FILTER(Deduction_and_other_Revenue[Other Deductions],((Deduction_and_other_Revenue[TYPE]=$A$5)*(Deduction_and_other_Revenue[PARTNER]=$A24)),0))</f>
        <v>0</v>
      </c>
      <c r="Q24" s="39">
        <f t="shared" si="4"/>
        <v>3347.2250000000004</v>
      </c>
    </row>
    <row r="25" spans="1:17" ht="15" customHeight="1" x14ac:dyDescent="0.25">
      <c r="A25" s="41" t="str">
        <v>TIBSHA TRANSPORTATION</v>
      </c>
      <c r="B25" s="48">
        <v>12155</v>
      </c>
      <c r="C25" s="27" t="str">
        <v>tibsha215@gmail.com</v>
      </c>
      <c r="D25" s="36">
        <f>IFERROR(SUMIF(SumVDPMVReport[PARTNER NAME],$A25,SumVDPMVReport[Total Rev]),0)</f>
        <v>4079.3850000000002</v>
      </c>
      <c r="E25" s="36"/>
      <c r="F25" s="36"/>
      <c r="G25" s="37" cm="1">
        <f t="array" ref="G25">SUM(_xlfn._xlws.FILTER(Deduction_and_other_Revenue[Other Income],((Deduction_and_other_Revenue[TYPE]=$A$5)*(Deduction_and_other_Revenue[PARTNER]=$A25)),0))</f>
        <v>0</v>
      </c>
      <c r="H25" s="36" cm="1">
        <f t="array" ref="H25">SUM(_xlfn._xlws.FILTER(Deduction_and_other_Revenue[Bonus],((Deduction_and_other_Revenue[TYPE]=$A$5)*(Deduction_and_other_Revenue[PARTNER]=$A25)),0))</f>
        <v>0</v>
      </c>
      <c r="I25" s="37" cm="1">
        <f t="array" ref="I25">SUM(_xlfn._xlws.FILTER(Deduction_and_other_Revenue[Reimbursement],((Deduction_and_other_Revenue[TYPE]=$A$5)*(Deduction_and_other_Revenue[PARTNER]=$A25)),0))</f>
        <v>0</v>
      </c>
      <c r="J25" s="36" cm="1">
        <f t="array" ref="J25">SUM(_xlfn._xlws.FILTER(Deduction_and_other_Revenue[Credentials],((Deduction_and_other_Revenue[TYPE]=$A$5)*(Deduction_and_other_Revenue[PARTNER]=$A25)),0))</f>
        <v>0</v>
      </c>
      <c r="K25" s="38" cm="1">
        <f t="array" ref="K25">SUM(_xlfn._xlws.FILTER(Deduction_and_other_Revenue[LIFT LEASE TOTAL],((Deduction_and_other_Revenue[TYPE]=$A$5)*(Deduction_and_other_Revenue[PARTNER]=$A25)),0))</f>
        <v>309</v>
      </c>
      <c r="L25" s="38" cm="1">
        <f t="array" ref="L25">SUM(_xlfn._xlws.FILTER(Deduction_and_other_Revenue[Tolls],((Deduction_and_other_Revenue[TYPE]=$A$5)*(Deduction_and_other_Revenue[PARTNER]=$A25)),0))</f>
        <v>0</v>
      </c>
      <c r="M25" s="38" cm="1">
        <f t="array" ref="M25">SUM(_xlfn._xlws.FILTER(Deduction_and_other_Revenue[Camera Tickets],((Deduction_and_other_Revenue[TYPE]=$A$5)*(Deduction_and_other_Revenue[PARTNER]=$A25)),0))</f>
        <v>0</v>
      </c>
      <c r="N25" s="38" cm="1">
        <f t="array" ref="N25">SUM(_xlfn._xlws.FILTER(Deduction_and_other_Revenue[Parking Tickets],((Deduction_and_other_Revenue[TYPE]=$A$5)*(Deduction_and_other_Revenue[PARTNER]=$A25)),0))</f>
        <v>0</v>
      </c>
      <c r="O25" s="36" cm="1">
        <f t="array" ref="O25">SUM(_xlfn._xlws.FILTER(Deduction_and_other_Revenue[Violation],((Deduction_and_other_Revenue[TYPE]=$A$5)*(Deduction_and_other_Revenue[PARTNER]=$A25)),0))</f>
        <v>0</v>
      </c>
      <c r="P25" s="36" cm="1">
        <f t="array" ref="P25">SUM(_xlfn._xlws.FILTER(Deduction_and_other_Revenue[Other Deductions],((Deduction_and_other_Revenue[TYPE]=$A$5)*(Deduction_and_other_Revenue[PARTNER]=$A25)),0))</f>
        <v>0</v>
      </c>
      <c r="Q25" s="39">
        <f t="shared" si="4"/>
        <v>3770.3850000000002</v>
      </c>
    </row>
    <row r="26" spans="1:17" ht="15" customHeight="1" x14ac:dyDescent="0.25">
      <c r="A26" s="41" t="str">
        <v>WHITE NILE TRANSIT</v>
      </c>
      <c r="B26" s="48">
        <v>12157</v>
      </c>
      <c r="C26" s="27" t="str">
        <v>musab1988@hotmail.com</v>
      </c>
      <c r="D26" s="36">
        <f>IFERROR(SUMIF(SumVDPMVReport[PARTNER NAME],$A26,SumVDPMVReport[Total Rev]),0)</f>
        <v>2989.5374999999999</v>
      </c>
      <c r="E26" s="36"/>
      <c r="F26" s="36"/>
      <c r="G26" s="37" cm="1">
        <f t="array" ref="G26">SUM(_xlfn._xlws.FILTER(Deduction_and_other_Revenue[Other Income],((Deduction_and_other_Revenue[TYPE]=$A$5)*(Deduction_and_other_Revenue[PARTNER]=$A26)),0))</f>
        <v>0</v>
      </c>
      <c r="H26" s="36" cm="1">
        <f t="array" ref="H26">SUM(_xlfn._xlws.FILTER(Deduction_and_other_Revenue[Bonus],((Deduction_and_other_Revenue[TYPE]=$A$5)*(Deduction_and_other_Revenue[PARTNER]=$A26)),0))</f>
        <v>0</v>
      </c>
      <c r="I26" s="37" cm="1">
        <f t="array" ref="I26">SUM(_xlfn._xlws.FILTER(Deduction_and_other_Revenue[Reimbursement],((Deduction_and_other_Revenue[TYPE]=$A$5)*(Deduction_and_other_Revenue[PARTNER]=$A26)),0))</f>
        <v>0</v>
      </c>
      <c r="J26" s="36" cm="1">
        <f t="array" ref="J26">SUM(_xlfn._xlws.FILTER(Deduction_and_other_Revenue[Credentials],((Deduction_and_other_Revenue[TYPE]=$A$5)*(Deduction_and_other_Revenue[PARTNER]=$A26)),0))</f>
        <v>0</v>
      </c>
      <c r="K26" s="38" cm="1">
        <f t="array" ref="K26">SUM(_xlfn._xlws.FILTER(Deduction_and_other_Revenue[LIFT LEASE TOTAL],((Deduction_and_other_Revenue[TYPE]=$A$5)*(Deduction_and_other_Revenue[PARTNER]=$A26)),0))</f>
        <v>309</v>
      </c>
      <c r="L26" s="38" cm="1">
        <f t="array" ref="L26">SUM(_xlfn._xlws.FILTER(Deduction_and_other_Revenue[Tolls],((Deduction_and_other_Revenue[TYPE]=$A$5)*(Deduction_and_other_Revenue[PARTNER]=$A26)),0))</f>
        <v>0</v>
      </c>
      <c r="M26" s="38" cm="1">
        <f t="array" ref="M26">SUM(_xlfn._xlws.FILTER(Deduction_and_other_Revenue[Camera Tickets],((Deduction_and_other_Revenue[TYPE]=$A$5)*(Deduction_and_other_Revenue[PARTNER]=$A26)),0))</f>
        <v>0</v>
      </c>
      <c r="N26" s="38" cm="1">
        <f t="array" ref="N26">SUM(_xlfn._xlws.FILTER(Deduction_and_other_Revenue[Parking Tickets],((Deduction_and_other_Revenue[TYPE]=$A$5)*(Deduction_and_other_Revenue[PARTNER]=$A26)),0))</f>
        <v>0</v>
      </c>
      <c r="O26" s="36" cm="1">
        <f t="array" ref="O26">SUM(_xlfn._xlws.FILTER(Deduction_and_other_Revenue[Violation],((Deduction_and_other_Revenue[TYPE]=$A$5)*(Deduction_and_other_Revenue[PARTNER]=$A26)),0))</f>
        <v>0</v>
      </c>
      <c r="P26" s="36" cm="1">
        <f t="array" ref="P26">SUM(_xlfn._xlws.FILTER(Deduction_and_other_Revenue[Other Deductions],((Deduction_and_other_Revenue[TYPE]=$A$5)*(Deduction_and_other_Revenue[PARTNER]=$A26)),0))</f>
        <v>0</v>
      </c>
      <c r="Q26" s="39">
        <f t="shared" si="4"/>
        <v>2680.5374999999999</v>
      </c>
    </row>
    <row r="27" spans="1:17" ht="15" customHeight="1" x14ac:dyDescent="0.25">
      <c r="A27" s="41" t="str">
        <v>JARA TRANS LLC</v>
      </c>
      <c r="B27" s="48">
        <v>12166</v>
      </c>
      <c r="C27" s="27" t="str">
        <v>jaratrans12@gmail.com</v>
      </c>
      <c r="D27" s="36">
        <f>IFERROR(SUMIF(SumVDPMVReport[PARTNER NAME],$A27,SumVDPMVReport[Total Rev]),0)</f>
        <v>3177.6812</v>
      </c>
      <c r="E27" s="36"/>
      <c r="F27" s="36"/>
      <c r="G27" s="37" cm="1">
        <f t="array" ref="G27">SUM(_xlfn._xlws.FILTER(Deduction_and_other_Revenue[Other Income],((Deduction_and_other_Revenue[TYPE]=$A$5)*(Deduction_and_other_Revenue[PARTNER]=$A27)),0))</f>
        <v>0</v>
      </c>
      <c r="H27" s="36" cm="1">
        <f t="array" ref="H27">SUM(_xlfn._xlws.FILTER(Deduction_and_other_Revenue[Bonus],((Deduction_and_other_Revenue[TYPE]=$A$5)*(Deduction_and_other_Revenue[PARTNER]=$A27)),0))</f>
        <v>0</v>
      </c>
      <c r="I27" s="37" cm="1">
        <f t="array" ref="I27">SUM(_xlfn._xlws.FILTER(Deduction_and_other_Revenue[Reimbursement],((Deduction_and_other_Revenue[TYPE]=$A$5)*(Deduction_and_other_Revenue[PARTNER]=$A27)),0))</f>
        <v>0</v>
      </c>
      <c r="J27" s="36" cm="1">
        <f t="array" ref="J27">SUM(_xlfn._xlws.FILTER(Deduction_and_other_Revenue[Credentials],((Deduction_and_other_Revenue[TYPE]=$A$5)*(Deduction_and_other_Revenue[PARTNER]=$A27)),0))</f>
        <v>0</v>
      </c>
      <c r="K27" s="38" cm="1">
        <f t="array" ref="K27">SUM(_xlfn._xlws.FILTER(Deduction_and_other_Revenue[LIFT LEASE TOTAL],((Deduction_and_other_Revenue[TYPE]=$A$5)*(Deduction_and_other_Revenue[PARTNER]=$A27)),0))</f>
        <v>309</v>
      </c>
      <c r="L27" s="38" cm="1">
        <f t="array" ref="L27">SUM(_xlfn._xlws.FILTER(Deduction_and_other_Revenue[Tolls],((Deduction_and_other_Revenue[TYPE]=$A$5)*(Deduction_and_other_Revenue[PARTNER]=$A27)),0))</f>
        <v>0</v>
      </c>
      <c r="M27" s="38" cm="1">
        <f t="array" ref="M27">SUM(_xlfn._xlws.FILTER(Deduction_and_other_Revenue[Camera Tickets],((Deduction_and_other_Revenue[TYPE]=$A$5)*(Deduction_and_other_Revenue[PARTNER]=$A27)),0))</f>
        <v>0</v>
      </c>
      <c r="N27" s="38" cm="1">
        <f t="array" ref="N27">SUM(_xlfn._xlws.FILTER(Deduction_and_other_Revenue[Parking Tickets],((Deduction_and_other_Revenue[TYPE]=$A$5)*(Deduction_and_other_Revenue[PARTNER]=$A27)),0))</f>
        <v>0</v>
      </c>
      <c r="O27" s="36" cm="1">
        <f t="array" ref="O27">SUM(_xlfn._xlws.FILTER(Deduction_and_other_Revenue[Violation],((Deduction_and_other_Revenue[TYPE]=$A$5)*(Deduction_and_other_Revenue[PARTNER]=$A27)),0))</f>
        <v>0</v>
      </c>
      <c r="P27" s="36" cm="1">
        <f t="array" ref="P27">SUM(_xlfn._xlws.FILTER(Deduction_and_other_Revenue[Other Deductions],((Deduction_and_other_Revenue[TYPE]=$A$5)*(Deduction_and_other_Revenue[PARTNER]=$A27)),0))</f>
        <v>0</v>
      </c>
      <c r="Q27" s="39">
        <f t="shared" si="4"/>
        <v>2868.6812</v>
      </c>
    </row>
    <row r="28" spans="1:17" ht="15" customHeight="1" x14ac:dyDescent="0.25">
      <c r="A28" s="41" t="str">
        <v>HAMID SALEH</v>
      </c>
      <c r="B28" s="48">
        <v>12200</v>
      </c>
      <c r="C28" s="27" t="str">
        <v>Chadwireless2019@gmail.com</v>
      </c>
      <c r="D28" s="36">
        <f>IFERROR(SUMIF(SumVDPMVReport[PARTNER NAME],$A28,SumVDPMVReport[Total Rev]),0)</f>
        <v>0</v>
      </c>
      <c r="E28" s="36"/>
      <c r="F28" s="36"/>
      <c r="G28" s="37" cm="1">
        <f t="array" ref="G28">SUM(_xlfn._xlws.FILTER(Deduction_and_other_Revenue[Other Income],((Deduction_and_other_Revenue[TYPE]=$A$5)*(Deduction_and_other_Revenue[PARTNER]=$A28)),0))</f>
        <v>0</v>
      </c>
      <c r="H28" s="36" cm="1">
        <f t="array" ref="H28">SUM(_xlfn._xlws.FILTER(Deduction_and_other_Revenue[Bonus],((Deduction_and_other_Revenue[TYPE]=$A$5)*(Deduction_and_other_Revenue[PARTNER]=$A28)),0))</f>
        <v>0</v>
      </c>
      <c r="I28" s="37" cm="1">
        <f t="array" ref="I28">SUM(_xlfn._xlws.FILTER(Deduction_and_other_Revenue[Reimbursement],((Deduction_and_other_Revenue[TYPE]=$A$5)*(Deduction_and_other_Revenue[PARTNER]=$A28)),0))</f>
        <v>0</v>
      </c>
      <c r="J28" s="36" cm="1">
        <f t="array" ref="J28">SUM(_xlfn._xlws.FILTER(Deduction_and_other_Revenue[Credentials],((Deduction_and_other_Revenue[TYPE]=$A$5)*(Deduction_and_other_Revenue[PARTNER]=$A28)),0))</f>
        <v>0</v>
      </c>
      <c r="K28" s="38" cm="1">
        <f t="array" ref="K28">SUM(_xlfn._xlws.FILTER(Deduction_and_other_Revenue[LIFT LEASE TOTAL],((Deduction_and_other_Revenue[TYPE]=$A$5)*(Deduction_and_other_Revenue[PARTNER]=$A28)),0))</f>
        <v>0</v>
      </c>
      <c r="L28" s="38" cm="1">
        <f t="array" ref="L28">SUM(_xlfn._xlws.FILTER(Deduction_and_other_Revenue[Tolls],((Deduction_and_other_Revenue[TYPE]=$A$5)*(Deduction_and_other_Revenue[PARTNER]=$A28)),0))</f>
        <v>0</v>
      </c>
      <c r="M28" s="38" cm="1">
        <f t="array" ref="M28">SUM(_xlfn._xlws.FILTER(Deduction_and_other_Revenue[Camera Tickets],((Deduction_and_other_Revenue[TYPE]=$A$5)*(Deduction_and_other_Revenue[PARTNER]=$A28)),0))</f>
        <v>0</v>
      </c>
      <c r="N28" s="38" cm="1">
        <f t="array" ref="N28">SUM(_xlfn._xlws.FILTER(Deduction_and_other_Revenue[Parking Tickets],((Deduction_and_other_Revenue[TYPE]=$A$5)*(Deduction_and_other_Revenue[PARTNER]=$A28)),0))</f>
        <v>0</v>
      </c>
      <c r="O28" s="36" cm="1">
        <f t="array" ref="O28">SUM(_xlfn._xlws.FILTER(Deduction_and_other_Revenue[Violation],((Deduction_and_other_Revenue[TYPE]=$A$5)*(Deduction_and_other_Revenue[PARTNER]=$A28)),0))</f>
        <v>0</v>
      </c>
      <c r="P28" s="36" cm="1">
        <f t="array" ref="P28">SUM(_xlfn._xlws.FILTER(Deduction_and_other_Revenue[Other Deductions],((Deduction_and_other_Revenue[TYPE]=$A$5)*(Deduction_and_other_Revenue[PARTNER]=$A28)),0))</f>
        <v>0</v>
      </c>
      <c r="Q28" s="39">
        <f t="shared" si="4"/>
        <v>0</v>
      </c>
    </row>
    <row r="29" spans="1:17" ht="15" customHeight="1" x14ac:dyDescent="0.25">
      <c r="D29" s="36">
        <f>IFERROR(SUMIF(SumVDPMVReport[PARTNER NAME],$A29,SumVDPMVReport[Total Rev]),0)</f>
        <v>0</v>
      </c>
      <c r="E29" s="36"/>
      <c r="F29" s="36"/>
      <c r="G29" s="37" cm="1">
        <f t="array" ref="G29">SUM(_xlfn._xlws.FILTER(Deduction_and_other_Revenue[Other Income],((Deduction_and_other_Revenue[TYPE]=$A$5)*(Deduction_and_other_Revenue[PARTNER]=$A29)),0))</f>
        <v>0</v>
      </c>
      <c r="H29" s="36" cm="1">
        <f t="array" ref="H29">SUM(_xlfn._xlws.FILTER(Deduction_and_other_Revenue[Bonus],((Deduction_and_other_Revenue[TYPE]=$A$5)*(Deduction_and_other_Revenue[PARTNER]=$A29)),0))</f>
        <v>0</v>
      </c>
      <c r="I29" s="37" cm="1">
        <f t="array" ref="I29">SUM(_xlfn._xlws.FILTER(Deduction_and_other_Revenue[Reimbursement],((Deduction_and_other_Revenue[TYPE]=$A$5)*(Deduction_and_other_Revenue[PARTNER]=$A29)),0))</f>
        <v>0</v>
      </c>
      <c r="J29" s="36" cm="1">
        <f t="array" ref="J29">SUM(_xlfn._xlws.FILTER(Deduction_and_other_Revenue[Credentials],((Deduction_and_other_Revenue[TYPE]=$A$5)*(Deduction_and_other_Revenue[PARTNER]=$A29)),0))</f>
        <v>0</v>
      </c>
      <c r="K29" s="38" cm="1">
        <f t="array" ref="K29">SUM(_xlfn._xlws.FILTER(Deduction_and_other_Revenue[LIFT LEASE TOTAL],((Deduction_and_other_Revenue[TYPE]=$A$5)*(Deduction_and_other_Revenue[PARTNER]=$A29)),0))</f>
        <v>0</v>
      </c>
      <c r="L29" s="38" cm="1">
        <f t="array" ref="L29">SUM(_xlfn._xlws.FILTER(Deduction_and_other_Revenue[Tolls],((Deduction_and_other_Revenue[TYPE]=$A$5)*(Deduction_and_other_Revenue[PARTNER]=$A29)),0))</f>
        <v>0</v>
      </c>
      <c r="M29" s="38" cm="1">
        <f t="array" ref="M29">SUM(_xlfn._xlws.FILTER(Deduction_and_other_Revenue[Camera Tickets],((Deduction_and_other_Revenue[TYPE]=$A$5)*(Deduction_and_other_Revenue[PARTNER]=$A29)),0))</f>
        <v>0</v>
      </c>
      <c r="N29" s="38" cm="1">
        <f t="array" ref="N29">SUM(_xlfn._xlws.FILTER(Deduction_and_other_Revenue[Parking Tickets],((Deduction_and_other_Revenue[TYPE]=$A$5)*(Deduction_and_other_Revenue[PARTNER]=$A29)),0))</f>
        <v>0</v>
      </c>
      <c r="O29" s="36" cm="1">
        <f t="array" ref="O29">SUM(_xlfn._xlws.FILTER(Deduction_and_other_Revenue[Violation],((Deduction_and_other_Revenue[TYPE]=$A$5)*(Deduction_and_other_Revenue[PARTNER]=$A29)),0))</f>
        <v>0</v>
      </c>
      <c r="P29" s="36" cm="1">
        <f t="array" ref="P29">SUM(_xlfn._xlws.FILTER(Deduction_and_other_Revenue[Other Deductions],((Deduction_and_other_Revenue[TYPE]=$A$5)*(Deduction_and_other_Revenue[PARTNER]=$A29)),0))</f>
        <v>0</v>
      </c>
      <c r="Q29" s="39">
        <f t="shared" si="4"/>
        <v>0</v>
      </c>
    </row>
    <row r="30" spans="1:17" ht="15" customHeight="1" x14ac:dyDescent="0.25">
      <c r="D30" s="36">
        <f>IFERROR(SUMIF(SumVDPMVReport[PARTNER NAME],$A30,SumVDPMVReport[Total Rev]),0)</f>
        <v>0</v>
      </c>
      <c r="E30" s="36"/>
      <c r="F30" s="36"/>
      <c r="G30" s="37" cm="1">
        <f t="array" ref="G30">SUM(_xlfn._xlws.FILTER(Deduction_and_other_Revenue[Other Income],((Deduction_and_other_Revenue[TYPE]=$A$5)*(Deduction_and_other_Revenue[PARTNER]=$A30)),0))</f>
        <v>0</v>
      </c>
      <c r="H30" s="36" cm="1">
        <f t="array" ref="H30">SUM(_xlfn._xlws.FILTER(Deduction_and_other_Revenue[Bonus],((Deduction_and_other_Revenue[TYPE]=$A$5)*(Deduction_and_other_Revenue[PARTNER]=$A30)),0))</f>
        <v>0</v>
      </c>
      <c r="I30" s="37" cm="1">
        <f t="array" ref="I30">SUM(_xlfn._xlws.FILTER(Deduction_and_other_Revenue[Reimbursement],((Deduction_and_other_Revenue[TYPE]=$A$5)*(Deduction_and_other_Revenue[PARTNER]=$A30)),0))</f>
        <v>0</v>
      </c>
      <c r="J30" s="36" cm="1">
        <f t="array" ref="J30">SUM(_xlfn._xlws.FILTER(Deduction_and_other_Revenue[Credentials],((Deduction_and_other_Revenue[TYPE]=$A$5)*(Deduction_and_other_Revenue[PARTNER]=$A30)),0))</f>
        <v>0</v>
      </c>
      <c r="K30" s="38" cm="1">
        <f t="array" ref="K30">SUM(_xlfn._xlws.FILTER(Deduction_and_other_Revenue[LIFT LEASE TOTAL],((Deduction_and_other_Revenue[TYPE]=$A$5)*(Deduction_and_other_Revenue[PARTNER]=$A30)),0))</f>
        <v>0</v>
      </c>
      <c r="L30" s="38" cm="1">
        <f t="array" ref="L30">SUM(_xlfn._xlws.FILTER(Deduction_and_other_Revenue[Tolls],((Deduction_and_other_Revenue[TYPE]=$A$5)*(Deduction_and_other_Revenue[PARTNER]=$A30)),0))</f>
        <v>0</v>
      </c>
      <c r="M30" s="38" cm="1">
        <f t="array" ref="M30">SUM(_xlfn._xlws.FILTER(Deduction_and_other_Revenue[Camera Tickets],((Deduction_and_other_Revenue[TYPE]=$A$5)*(Deduction_and_other_Revenue[PARTNER]=$A30)),0))</f>
        <v>0</v>
      </c>
      <c r="N30" s="38" cm="1">
        <f t="array" ref="N30">SUM(_xlfn._xlws.FILTER(Deduction_and_other_Revenue[Parking Tickets],((Deduction_and_other_Revenue[TYPE]=$A$5)*(Deduction_and_other_Revenue[PARTNER]=$A30)),0))</f>
        <v>0</v>
      </c>
      <c r="O30" s="36" cm="1">
        <f t="array" ref="O30">SUM(_xlfn._xlws.FILTER(Deduction_and_other_Revenue[Violation],((Deduction_and_other_Revenue[TYPE]=$A$5)*(Deduction_and_other_Revenue[PARTNER]=$A30)),0))</f>
        <v>0</v>
      </c>
      <c r="P30" s="36" cm="1">
        <f t="array" ref="P30">SUM(_xlfn._xlws.FILTER(Deduction_and_other_Revenue[Other Deductions],((Deduction_and_other_Revenue[TYPE]=$A$5)*(Deduction_and_other_Revenue[PARTNER]=$A30)),0))</f>
        <v>0</v>
      </c>
      <c r="Q30" s="39">
        <f t="shared" si="4"/>
        <v>0</v>
      </c>
    </row>
    <row r="31" spans="1:17" x14ac:dyDescent="0.25">
      <c r="D31" s="36">
        <f>IFERROR(SUMIF(SumVDPMVReport[PARTNER NAME],$A31,SumVDPMVReport[Total Rev]),0)</f>
        <v>0</v>
      </c>
      <c r="E31" s="36"/>
      <c r="F31" s="36"/>
      <c r="G31" s="37" cm="1">
        <f t="array" ref="G31">SUM(_xlfn._xlws.FILTER(Deduction_and_other_Revenue[Other Income],((Deduction_and_other_Revenue[TYPE]=$A$5)*(Deduction_and_other_Revenue[PARTNER]=$A31)),0))</f>
        <v>0</v>
      </c>
      <c r="H31" s="36" cm="1">
        <f t="array" ref="H31">SUM(_xlfn._xlws.FILTER(Deduction_and_other_Revenue[Bonus],((Deduction_and_other_Revenue[TYPE]=$A$5)*(Deduction_and_other_Revenue[PARTNER]=$A31)),0))</f>
        <v>0</v>
      </c>
      <c r="I31" s="37" cm="1">
        <f t="array" ref="I31">SUM(_xlfn._xlws.FILTER(Deduction_and_other_Revenue[Reimbursement],((Deduction_and_other_Revenue[TYPE]=$A$5)*(Deduction_and_other_Revenue[PARTNER]=$A31)),0))</f>
        <v>0</v>
      </c>
      <c r="J31" s="36" cm="1">
        <f t="array" ref="J31">SUM(_xlfn._xlws.FILTER(Deduction_and_other_Revenue[Credentials],((Deduction_and_other_Revenue[TYPE]=$A$5)*(Deduction_and_other_Revenue[PARTNER]=$A31)),0))</f>
        <v>0</v>
      </c>
      <c r="K31" s="38" cm="1">
        <f t="array" ref="K31">SUM(_xlfn._xlws.FILTER(Deduction_and_other_Revenue[LIFT LEASE TOTAL],((Deduction_and_other_Revenue[TYPE]=$A$5)*(Deduction_and_other_Revenue[PARTNER]=$A31)),0))</f>
        <v>0</v>
      </c>
      <c r="L31" s="38" cm="1">
        <f t="array" ref="L31">SUM(_xlfn._xlws.FILTER(Deduction_and_other_Revenue[Tolls],((Deduction_and_other_Revenue[TYPE]=$A$5)*(Deduction_and_other_Revenue[PARTNER]=$A31)),0))</f>
        <v>0</v>
      </c>
      <c r="M31" s="38" cm="1">
        <f t="array" ref="M31">SUM(_xlfn._xlws.FILTER(Deduction_and_other_Revenue[Camera Tickets],((Deduction_and_other_Revenue[TYPE]=$A$5)*(Deduction_and_other_Revenue[PARTNER]=$A31)),0))</f>
        <v>0</v>
      </c>
      <c r="N31" s="38" cm="1">
        <f t="array" ref="N31">SUM(_xlfn._xlws.FILTER(Deduction_and_other_Revenue[Parking Tickets],((Deduction_and_other_Revenue[TYPE]=$A$5)*(Deduction_and_other_Revenue[PARTNER]=$A31)),0))</f>
        <v>0</v>
      </c>
      <c r="O31" s="36" cm="1">
        <f t="array" ref="O31">SUM(_xlfn._xlws.FILTER(Deduction_and_other_Revenue[Violation],((Deduction_and_other_Revenue[TYPE]=$A$5)*(Deduction_and_other_Revenue[PARTNER]=$A31)),0))</f>
        <v>0</v>
      </c>
      <c r="P31" s="36" cm="1">
        <f t="array" ref="P31">SUM(_xlfn._xlws.FILTER(Deduction_and_other_Revenue[Other Deductions],((Deduction_and_other_Revenue[TYPE]=$A$5)*(Deduction_and_other_Revenue[PARTNER]=$A31)),0))</f>
        <v>0</v>
      </c>
      <c r="Q31" s="39">
        <f t="shared" si="4"/>
        <v>0</v>
      </c>
    </row>
    <row r="32" spans="1:17" ht="15" customHeight="1" x14ac:dyDescent="0.25">
      <c r="D32" s="36">
        <f>IFERROR(SUMIF(SumVDPMVReport[PARTNER NAME],$A32,SumVDPMVReport[Total Rev]),0)</f>
        <v>0</v>
      </c>
      <c r="E32" s="36"/>
      <c r="F32" s="36"/>
      <c r="G32" s="37" cm="1">
        <f t="array" ref="G32">SUM(_xlfn._xlws.FILTER(Deduction_and_other_Revenue[Other Income],((Deduction_and_other_Revenue[TYPE]=$A$5)*(Deduction_and_other_Revenue[PARTNER]=$A32)),0))</f>
        <v>0</v>
      </c>
      <c r="H32" s="36" cm="1">
        <f t="array" ref="H32">SUM(_xlfn._xlws.FILTER(Deduction_and_other_Revenue[Bonus],((Deduction_and_other_Revenue[TYPE]=$A$5)*(Deduction_and_other_Revenue[PARTNER]=$A32)),0))</f>
        <v>0</v>
      </c>
      <c r="I32" s="37" cm="1">
        <f t="array" ref="I32">SUM(_xlfn._xlws.FILTER(Deduction_and_other_Revenue[Reimbursement],((Deduction_and_other_Revenue[TYPE]=$A$5)*(Deduction_and_other_Revenue[PARTNER]=$A32)),0))</f>
        <v>0</v>
      </c>
      <c r="J32" s="36" cm="1">
        <f t="array" ref="J32">SUM(_xlfn._xlws.FILTER(Deduction_and_other_Revenue[Credentials],((Deduction_and_other_Revenue[TYPE]=$A$5)*(Deduction_and_other_Revenue[PARTNER]=$A32)),0))</f>
        <v>0</v>
      </c>
      <c r="K32" s="38" cm="1">
        <f t="array" ref="K32">SUM(_xlfn._xlws.FILTER(Deduction_and_other_Revenue[LIFT LEASE TOTAL],((Deduction_and_other_Revenue[TYPE]=$A$5)*(Deduction_and_other_Revenue[PARTNER]=$A32)),0))</f>
        <v>0</v>
      </c>
      <c r="L32" s="38" cm="1">
        <f t="array" ref="L32">SUM(_xlfn._xlws.FILTER(Deduction_and_other_Revenue[Tolls],((Deduction_and_other_Revenue[TYPE]=$A$5)*(Deduction_and_other_Revenue[PARTNER]=$A32)),0))</f>
        <v>0</v>
      </c>
      <c r="M32" s="38" cm="1">
        <f t="array" ref="M32">SUM(_xlfn._xlws.FILTER(Deduction_and_other_Revenue[Camera Tickets],((Deduction_and_other_Revenue[TYPE]=$A$5)*(Deduction_and_other_Revenue[PARTNER]=$A32)),0))</f>
        <v>0</v>
      </c>
      <c r="N32" s="38" cm="1">
        <f t="array" ref="N32">SUM(_xlfn._xlws.FILTER(Deduction_and_other_Revenue[Parking Tickets],((Deduction_and_other_Revenue[TYPE]=$A$5)*(Deduction_and_other_Revenue[PARTNER]=$A32)),0))</f>
        <v>0</v>
      </c>
      <c r="O32" s="36" cm="1">
        <f t="array" ref="O32">SUM(_xlfn._xlws.FILTER(Deduction_and_other_Revenue[Violation],((Deduction_and_other_Revenue[TYPE]=$A$5)*(Deduction_and_other_Revenue[PARTNER]=$A32)),0))</f>
        <v>0</v>
      </c>
      <c r="P32" s="36" cm="1">
        <f t="array" ref="P32">SUM(_xlfn._xlws.FILTER(Deduction_and_other_Revenue[Other Deductions],((Deduction_and_other_Revenue[TYPE]=$A$5)*(Deduction_and_other_Revenue[PARTNER]=$A32)),0))</f>
        <v>0</v>
      </c>
      <c r="Q32" s="39">
        <f t="shared" si="4"/>
        <v>0</v>
      </c>
    </row>
    <row r="33" spans="4:17" ht="15" customHeight="1" x14ac:dyDescent="0.25">
      <c r="D33" s="36"/>
      <c r="E33" s="36"/>
      <c r="F33" s="36"/>
      <c r="G33" s="37"/>
      <c r="H33" s="36"/>
      <c r="I33" s="37"/>
      <c r="J33" s="36"/>
      <c r="K33" s="38"/>
      <c r="L33" s="38"/>
      <c r="M33" s="38"/>
      <c r="N33" s="38"/>
      <c r="O33" s="36"/>
      <c r="P33" s="36"/>
      <c r="Q33" s="39"/>
    </row>
    <row r="34" spans="4:17" ht="15" customHeight="1" x14ac:dyDescent="0.25">
      <c r="D34" s="36"/>
      <c r="E34" s="36"/>
      <c r="F34" s="36"/>
      <c r="G34" s="37"/>
      <c r="H34" s="36"/>
      <c r="I34" s="37"/>
      <c r="J34" s="36"/>
      <c r="K34" s="38"/>
      <c r="L34" s="38"/>
      <c r="M34" s="38"/>
      <c r="N34" s="38"/>
      <c r="O34" s="36"/>
      <c r="P34" s="36"/>
      <c r="Q34" s="39"/>
    </row>
    <row r="35" spans="4:17" ht="15" customHeight="1" x14ac:dyDescent="0.25">
      <c r="D35" s="36"/>
      <c r="E35" s="36"/>
      <c r="F35" s="36"/>
      <c r="G35" s="37"/>
      <c r="H35" s="36"/>
      <c r="I35" s="37"/>
      <c r="J35" s="36"/>
      <c r="K35" s="38"/>
      <c r="L35" s="38"/>
      <c r="M35" s="38"/>
      <c r="N35" s="38"/>
      <c r="O35" s="36"/>
      <c r="P35" s="36"/>
      <c r="Q35" s="39"/>
    </row>
    <row r="36" spans="4:17" ht="15" customHeight="1" x14ac:dyDescent="0.25">
      <c r="D36" s="42">
        <f t="shared" ref="D36:Q36" si="5">SUM(D6:D31)</f>
        <v>212135.04000000004</v>
      </c>
      <c r="E36" s="42">
        <f t="shared" si="5"/>
        <v>0</v>
      </c>
      <c r="F36" s="42">
        <f t="shared" si="5"/>
        <v>0</v>
      </c>
      <c r="G36" s="42">
        <f t="shared" si="5"/>
        <v>309</v>
      </c>
      <c r="H36" s="42">
        <f t="shared" si="5"/>
        <v>0</v>
      </c>
      <c r="I36" s="42">
        <f t="shared" si="5"/>
        <v>0</v>
      </c>
      <c r="J36" s="42">
        <f t="shared" si="5"/>
        <v>0</v>
      </c>
      <c r="K36" s="42">
        <f t="shared" si="5"/>
        <v>25029</v>
      </c>
      <c r="L36" s="42">
        <f t="shared" si="5"/>
        <v>0</v>
      </c>
      <c r="M36" s="42">
        <f t="shared" si="5"/>
        <v>0</v>
      </c>
      <c r="N36" s="42">
        <f t="shared" si="5"/>
        <v>0</v>
      </c>
      <c r="O36" s="42">
        <f t="shared" si="5"/>
        <v>4250</v>
      </c>
      <c r="P36" s="42">
        <f t="shared" si="5"/>
        <v>0</v>
      </c>
      <c r="Q36" s="42">
        <f t="shared" si="5"/>
        <v>183165.04000000004</v>
      </c>
    </row>
    <row r="38" spans="4:17" ht="15" customHeight="1" x14ac:dyDescent="0.25">
      <c r="K38" s="79"/>
    </row>
    <row r="39" spans="4:17" ht="15" customHeight="1" x14ac:dyDescent="0.25">
      <c r="D39" s="43">
        <f>D36</f>
        <v>212135.04000000004</v>
      </c>
      <c r="E39" s="43">
        <f t="shared" ref="E39:Q39" si="6">E36</f>
        <v>0</v>
      </c>
      <c r="F39" s="43">
        <f t="shared" si="6"/>
        <v>0</v>
      </c>
      <c r="G39" s="43">
        <f t="shared" si="6"/>
        <v>309</v>
      </c>
      <c r="H39" s="43">
        <f t="shared" si="6"/>
        <v>0</v>
      </c>
      <c r="I39" s="43">
        <f t="shared" si="6"/>
        <v>0</v>
      </c>
      <c r="J39" s="43">
        <f t="shared" si="6"/>
        <v>0</v>
      </c>
      <c r="K39" s="43">
        <f t="shared" si="6"/>
        <v>25029</v>
      </c>
      <c r="L39" s="43">
        <f t="shared" si="6"/>
        <v>0</v>
      </c>
      <c r="M39" s="43">
        <f t="shared" si="6"/>
        <v>0</v>
      </c>
      <c r="N39" s="43">
        <f t="shared" si="6"/>
        <v>0</v>
      </c>
      <c r="O39" s="43">
        <f t="shared" si="6"/>
        <v>4250</v>
      </c>
      <c r="P39" s="43">
        <f t="shared" si="6"/>
        <v>0</v>
      </c>
      <c r="Q39" s="43">
        <f t="shared" si="6"/>
        <v>183165.04000000004</v>
      </c>
    </row>
    <row r="41" spans="4:17" ht="15" customHeight="1" x14ac:dyDescent="0.25"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</row>
    <row r="43" spans="4:17" ht="15" customHeight="1" x14ac:dyDescent="0.25">
      <c r="J43"/>
    </row>
    <row r="44" spans="4:17" ht="15" customHeight="1" x14ac:dyDescent="0.25">
      <c r="L44" s="84"/>
    </row>
  </sheetData>
  <autoFilter ref="A4:Q32" xr:uid="{0E60FAF9-8A72-4C1D-A7AE-518845C793AC}"/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24"/>
  <sheetViews>
    <sheetView workbookViewId="0">
      <selection activeCell="I24" sqref="I24"/>
    </sheetView>
  </sheetViews>
  <sheetFormatPr defaultRowHeight="15" x14ac:dyDescent="0.25"/>
  <cols>
    <col min="1" max="1" width="15.5703125" customWidth="1"/>
    <col min="3" max="3" width="5.7109375" bestFit="1" customWidth="1"/>
    <col min="4" max="4" width="10" bestFit="1" customWidth="1"/>
    <col min="5" max="5" width="14.140625" bestFit="1" customWidth="1"/>
    <col min="6" max="6" width="11.28515625" bestFit="1" customWidth="1"/>
    <col min="7" max="7" width="13.85546875" bestFit="1" customWidth="1"/>
    <col min="8" max="8" width="12.140625" bestFit="1" customWidth="1"/>
    <col min="9" max="9" width="10.7109375" bestFit="1" customWidth="1"/>
    <col min="10" max="10" width="9.140625" bestFit="1" customWidth="1"/>
    <col min="11" max="11" width="13.85546875" bestFit="1" customWidth="1"/>
    <col min="12" max="12" width="8.42578125" customWidth="1"/>
    <col min="13" max="13" width="11.7109375" bestFit="1" customWidth="1"/>
    <col min="14" max="14" width="8.7109375" bestFit="1" customWidth="1"/>
    <col min="15" max="15" width="8.28515625" bestFit="1" customWidth="1"/>
    <col min="16" max="16" width="15.28515625" bestFit="1" customWidth="1"/>
    <col min="17" max="17" width="13.140625" bestFit="1" customWidth="1"/>
    <col min="18" max="18" width="17.7109375" bestFit="1" customWidth="1"/>
    <col min="19" max="19" width="18.5703125" customWidth="1"/>
  </cols>
  <sheetData>
    <row r="1" spans="1:18" x14ac:dyDescent="0.25">
      <c r="A1" t="str">
        <f>"$D$2:$R$"&amp;COUNTA(_xlfn.ANCHORARRAY(C2))+1</f>
        <v>$D$2:$R$24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65</v>
      </c>
      <c r="L1" t="s">
        <v>63</v>
      </c>
      <c r="M1" t="s">
        <v>105</v>
      </c>
      <c r="N1" t="s">
        <v>106</v>
      </c>
      <c r="O1" t="s">
        <v>50</v>
      </c>
      <c r="P1" t="s">
        <v>66</v>
      </c>
      <c r="Q1" t="s">
        <v>107</v>
      </c>
      <c r="R1" t="s">
        <v>108</v>
      </c>
    </row>
    <row r="2" spans="1:18" x14ac:dyDescent="0.25">
      <c r="C2" cm="1">
        <f t="array" ref="C2:C24">_xlfn.VSTACK(ROW(INDEX(_xlfn.ANCHORARRAY(PR!A6),,1)))</f>
        <v>6</v>
      </c>
      <c r="D2" t="str" cm="1">
        <f t="array" ref="D2:D24">IF(_xlfn.ANCHORARRAY(C2)&gt;0,PR!$A$1,"")</f>
        <v>DIV12-PA</v>
      </c>
      <c r="E2" t="str" cm="1">
        <f t="array" ref="E2:E24">IF(_xlfn.ANCHORARRAY(C2)&gt;0,TEXT(MIN(PayDate[Start]),"M/D/YY")&amp;",  "&amp;TEXT(MAX(PayDate[End]),"M/D/YY"),"")</f>
        <v>12/16/24,  12/29/24</v>
      </c>
      <c r="F2" cm="1">
        <f t="array" ref="F2:F24">INDEX(PR!B:B,_xlfn.ANCHORARRAY($C2))</f>
        <v>1202</v>
      </c>
      <c r="H2" cm="1">
        <f t="array" ref="H2:H24">INDEX(PR!D:D,_xlfn.ANCHORARRAY($C2))</f>
        <v>55321.927299999996</v>
      </c>
      <c r="I2" cm="1">
        <f t="array" ref="I2:I24">INDEX(PR!F:F,_xlfn.ANCHORARRAY($C2))</f>
        <v>0</v>
      </c>
      <c r="J2" cm="1">
        <f t="array" ref="J2:J24">INDEX(PR!G:G,_xlfn.ANCHORARRAY($C2))</f>
        <v>0</v>
      </c>
      <c r="K2" cm="1">
        <f t="array" ref="K2:K24">INDEX(PR!I:I,_xlfn.ANCHORARRAY($C2))</f>
        <v>0</v>
      </c>
      <c r="L2" cm="1">
        <f t="array" ref="L2:L24">INDEX(PR!H:H,_xlfn.ANCHORARRAY($C2))</f>
        <v>0</v>
      </c>
      <c r="M2" cm="1">
        <f t="array" ref="M2:M24">INDEX(PR!J:J,_xlfn.ANCHORARRAY($C2))</f>
        <v>0</v>
      </c>
      <c r="N2" cm="1">
        <f t="array" ref="N2:N24">INDEX(PR!K:K,_xlfn.ANCHORARRAY($C2))</f>
        <v>8034</v>
      </c>
      <c r="O2" cm="1">
        <f t="array" ref="O2:O24">INDEX(PR!L:L,_xlfn.ANCHORARRAY($C2))+INDEX(PR!M:M,_xlfn.ANCHORARRAY($C2))+INDEX(PR!N:N,_xlfn.ANCHORARRAY($C2))+INDEX(PR!O:O,_xlfn.ANCHORARRAY($C2))</f>
        <v>1000</v>
      </c>
      <c r="P2" cm="1">
        <f t="array" ref="P2:P24">INDEX(PR!P:P,_xlfn.ANCHORARRAY($C2))</f>
        <v>0</v>
      </c>
    </row>
    <row r="3" spans="1:18" x14ac:dyDescent="0.25">
      <c r="C3">
        <v>7</v>
      </c>
      <c r="D3" t="str">
        <v>DIV12-PA</v>
      </c>
      <c r="E3" t="str">
        <v>12/16/24,  12/29/24</v>
      </c>
      <c r="F3">
        <v>3114</v>
      </c>
      <c r="H3">
        <v>36767.748999999996</v>
      </c>
      <c r="I3">
        <v>0</v>
      </c>
      <c r="J3">
        <v>0</v>
      </c>
      <c r="K3">
        <v>0</v>
      </c>
      <c r="L3">
        <v>0</v>
      </c>
      <c r="M3">
        <v>0</v>
      </c>
      <c r="N3">
        <v>4326</v>
      </c>
      <c r="O3">
        <v>1000</v>
      </c>
      <c r="P3">
        <v>0</v>
      </c>
    </row>
    <row r="4" spans="1:18" x14ac:dyDescent="0.25">
      <c r="C4">
        <v>8</v>
      </c>
      <c r="D4" t="str">
        <v>DIV12-PA</v>
      </c>
      <c r="E4" t="str">
        <v>12/16/24,  12/29/24</v>
      </c>
      <c r="F4">
        <v>6125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8" x14ac:dyDescent="0.25">
      <c r="C5">
        <v>9</v>
      </c>
      <c r="D5" t="str">
        <v>DIV12-PA</v>
      </c>
      <c r="E5" t="str">
        <v>12/16/24,  12/29/24</v>
      </c>
      <c r="F5">
        <v>9066</v>
      </c>
      <c r="H5">
        <v>29396.34</v>
      </c>
      <c r="I5">
        <v>0</v>
      </c>
      <c r="J5">
        <v>0</v>
      </c>
      <c r="K5">
        <v>0</v>
      </c>
      <c r="L5">
        <v>0</v>
      </c>
      <c r="M5">
        <v>0</v>
      </c>
      <c r="N5">
        <v>4326</v>
      </c>
      <c r="O5">
        <v>1000</v>
      </c>
      <c r="P5">
        <v>0</v>
      </c>
    </row>
    <row r="6" spans="1:18" x14ac:dyDescent="0.25">
      <c r="C6">
        <v>10</v>
      </c>
      <c r="D6" t="str">
        <v>DIV12-PA</v>
      </c>
      <c r="E6" t="str">
        <v>12/16/24,  12/29/24</v>
      </c>
      <c r="F6">
        <v>12060</v>
      </c>
      <c r="H6">
        <v>1996.29</v>
      </c>
      <c r="I6">
        <v>0</v>
      </c>
      <c r="J6">
        <v>0</v>
      </c>
      <c r="K6">
        <v>0</v>
      </c>
      <c r="L6">
        <v>0</v>
      </c>
      <c r="M6">
        <v>0</v>
      </c>
      <c r="N6">
        <v>309</v>
      </c>
      <c r="O6">
        <v>250</v>
      </c>
      <c r="P6">
        <v>0</v>
      </c>
    </row>
    <row r="7" spans="1:18" x14ac:dyDescent="0.25">
      <c r="C7">
        <v>11</v>
      </c>
      <c r="D7" t="str">
        <v>DIV12-PA</v>
      </c>
      <c r="E7" t="str">
        <v>12/16/24,  12/29/24</v>
      </c>
      <c r="F7">
        <v>12078</v>
      </c>
      <c r="H7">
        <v>24556.8613</v>
      </c>
      <c r="I7">
        <v>0</v>
      </c>
      <c r="J7">
        <v>0</v>
      </c>
      <c r="K7">
        <v>0</v>
      </c>
      <c r="L7">
        <v>0</v>
      </c>
      <c r="M7">
        <v>0</v>
      </c>
      <c r="N7">
        <v>2163</v>
      </c>
      <c r="O7">
        <v>0</v>
      </c>
      <c r="P7">
        <v>0</v>
      </c>
    </row>
    <row r="8" spans="1:18" x14ac:dyDescent="0.25">
      <c r="C8">
        <v>12</v>
      </c>
      <c r="D8" t="str">
        <v>DIV12-PA</v>
      </c>
      <c r="E8" t="str">
        <v>12/16/24,  12/29/24</v>
      </c>
      <c r="F8">
        <v>12081</v>
      </c>
      <c r="H8">
        <v>3259.1849999999999</v>
      </c>
      <c r="I8">
        <v>0</v>
      </c>
      <c r="J8">
        <v>0</v>
      </c>
      <c r="K8">
        <v>0</v>
      </c>
      <c r="L8">
        <v>0</v>
      </c>
      <c r="M8">
        <v>0</v>
      </c>
      <c r="N8">
        <v>309</v>
      </c>
      <c r="O8">
        <v>0</v>
      </c>
      <c r="P8">
        <v>0</v>
      </c>
    </row>
    <row r="9" spans="1:18" x14ac:dyDescent="0.25">
      <c r="C9">
        <v>13</v>
      </c>
      <c r="D9" t="str">
        <v>DIV12-PA</v>
      </c>
      <c r="E9" t="str">
        <v>12/16/24,  12/29/24</v>
      </c>
      <c r="F9">
        <v>12088</v>
      </c>
      <c r="H9">
        <v>3585.3249999999998</v>
      </c>
      <c r="I9">
        <v>0</v>
      </c>
      <c r="J9">
        <v>0</v>
      </c>
      <c r="K9">
        <v>0</v>
      </c>
      <c r="L9">
        <v>0</v>
      </c>
      <c r="M9">
        <v>0</v>
      </c>
      <c r="N9">
        <v>309</v>
      </c>
      <c r="O9">
        <v>0</v>
      </c>
      <c r="P9">
        <v>0</v>
      </c>
    </row>
    <row r="10" spans="1:18" x14ac:dyDescent="0.25">
      <c r="C10">
        <v>14</v>
      </c>
      <c r="D10" t="str">
        <v>DIV12-PA</v>
      </c>
      <c r="E10" t="str">
        <v>12/16/24,  12/29/24</v>
      </c>
      <c r="F10">
        <v>12101</v>
      </c>
      <c r="H10">
        <v>6569.7224999999999</v>
      </c>
      <c r="I10">
        <v>0</v>
      </c>
      <c r="J10">
        <v>0</v>
      </c>
      <c r="K10">
        <v>0</v>
      </c>
      <c r="L10">
        <v>0</v>
      </c>
      <c r="M10">
        <v>0</v>
      </c>
      <c r="N10">
        <v>618</v>
      </c>
      <c r="O10">
        <v>1000</v>
      </c>
      <c r="P10">
        <v>0</v>
      </c>
    </row>
    <row r="11" spans="1:18" x14ac:dyDescent="0.25">
      <c r="C11">
        <v>15</v>
      </c>
      <c r="D11" t="str">
        <v>DIV12-PA</v>
      </c>
      <c r="E11" t="str">
        <v>12/16/24,  12/29/24</v>
      </c>
      <c r="F11">
        <v>12106</v>
      </c>
      <c r="H11">
        <v>3366.25</v>
      </c>
      <c r="I11">
        <v>0</v>
      </c>
      <c r="J11">
        <v>0</v>
      </c>
      <c r="K11">
        <v>0</v>
      </c>
      <c r="L11">
        <v>0</v>
      </c>
      <c r="M11">
        <v>0</v>
      </c>
      <c r="N11">
        <v>309</v>
      </c>
      <c r="O11">
        <v>0</v>
      </c>
      <c r="P11">
        <v>0</v>
      </c>
    </row>
    <row r="12" spans="1:18" x14ac:dyDescent="0.25">
      <c r="C12">
        <v>16</v>
      </c>
      <c r="D12" t="str">
        <v>DIV12-PA</v>
      </c>
      <c r="E12" t="str">
        <v>12/16/24,  12/29/24</v>
      </c>
      <c r="F12">
        <v>12114</v>
      </c>
      <c r="H12">
        <v>5562.0150000000003</v>
      </c>
      <c r="I12">
        <v>0</v>
      </c>
      <c r="J12">
        <v>0</v>
      </c>
      <c r="K12">
        <v>0</v>
      </c>
      <c r="L12">
        <v>0</v>
      </c>
      <c r="M12">
        <v>0</v>
      </c>
      <c r="N12">
        <v>309</v>
      </c>
      <c r="O12">
        <v>0</v>
      </c>
      <c r="P12">
        <v>0</v>
      </c>
    </row>
    <row r="13" spans="1:18" x14ac:dyDescent="0.25">
      <c r="C13">
        <v>17</v>
      </c>
      <c r="D13" t="str">
        <v>DIV12-PA</v>
      </c>
      <c r="E13" t="str">
        <v>12/16/24,  12/29/24</v>
      </c>
      <c r="F13">
        <v>12118</v>
      </c>
      <c r="H13">
        <v>1537.6361999999999</v>
      </c>
      <c r="I13">
        <v>0</v>
      </c>
      <c r="J13">
        <v>0</v>
      </c>
      <c r="K13">
        <v>0</v>
      </c>
      <c r="L13">
        <v>0</v>
      </c>
      <c r="M13">
        <v>0</v>
      </c>
      <c r="N13">
        <v>309</v>
      </c>
      <c r="O13">
        <v>0</v>
      </c>
      <c r="P13">
        <v>0</v>
      </c>
    </row>
    <row r="14" spans="1:18" x14ac:dyDescent="0.25">
      <c r="C14">
        <v>18</v>
      </c>
      <c r="D14" t="str">
        <v>DIV12-PA</v>
      </c>
      <c r="E14" t="str">
        <v>12/16/24,  12/29/24</v>
      </c>
      <c r="F14">
        <v>12119</v>
      </c>
      <c r="H14">
        <v>2750.01</v>
      </c>
      <c r="I14">
        <v>0</v>
      </c>
      <c r="J14">
        <v>0</v>
      </c>
      <c r="K14">
        <v>0</v>
      </c>
      <c r="L14">
        <v>0</v>
      </c>
      <c r="M14">
        <v>0</v>
      </c>
      <c r="N14">
        <v>309</v>
      </c>
      <c r="O14">
        <v>0</v>
      </c>
      <c r="P14">
        <v>0</v>
      </c>
    </row>
    <row r="15" spans="1:18" x14ac:dyDescent="0.25">
      <c r="C15">
        <v>19</v>
      </c>
      <c r="D15" t="str">
        <v>DIV12-PA</v>
      </c>
      <c r="E15" t="str">
        <v>12/16/24,  12/29/24</v>
      </c>
      <c r="F15">
        <v>12124</v>
      </c>
      <c r="H15">
        <v>3082.27</v>
      </c>
      <c r="I15">
        <v>0</v>
      </c>
      <c r="J15">
        <v>0</v>
      </c>
      <c r="K15">
        <v>0</v>
      </c>
      <c r="L15">
        <v>0</v>
      </c>
      <c r="M15">
        <v>0</v>
      </c>
      <c r="N15">
        <v>309</v>
      </c>
      <c r="O15">
        <v>0</v>
      </c>
      <c r="P15">
        <v>0</v>
      </c>
    </row>
    <row r="16" spans="1:18" x14ac:dyDescent="0.25">
      <c r="C16">
        <v>20</v>
      </c>
      <c r="D16" t="str">
        <v>DIV12-PA</v>
      </c>
      <c r="E16" t="str">
        <v>12/16/24,  12/29/24</v>
      </c>
      <c r="F16">
        <v>12138</v>
      </c>
      <c r="H16">
        <v>1585.52</v>
      </c>
      <c r="I16">
        <v>0</v>
      </c>
      <c r="J16">
        <v>0</v>
      </c>
      <c r="K16">
        <v>0</v>
      </c>
      <c r="L16">
        <v>0</v>
      </c>
      <c r="M16">
        <v>0</v>
      </c>
      <c r="N16">
        <v>309</v>
      </c>
      <c r="O16">
        <v>0</v>
      </c>
      <c r="P16">
        <v>0</v>
      </c>
    </row>
    <row r="17" spans="3:16" x14ac:dyDescent="0.25">
      <c r="C17">
        <v>21</v>
      </c>
      <c r="D17" t="str">
        <v>DIV12-PA</v>
      </c>
      <c r="E17" t="str">
        <v>12/16/24,  12/29/24</v>
      </c>
      <c r="F17">
        <v>12141</v>
      </c>
      <c r="H17">
        <v>10327.615</v>
      </c>
      <c r="I17">
        <v>0</v>
      </c>
      <c r="J17">
        <v>309</v>
      </c>
      <c r="K17">
        <v>0</v>
      </c>
      <c r="L17">
        <v>0</v>
      </c>
      <c r="M17">
        <v>0</v>
      </c>
      <c r="N17">
        <v>927</v>
      </c>
      <c r="O17">
        <v>0</v>
      </c>
      <c r="P17">
        <v>0</v>
      </c>
    </row>
    <row r="18" spans="3:16" x14ac:dyDescent="0.25">
      <c r="C18">
        <v>22</v>
      </c>
      <c r="D18" t="str">
        <v>DIV12-PA</v>
      </c>
      <c r="E18" t="str">
        <v>12/16/24,  12/29/24</v>
      </c>
      <c r="F18">
        <v>12145</v>
      </c>
      <c r="H18">
        <v>4806.6100000000006</v>
      </c>
      <c r="I18">
        <v>0</v>
      </c>
      <c r="J18">
        <v>0</v>
      </c>
      <c r="K18">
        <v>0</v>
      </c>
      <c r="L18">
        <v>0</v>
      </c>
      <c r="M18">
        <v>0</v>
      </c>
      <c r="N18">
        <v>309</v>
      </c>
      <c r="O18">
        <v>0</v>
      </c>
      <c r="P18">
        <v>0</v>
      </c>
    </row>
    <row r="19" spans="3:16" x14ac:dyDescent="0.25">
      <c r="C19">
        <v>23</v>
      </c>
      <c r="D19" t="str">
        <v>DIV12-PA</v>
      </c>
      <c r="E19" t="str">
        <v>12/16/24,  12/29/24</v>
      </c>
      <c r="F19">
        <v>12150</v>
      </c>
      <c r="H19">
        <v>3760.8849999999998</v>
      </c>
      <c r="I19">
        <v>0</v>
      </c>
      <c r="J19">
        <v>0</v>
      </c>
      <c r="K19">
        <v>0</v>
      </c>
      <c r="L19">
        <v>0</v>
      </c>
      <c r="M19">
        <v>0</v>
      </c>
      <c r="N19">
        <v>309</v>
      </c>
      <c r="O19">
        <v>0</v>
      </c>
      <c r="P19">
        <v>0</v>
      </c>
    </row>
    <row r="20" spans="3:16" x14ac:dyDescent="0.25">
      <c r="C20">
        <v>24</v>
      </c>
      <c r="D20" t="str">
        <v>DIV12-PA</v>
      </c>
      <c r="E20" t="str">
        <v>12/16/24,  12/29/24</v>
      </c>
      <c r="F20">
        <v>12154</v>
      </c>
      <c r="H20">
        <v>3656.2250000000004</v>
      </c>
      <c r="I20">
        <v>0</v>
      </c>
      <c r="J20">
        <v>0</v>
      </c>
      <c r="K20">
        <v>0</v>
      </c>
      <c r="L20">
        <v>0</v>
      </c>
      <c r="M20">
        <v>0</v>
      </c>
      <c r="N20">
        <v>309</v>
      </c>
      <c r="O20">
        <v>0</v>
      </c>
      <c r="P20">
        <v>0</v>
      </c>
    </row>
    <row r="21" spans="3:16" x14ac:dyDescent="0.25">
      <c r="C21">
        <v>25</v>
      </c>
      <c r="D21" t="str">
        <v>DIV12-PA</v>
      </c>
      <c r="E21" t="str">
        <v>12/16/24,  12/29/24</v>
      </c>
      <c r="F21">
        <v>12155</v>
      </c>
      <c r="H21">
        <v>4079.3850000000002</v>
      </c>
      <c r="I21">
        <v>0</v>
      </c>
      <c r="J21">
        <v>0</v>
      </c>
      <c r="K21">
        <v>0</v>
      </c>
      <c r="L21">
        <v>0</v>
      </c>
      <c r="M21">
        <v>0</v>
      </c>
      <c r="N21">
        <v>309</v>
      </c>
      <c r="O21">
        <v>0</v>
      </c>
      <c r="P21">
        <v>0</v>
      </c>
    </row>
    <row r="22" spans="3:16" x14ac:dyDescent="0.25">
      <c r="C22">
        <v>26</v>
      </c>
      <c r="D22" t="str">
        <v>DIV12-PA</v>
      </c>
      <c r="E22" t="str">
        <v>12/16/24,  12/29/24</v>
      </c>
      <c r="F22">
        <v>12157</v>
      </c>
      <c r="H22">
        <v>2989.5374999999999</v>
      </c>
      <c r="I22">
        <v>0</v>
      </c>
      <c r="J22">
        <v>0</v>
      </c>
      <c r="K22">
        <v>0</v>
      </c>
      <c r="L22">
        <v>0</v>
      </c>
      <c r="M22">
        <v>0</v>
      </c>
      <c r="N22">
        <v>309</v>
      </c>
      <c r="O22">
        <v>0</v>
      </c>
      <c r="P22">
        <v>0</v>
      </c>
    </row>
    <row r="23" spans="3:16" x14ac:dyDescent="0.25">
      <c r="C23">
        <v>27</v>
      </c>
      <c r="D23" t="str">
        <v>DIV12-PA</v>
      </c>
      <c r="E23" t="str">
        <v>12/16/24,  12/29/24</v>
      </c>
      <c r="F23">
        <v>12166</v>
      </c>
      <c r="H23">
        <v>3177.6812</v>
      </c>
      <c r="I23">
        <v>0</v>
      </c>
      <c r="J23">
        <v>0</v>
      </c>
      <c r="K23">
        <v>0</v>
      </c>
      <c r="L23">
        <v>0</v>
      </c>
      <c r="M23">
        <v>0</v>
      </c>
      <c r="N23">
        <v>309</v>
      </c>
      <c r="O23">
        <v>0</v>
      </c>
      <c r="P23">
        <v>0</v>
      </c>
    </row>
    <row r="24" spans="3:16" x14ac:dyDescent="0.25">
      <c r="C24">
        <v>28</v>
      </c>
      <c r="D24" t="str">
        <v>DIV12-PA</v>
      </c>
      <c r="E24" t="str">
        <v>12/16/24,  12/29/24</v>
      </c>
      <c r="F24">
        <v>12200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H72"/>
  <sheetViews>
    <sheetView showGridLines="0" topLeftCell="N1" zoomScale="90" zoomScaleNormal="9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12.5703125" style="44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f>SUM($T$8,$W$6)-$Z$7</f>
        <v>9709.6149999999998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f>SUMIF(Deduction_and_other_Revenue[PARTNER],$B$2,Deduction_and_other_Revenue[Bonus])</f>
        <v>0</v>
      </c>
      <c r="Y3" s="9" t="s">
        <v>48</v>
      </c>
      <c r="Z3" s="10">
        <f>SUMIF(Deduction_and_other_Revenue[PARTNER],$B$2,Deduction_and_other_Revenue[Credentials])</f>
        <v>0</v>
      </c>
      <c r="AB3" s="9" t="s">
        <v>9</v>
      </c>
      <c r="AC3" s="10">
        <f>SUMIF(Deduction_and_other_Revenue[PARTNER],$B$2,Deduction_and_other_Revenue[Tolls])</f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f>SUMIF(Deduction_and_other_Revenue[PARTNER],$B$2,Deduction_and_other_Revenue[Other Income])</f>
        <v>309</v>
      </c>
      <c r="Y4" s="9" t="s">
        <v>49</v>
      </c>
      <c r="Z4" s="10">
        <f>SUMIF(Deduction_and_other_Revenue[PARTNER],$B$2,Deduction_and_other_Revenue[LIFT LEASE TOTAL])</f>
        <v>927</v>
      </c>
      <c r="AB4" s="9" t="s">
        <v>124</v>
      </c>
      <c r="AC4" s="10">
        <f>SUMIF(Deduction_and_other_Revenue[PARTNER],$B$2,Deduction_and_other_Revenue[Camera Tickets])</f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f>SUMIF(Deduction_and_other_Revenue[PARTNER],$B$2,Deduction_and_other_Revenue[Reimbursement])</f>
        <v>0</v>
      </c>
      <c r="Y5" s="9" t="s">
        <v>66</v>
      </c>
      <c r="Z5" s="10">
        <f>SUMIF(Deduction_and_other_Revenue[PARTNER],$B$2,Deduction_and_other_Revenue[Other Deductions])</f>
        <v>0</v>
      </c>
      <c r="AB5" s="9" t="s">
        <v>125</v>
      </c>
      <c r="AC5" s="10">
        <f>SUMIF(Deduction_and_other_Revenue[PARTNER],$B$2,Deduction_and_other_Revenue[Parking Tickets])</f>
        <v>0</v>
      </c>
      <c r="AD5" s="8"/>
      <c r="AH5" s="6"/>
    </row>
    <row r="6" spans="2:34" x14ac:dyDescent="0.25">
      <c r="B6" s="7" t="str" cm="1">
        <f t="array" ref="B6:T7">_xlfn._xlws.FILTER(SumVDPMVReport[[WeekN]:[Total Rev]],SumVDPMVReport[PARTNER NAME]=$B$2,"No Data for the Selected Partner")</f>
        <v>Week1</v>
      </c>
      <c r="C6" s="60">
        <v>173</v>
      </c>
      <c r="D6" s="4">
        <v>173.22</v>
      </c>
      <c r="E6" s="4">
        <v>173</v>
      </c>
      <c r="F6" s="58">
        <v>1</v>
      </c>
      <c r="G6" s="66">
        <v>3654.625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281.125</v>
      </c>
      <c r="O6" s="77">
        <v>0.84984412885348104</v>
      </c>
      <c r="P6" s="8">
        <v>281.125</v>
      </c>
      <c r="Q6" s="8">
        <v>144.33000000000001</v>
      </c>
      <c r="R6" s="8">
        <v>15.9</v>
      </c>
      <c r="S6" s="8">
        <v>0</v>
      </c>
      <c r="T6" s="8">
        <v>5501.6049999999996</v>
      </c>
      <c r="U6" s="6"/>
      <c r="V6" s="46" t="s">
        <v>55</v>
      </c>
      <c r="W6" s="47">
        <f>SUM(W3:W5)</f>
        <v>309</v>
      </c>
      <c r="Y6" s="11" t="s">
        <v>126</v>
      </c>
      <c r="Z6" s="12">
        <f>SUMIF(Deduction_and_other_Revenue[PARTNER],$B$2,Deduction_and_other_Revenue[Total Violation])</f>
        <v>0</v>
      </c>
      <c r="AB6" s="11" t="s">
        <v>128</v>
      </c>
      <c r="AC6" s="12">
        <f>SUMIF(Deduction_and_other_Revenue[PARTNER],$B$2,Deduction_and_other_Revenue[Violation])</f>
        <v>0</v>
      </c>
      <c r="AD6" s="8"/>
      <c r="AH6" s="6"/>
    </row>
    <row r="7" spans="2:34" ht="15.75" thickBot="1" x14ac:dyDescent="0.3">
      <c r="B7" s="7" t="str">
        <v>Week2</v>
      </c>
      <c r="C7" s="60">
        <v>160</v>
      </c>
      <c r="D7" s="4">
        <v>158.84</v>
      </c>
      <c r="E7" s="4">
        <v>158.84</v>
      </c>
      <c r="F7" s="58">
        <v>1</v>
      </c>
      <c r="G7" s="66">
        <v>3355.4949999999999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258.11500000000001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f>IFERROR(SUM(Z3:Z6),0)</f>
        <v>927</v>
      </c>
      <c r="AB7" s="9" t="s">
        <v>126</v>
      </c>
      <c r="AC7" s="10">
        <f>SUM(AC3:AC6)</f>
        <v>0</v>
      </c>
      <c r="AD7" s="8"/>
      <c r="AH7" s="6"/>
    </row>
    <row r="8" spans="2:34" x14ac:dyDescent="0.25">
      <c r="B8" s="20" t="s">
        <v>45</v>
      </c>
      <c r="C8" s="67">
        <f>SUM(C6:C7)</f>
        <v>333</v>
      </c>
      <c r="D8" s="21">
        <f t="shared" ref="D8:E8" si="0">SUM(D6:D7)</f>
        <v>332.06</v>
      </c>
      <c r="E8" s="21">
        <f t="shared" si="0"/>
        <v>331.84000000000003</v>
      </c>
      <c r="F8" s="67"/>
      <c r="G8" s="76">
        <f>SUM(G6:G7)</f>
        <v>7010.12</v>
      </c>
      <c r="H8" s="22">
        <f t="shared" ref="H8:M8" si="1">SUM(H6:H7)</f>
        <v>2156.96</v>
      </c>
      <c r="I8" s="22">
        <f t="shared" si="1"/>
        <v>0</v>
      </c>
      <c r="J8" s="22">
        <f t="shared" si="1"/>
        <v>0</v>
      </c>
      <c r="K8" s="21"/>
      <c r="L8" s="78"/>
      <c r="M8" s="22">
        <f t="shared" si="1"/>
        <v>0</v>
      </c>
      <c r="N8" s="22">
        <f>SUM(N6:N7)</f>
        <v>281.125</v>
      </c>
      <c r="O8" s="78"/>
      <c r="P8" s="22">
        <f>SUM(P6:P7)</f>
        <v>539.24</v>
      </c>
      <c r="Q8" s="22">
        <f>SUM(Q6:Q7)</f>
        <v>297.07000000000005</v>
      </c>
      <c r="R8" s="22">
        <f>SUM(R6:R7)</f>
        <v>43.1</v>
      </c>
      <c r="S8" s="22">
        <f>SUM(S6:S7)</f>
        <v>0</v>
      </c>
      <c r="T8" s="22">
        <f>SUM(T6:T7)</f>
        <v>10327.615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 cm="1">
        <f t="array" ref="B12:M17">_xlfn._xlws.FILTER(VDPMVReport[[Week]:[Tolls]],VDPMVReport[PARTNER NAME]=$B$2,"No Data for the Selected Partner")</f>
        <v>45642</v>
      </c>
      <c r="C12" s="6" t="str">
        <v>ABDELAZIZ</v>
      </c>
      <c r="D12" s="6" t="str">
        <v>MEHDAOUI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 cm="1">
        <f t="array" ref="V12:X13">_xlfn._xlws.FILTER(Deduction_and_other_Revenue[[ Lift Lease Rate]:[LIFT LEASE TOTAL]],Deduction_and_other_Revenue[PARTNER]=$B$2,"No Data for the Selected Partner")</f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tr">
        <v>ABDELAZIZ</v>
      </c>
      <c r="D13" s="6" t="str">
        <v>MEHDAOUI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tr">
        <v>ABDELGHANI</v>
      </c>
      <c r="D14" s="6" t="str">
        <v>TAIBAOUI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tr">
        <v>ABDELGHANI</v>
      </c>
      <c r="D15" s="6" t="str">
        <v>TAIBAOUI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tr">
        <v>ABDOUN</v>
      </c>
      <c r="D16" s="6" t="str">
        <v>ALI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tr">
        <v>ABDOUN</v>
      </c>
      <c r="D17" s="6" t="str">
        <v>ALI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4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autoFilter ref="B11:L78" xr:uid="{FE777D66-FC91-423C-87E1-3EF9F989B5CC}"/>
  <mergeCells count="7">
    <mergeCell ref="AB2:AC2"/>
    <mergeCell ref="V10:X10"/>
    <mergeCell ref="Y2:Z2"/>
    <mergeCell ref="B2:F2"/>
    <mergeCell ref="H4:J4"/>
    <mergeCell ref="K4:N4"/>
    <mergeCell ref="B10:M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E478A-A208-4784-A3E8-E44E1466FFE5}">
  <sheetPr codeName="Sheet9"/>
  <dimension ref="A1:R1144"/>
  <sheetViews>
    <sheetView workbookViewId="0">
      <selection sqref="A1:R1144"/>
    </sheetView>
  </sheetViews>
  <sheetFormatPr defaultRowHeight="15" x14ac:dyDescent="0.25"/>
  <cols>
    <col min="1" max="1" width="22" bestFit="1" customWidth="1"/>
    <col min="2" max="2" width="9.5703125" bestFit="1" customWidth="1"/>
    <col min="3" max="3" width="30.140625" bestFit="1" customWidth="1"/>
    <col min="4" max="4" width="22" bestFit="1" customWidth="1"/>
    <col min="5" max="5" width="11.28515625" bestFit="1" customWidth="1"/>
    <col min="6" max="6" width="15.42578125" bestFit="1" customWidth="1"/>
    <col min="7" max="7" width="14.5703125" bestFit="1" customWidth="1"/>
    <col min="8" max="8" width="18.7109375" bestFit="1" customWidth="1"/>
    <col min="9" max="9" width="10.5703125" bestFit="1" customWidth="1"/>
    <col min="10" max="10" width="12.85546875" bestFit="1" customWidth="1"/>
    <col min="11" max="11" width="16.42578125" bestFit="1" customWidth="1"/>
    <col min="12" max="12" width="80.85546875" bestFit="1" customWidth="1"/>
    <col min="13" max="13" width="14" bestFit="1" customWidth="1"/>
    <col min="14" max="14" width="13.42578125" bestFit="1" customWidth="1"/>
    <col min="15" max="15" width="12.140625" bestFit="1" customWidth="1"/>
    <col min="16" max="16" width="9" bestFit="1" customWidth="1"/>
    <col min="17" max="17" width="11.7109375" bestFit="1" customWidth="1"/>
    <col min="18" max="18" width="8.28515625" bestFit="1" customWidth="1"/>
    <col min="19" max="19" width="8.7109375" bestFit="1" customWidth="1"/>
    <col min="20" max="20" width="8.28515625" customWidth="1"/>
    <col min="21" max="21" width="11.140625" bestFit="1" customWidth="1"/>
    <col min="22" max="22" width="13.7109375" bestFit="1" customWidth="1"/>
  </cols>
  <sheetData>
    <row r="1" spans="1:18" x14ac:dyDescent="0.25">
      <c r="A1" t="s">
        <v>221</v>
      </c>
      <c r="B1" t="s">
        <v>82</v>
      </c>
      <c r="C1" t="s">
        <v>83</v>
      </c>
      <c r="D1" t="s">
        <v>73</v>
      </c>
      <c r="E1" t="s">
        <v>84</v>
      </c>
      <c r="F1" t="s">
        <v>88</v>
      </c>
      <c r="G1" t="s">
        <v>85</v>
      </c>
      <c r="H1" t="s">
        <v>86</v>
      </c>
      <c r="I1" t="s">
        <v>87</v>
      </c>
      <c r="J1" t="s">
        <v>137</v>
      </c>
      <c r="K1" t="s">
        <v>136</v>
      </c>
      <c r="L1" t="s">
        <v>89</v>
      </c>
      <c r="M1" t="s">
        <v>90</v>
      </c>
      <c r="N1" t="s">
        <v>92</v>
      </c>
      <c r="O1" t="s">
        <v>43</v>
      </c>
      <c r="P1" t="s">
        <v>113</v>
      </c>
      <c r="Q1" t="s">
        <v>57</v>
      </c>
      <c r="R1" t="s">
        <v>134</v>
      </c>
    </row>
    <row r="2" spans="1:18" x14ac:dyDescent="0.25">
      <c r="A2" t="s">
        <v>157</v>
      </c>
      <c r="B2" s="2">
        <v>45460</v>
      </c>
      <c r="C2" t="s">
        <v>131</v>
      </c>
      <c r="D2" t="s">
        <v>157</v>
      </c>
      <c r="I2">
        <v>0</v>
      </c>
      <c r="J2">
        <v>27</v>
      </c>
      <c r="K2">
        <v>145.35</v>
      </c>
      <c r="L2" t="s">
        <v>222</v>
      </c>
      <c r="M2">
        <v>0</v>
      </c>
      <c r="N2">
        <v>0</v>
      </c>
      <c r="O2">
        <v>0.9</v>
      </c>
      <c r="P2" t="s">
        <v>114</v>
      </c>
      <c r="Q2">
        <v>0</v>
      </c>
      <c r="R2" t="s">
        <v>135</v>
      </c>
    </row>
    <row r="3" spans="1:18" x14ac:dyDescent="0.25">
      <c r="A3" t="s">
        <v>158</v>
      </c>
      <c r="B3" s="2">
        <v>45460</v>
      </c>
      <c r="C3" t="s">
        <v>131</v>
      </c>
      <c r="D3" t="s">
        <v>158</v>
      </c>
      <c r="I3">
        <v>0</v>
      </c>
      <c r="J3">
        <v>27</v>
      </c>
      <c r="K3">
        <v>213.75</v>
      </c>
      <c r="L3" t="s">
        <v>223</v>
      </c>
      <c r="M3">
        <v>0</v>
      </c>
      <c r="N3">
        <v>0</v>
      </c>
      <c r="O3">
        <v>0.9</v>
      </c>
      <c r="P3" t="s">
        <v>114</v>
      </c>
      <c r="Q3">
        <v>0</v>
      </c>
      <c r="R3" t="s">
        <v>135</v>
      </c>
    </row>
    <row r="4" spans="1:18" x14ac:dyDescent="0.25">
      <c r="A4" t="s">
        <v>156</v>
      </c>
      <c r="B4" s="2">
        <v>45460</v>
      </c>
      <c r="C4" t="s">
        <v>131</v>
      </c>
      <c r="D4" t="s">
        <v>156</v>
      </c>
      <c r="I4">
        <v>0</v>
      </c>
      <c r="J4">
        <v>27</v>
      </c>
      <c r="K4">
        <v>230.4</v>
      </c>
      <c r="L4" t="s">
        <v>224</v>
      </c>
      <c r="M4">
        <v>0</v>
      </c>
      <c r="N4">
        <v>0</v>
      </c>
      <c r="O4">
        <v>0.9</v>
      </c>
      <c r="P4" t="s">
        <v>114</v>
      </c>
      <c r="Q4">
        <v>0</v>
      </c>
      <c r="R4" t="s">
        <v>135</v>
      </c>
    </row>
    <row r="5" spans="1:18" x14ac:dyDescent="0.25">
      <c r="A5" t="s">
        <v>157</v>
      </c>
      <c r="B5" s="2">
        <v>45461</v>
      </c>
      <c r="C5" t="s">
        <v>131</v>
      </c>
      <c r="D5" t="s">
        <v>157</v>
      </c>
      <c r="I5">
        <v>0</v>
      </c>
      <c r="J5">
        <v>27</v>
      </c>
      <c r="K5">
        <v>132.75</v>
      </c>
      <c r="L5" t="s">
        <v>225</v>
      </c>
      <c r="M5">
        <v>0</v>
      </c>
      <c r="N5">
        <v>0</v>
      </c>
      <c r="O5">
        <v>0.9</v>
      </c>
      <c r="P5" t="s">
        <v>114</v>
      </c>
      <c r="Q5">
        <v>0</v>
      </c>
      <c r="R5" t="s">
        <v>135</v>
      </c>
    </row>
    <row r="6" spans="1:18" x14ac:dyDescent="0.25">
      <c r="A6" t="s">
        <v>158</v>
      </c>
      <c r="B6" s="2">
        <v>45461</v>
      </c>
      <c r="C6" t="s">
        <v>131</v>
      </c>
      <c r="D6" t="s">
        <v>158</v>
      </c>
      <c r="I6">
        <v>0</v>
      </c>
      <c r="J6">
        <v>27</v>
      </c>
      <c r="K6">
        <v>215.55</v>
      </c>
      <c r="L6" t="s">
        <v>226</v>
      </c>
      <c r="M6">
        <v>0</v>
      </c>
      <c r="N6">
        <v>0</v>
      </c>
      <c r="O6">
        <v>0.9</v>
      </c>
      <c r="P6" t="s">
        <v>114</v>
      </c>
      <c r="Q6">
        <v>0</v>
      </c>
      <c r="R6" t="s">
        <v>135</v>
      </c>
    </row>
    <row r="7" spans="1:18" x14ac:dyDescent="0.25">
      <c r="A7" t="s">
        <v>156</v>
      </c>
      <c r="B7" s="2">
        <v>45461</v>
      </c>
      <c r="C7" t="s">
        <v>131</v>
      </c>
      <c r="D7" t="s">
        <v>156</v>
      </c>
      <c r="I7">
        <v>0</v>
      </c>
      <c r="J7">
        <v>27</v>
      </c>
      <c r="K7">
        <v>225.9</v>
      </c>
      <c r="L7" t="s">
        <v>227</v>
      </c>
      <c r="M7">
        <v>0</v>
      </c>
      <c r="N7">
        <v>0</v>
      </c>
      <c r="O7">
        <v>0.9</v>
      </c>
      <c r="P7" t="s">
        <v>114</v>
      </c>
      <c r="Q7">
        <v>0</v>
      </c>
      <c r="R7" t="s">
        <v>135</v>
      </c>
    </row>
    <row r="8" spans="1:18" x14ac:dyDescent="0.25">
      <c r="A8" t="s">
        <v>157</v>
      </c>
      <c r="B8" s="2">
        <v>45462</v>
      </c>
      <c r="C8" t="s">
        <v>131</v>
      </c>
      <c r="D8" t="s">
        <v>157</v>
      </c>
      <c r="I8">
        <v>0</v>
      </c>
      <c r="J8">
        <v>27</v>
      </c>
      <c r="K8">
        <v>149.85</v>
      </c>
      <c r="L8" t="s">
        <v>228</v>
      </c>
      <c r="M8">
        <v>0</v>
      </c>
      <c r="N8">
        <v>0</v>
      </c>
      <c r="O8">
        <v>0.9</v>
      </c>
      <c r="P8" t="s">
        <v>114</v>
      </c>
      <c r="Q8">
        <v>0</v>
      </c>
      <c r="R8" t="s">
        <v>135</v>
      </c>
    </row>
    <row r="9" spans="1:18" x14ac:dyDescent="0.25">
      <c r="A9" t="s">
        <v>158</v>
      </c>
      <c r="B9" s="2">
        <v>45462</v>
      </c>
      <c r="C9" t="s">
        <v>131</v>
      </c>
      <c r="D9" t="s">
        <v>158</v>
      </c>
      <c r="I9">
        <v>0</v>
      </c>
      <c r="J9">
        <v>27</v>
      </c>
      <c r="K9">
        <v>196.65</v>
      </c>
      <c r="L9" t="s">
        <v>229</v>
      </c>
      <c r="M9">
        <v>0</v>
      </c>
      <c r="N9">
        <v>0</v>
      </c>
      <c r="O9">
        <v>0.9</v>
      </c>
      <c r="P9" t="s">
        <v>114</v>
      </c>
      <c r="Q9">
        <v>0</v>
      </c>
      <c r="R9" t="s">
        <v>135</v>
      </c>
    </row>
    <row r="10" spans="1:18" x14ac:dyDescent="0.25">
      <c r="A10" t="s">
        <v>156</v>
      </c>
      <c r="B10" s="2">
        <v>45462</v>
      </c>
      <c r="C10" t="s">
        <v>131</v>
      </c>
      <c r="D10" t="s">
        <v>156</v>
      </c>
      <c r="I10">
        <v>0</v>
      </c>
      <c r="J10">
        <v>27</v>
      </c>
      <c r="K10">
        <v>233.1</v>
      </c>
      <c r="L10" t="s">
        <v>230</v>
      </c>
      <c r="M10">
        <v>0</v>
      </c>
      <c r="N10">
        <v>0</v>
      </c>
      <c r="O10">
        <v>0.9</v>
      </c>
      <c r="P10" t="s">
        <v>114</v>
      </c>
      <c r="Q10">
        <v>0</v>
      </c>
      <c r="R10" t="s">
        <v>135</v>
      </c>
    </row>
    <row r="11" spans="1:18" x14ac:dyDescent="0.25">
      <c r="A11" t="s">
        <v>157</v>
      </c>
      <c r="B11" s="2">
        <v>45463</v>
      </c>
      <c r="C11" t="s">
        <v>131</v>
      </c>
      <c r="D11" t="s">
        <v>157</v>
      </c>
      <c r="I11">
        <v>0</v>
      </c>
      <c r="J11">
        <v>27</v>
      </c>
      <c r="K11">
        <v>119.7</v>
      </c>
      <c r="L11" t="s">
        <v>231</v>
      </c>
      <c r="M11">
        <v>0</v>
      </c>
      <c r="N11">
        <v>0</v>
      </c>
      <c r="O11">
        <v>0.9</v>
      </c>
      <c r="P11" t="s">
        <v>114</v>
      </c>
      <c r="Q11">
        <v>0</v>
      </c>
      <c r="R11" t="s">
        <v>135</v>
      </c>
    </row>
    <row r="12" spans="1:18" x14ac:dyDescent="0.25">
      <c r="A12" t="s">
        <v>158</v>
      </c>
      <c r="B12" s="2">
        <v>45463</v>
      </c>
      <c r="C12" t="s">
        <v>131</v>
      </c>
      <c r="D12" t="s">
        <v>158</v>
      </c>
      <c r="I12">
        <v>0</v>
      </c>
      <c r="J12">
        <v>27</v>
      </c>
      <c r="K12">
        <v>207.45</v>
      </c>
      <c r="L12" t="s">
        <v>232</v>
      </c>
      <c r="M12">
        <v>0</v>
      </c>
      <c r="N12">
        <v>0</v>
      </c>
      <c r="O12">
        <v>0.9</v>
      </c>
      <c r="P12" t="s">
        <v>114</v>
      </c>
      <c r="Q12">
        <v>0</v>
      </c>
      <c r="R12" t="s">
        <v>135</v>
      </c>
    </row>
    <row r="13" spans="1:18" x14ac:dyDescent="0.25">
      <c r="A13" t="s">
        <v>156</v>
      </c>
      <c r="B13" s="2">
        <v>45463</v>
      </c>
      <c r="C13" t="s">
        <v>131</v>
      </c>
      <c r="D13" t="s">
        <v>156</v>
      </c>
      <c r="I13">
        <v>0</v>
      </c>
      <c r="J13">
        <v>27</v>
      </c>
      <c r="K13">
        <v>266.85000000000002</v>
      </c>
      <c r="L13" t="s">
        <v>233</v>
      </c>
      <c r="M13">
        <v>0</v>
      </c>
      <c r="N13">
        <v>0</v>
      </c>
      <c r="O13">
        <v>0.9</v>
      </c>
      <c r="P13" t="s">
        <v>114</v>
      </c>
      <c r="Q13">
        <v>0</v>
      </c>
      <c r="R13" t="s">
        <v>135</v>
      </c>
    </row>
    <row r="14" spans="1:18" x14ac:dyDescent="0.25">
      <c r="A14" t="s">
        <v>157</v>
      </c>
      <c r="B14" s="2">
        <v>45464</v>
      </c>
      <c r="C14" t="s">
        <v>131</v>
      </c>
      <c r="D14" t="s">
        <v>157</v>
      </c>
      <c r="I14">
        <v>0</v>
      </c>
      <c r="J14">
        <v>27</v>
      </c>
      <c r="K14">
        <v>180.9</v>
      </c>
      <c r="L14" t="s">
        <v>234</v>
      </c>
      <c r="M14">
        <v>0</v>
      </c>
      <c r="N14">
        <v>0</v>
      </c>
      <c r="O14">
        <v>0.9</v>
      </c>
      <c r="P14" t="s">
        <v>114</v>
      </c>
      <c r="Q14">
        <v>0</v>
      </c>
      <c r="R14" t="s">
        <v>135</v>
      </c>
    </row>
    <row r="15" spans="1:18" x14ac:dyDescent="0.25">
      <c r="A15" t="s">
        <v>158</v>
      </c>
      <c r="B15" s="2">
        <v>45464</v>
      </c>
      <c r="C15" t="s">
        <v>131</v>
      </c>
      <c r="D15" t="s">
        <v>158</v>
      </c>
      <c r="I15">
        <v>0</v>
      </c>
      <c r="J15">
        <v>27</v>
      </c>
      <c r="K15">
        <v>194.4</v>
      </c>
      <c r="L15" t="s">
        <v>235</v>
      </c>
      <c r="M15">
        <v>0</v>
      </c>
      <c r="N15">
        <v>0</v>
      </c>
      <c r="O15">
        <v>0.9</v>
      </c>
      <c r="P15" t="s">
        <v>114</v>
      </c>
      <c r="Q15">
        <v>0</v>
      </c>
      <c r="R15" t="s">
        <v>135</v>
      </c>
    </row>
    <row r="16" spans="1:18" x14ac:dyDescent="0.25">
      <c r="A16" t="s">
        <v>156</v>
      </c>
      <c r="B16" s="2">
        <v>45464</v>
      </c>
      <c r="C16" t="s">
        <v>131</v>
      </c>
      <c r="D16" t="s">
        <v>156</v>
      </c>
      <c r="I16">
        <v>0</v>
      </c>
      <c r="J16">
        <v>27</v>
      </c>
      <c r="K16">
        <v>226.8</v>
      </c>
      <c r="L16" t="s">
        <v>236</v>
      </c>
      <c r="M16">
        <v>0</v>
      </c>
      <c r="N16">
        <v>0</v>
      </c>
      <c r="O16">
        <v>0.9</v>
      </c>
      <c r="P16" t="s">
        <v>114</v>
      </c>
      <c r="Q16">
        <v>0</v>
      </c>
      <c r="R16" t="s">
        <v>135</v>
      </c>
    </row>
    <row r="17" spans="1:18" x14ac:dyDescent="0.25">
      <c r="A17" t="s">
        <v>158</v>
      </c>
      <c r="B17" s="2">
        <v>45467</v>
      </c>
      <c r="C17" t="s">
        <v>131</v>
      </c>
      <c r="D17" t="s">
        <v>158</v>
      </c>
      <c r="I17">
        <v>0</v>
      </c>
      <c r="J17">
        <v>27</v>
      </c>
      <c r="K17">
        <v>139.5</v>
      </c>
      <c r="L17" t="s">
        <v>237</v>
      </c>
      <c r="M17">
        <v>0</v>
      </c>
      <c r="N17">
        <v>0</v>
      </c>
      <c r="O17">
        <v>0.9</v>
      </c>
      <c r="P17" t="s">
        <v>115</v>
      </c>
      <c r="Q17">
        <v>0</v>
      </c>
      <c r="R17" t="s">
        <v>135</v>
      </c>
    </row>
    <row r="18" spans="1:18" x14ac:dyDescent="0.25">
      <c r="A18" t="s">
        <v>156</v>
      </c>
      <c r="B18" s="2">
        <v>45467</v>
      </c>
      <c r="C18" t="s">
        <v>131</v>
      </c>
      <c r="D18" t="s">
        <v>156</v>
      </c>
      <c r="I18">
        <v>0</v>
      </c>
      <c r="J18">
        <v>27</v>
      </c>
      <c r="K18">
        <v>127.35</v>
      </c>
      <c r="L18" t="s">
        <v>238</v>
      </c>
      <c r="M18">
        <v>0</v>
      </c>
      <c r="N18">
        <v>0</v>
      </c>
      <c r="O18">
        <v>0.9</v>
      </c>
      <c r="P18" t="s">
        <v>115</v>
      </c>
      <c r="Q18">
        <v>0</v>
      </c>
      <c r="R18" t="s">
        <v>135</v>
      </c>
    </row>
    <row r="19" spans="1:18" x14ac:dyDescent="0.25">
      <c r="A19" t="s">
        <v>158</v>
      </c>
      <c r="B19" s="2">
        <v>45468</v>
      </c>
      <c r="C19" t="s">
        <v>131</v>
      </c>
      <c r="D19" t="s">
        <v>158</v>
      </c>
      <c r="I19">
        <v>0</v>
      </c>
      <c r="J19">
        <v>27</v>
      </c>
      <c r="K19">
        <v>199.35</v>
      </c>
      <c r="L19" t="s">
        <v>239</v>
      </c>
      <c r="M19">
        <v>0</v>
      </c>
      <c r="N19">
        <v>0</v>
      </c>
      <c r="O19">
        <v>0.9</v>
      </c>
      <c r="P19" t="s">
        <v>115</v>
      </c>
      <c r="Q19">
        <v>0</v>
      </c>
      <c r="R19" t="s">
        <v>135</v>
      </c>
    </row>
    <row r="20" spans="1:18" x14ac:dyDescent="0.25">
      <c r="A20" t="s">
        <v>156</v>
      </c>
      <c r="B20" s="2">
        <v>45468</v>
      </c>
      <c r="C20" t="s">
        <v>131</v>
      </c>
      <c r="D20" t="s">
        <v>156</v>
      </c>
      <c r="I20">
        <v>0</v>
      </c>
      <c r="J20">
        <v>27</v>
      </c>
      <c r="K20">
        <v>132.30000000000001</v>
      </c>
      <c r="L20" t="s">
        <v>240</v>
      </c>
      <c r="M20">
        <v>0</v>
      </c>
      <c r="N20">
        <v>0</v>
      </c>
      <c r="O20">
        <v>0.9</v>
      </c>
      <c r="P20" t="s">
        <v>115</v>
      </c>
      <c r="Q20">
        <v>0</v>
      </c>
      <c r="R20" t="s">
        <v>135</v>
      </c>
    </row>
    <row r="21" spans="1:18" x14ac:dyDescent="0.25">
      <c r="A21" t="s">
        <v>158</v>
      </c>
      <c r="B21" s="2">
        <v>45469</v>
      </c>
      <c r="C21" t="s">
        <v>131</v>
      </c>
      <c r="D21" t="s">
        <v>158</v>
      </c>
      <c r="I21">
        <v>0</v>
      </c>
      <c r="J21">
        <v>27</v>
      </c>
      <c r="K21">
        <v>204.75</v>
      </c>
      <c r="L21" t="s">
        <v>241</v>
      </c>
      <c r="M21">
        <v>0</v>
      </c>
      <c r="N21">
        <v>0</v>
      </c>
      <c r="O21">
        <v>0.9</v>
      </c>
      <c r="P21" t="s">
        <v>115</v>
      </c>
      <c r="Q21">
        <v>0</v>
      </c>
      <c r="R21" t="s">
        <v>135</v>
      </c>
    </row>
    <row r="22" spans="1:18" x14ac:dyDescent="0.25">
      <c r="A22" t="s">
        <v>156</v>
      </c>
      <c r="B22" s="2">
        <v>45469</v>
      </c>
      <c r="C22" t="s">
        <v>131</v>
      </c>
      <c r="D22" t="s">
        <v>156</v>
      </c>
      <c r="I22">
        <v>0</v>
      </c>
      <c r="J22">
        <v>27</v>
      </c>
      <c r="K22">
        <v>181.8</v>
      </c>
      <c r="L22" t="s">
        <v>242</v>
      </c>
      <c r="M22">
        <v>0</v>
      </c>
      <c r="N22">
        <v>0</v>
      </c>
      <c r="O22">
        <v>0.9</v>
      </c>
      <c r="P22" t="s">
        <v>115</v>
      </c>
      <c r="Q22">
        <v>0</v>
      </c>
      <c r="R22" t="s">
        <v>135</v>
      </c>
    </row>
    <row r="23" spans="1:18" x14ac:dyDescent="0.25">
      <c r="A23" t="s">
        <v>158</v>
      </c>
      <c r="B23" s="2">
        <v>45470</v>
      </c>
      <c r="C23" t="s">
        <v>131</v>
      </c>
      <c r="D23" t="s">
        <v>158</v>
      </c>
      <c r="I23">
        <v>0</v>
      </c>
      <c r="J23">
        <v>27</v>
      </c>
      <c r="K23">
        <v>194.85</v>
      </c>
      <c r="L23" t="s">
        <v>243</v>
      </c>
      <c r="M23">
        <v>0</v>
      </c>
      <c r="N23">
        <v>0</v>
      </c>
      <c r="O23">
        <v>0.9</v>
      </c>
      <c r="P23" t="s">
        <v>115</v>
      </c>
      <c r="Q23">
        <v>0</v>
      </c>
      <c r="R23" t="s">
        <v>135</v>
      </c>
    </row>
    <row r="24" spans="1:18" x14ac:dyDescent="0.25">
      <c r="A24" t="s">
        <v>156</v>
      </c>
      <c r="B24" s="2">
        <v>45470</v>
      </c>
      <c r="C24" t="s">
        <v>131</v>
      </c>
      <c r="D24" t="s">
        <v>156</v>
      </c>
      <c r="I24">
        <v>0</v>
      </c>
      <c r="J24">
        <v>27</v>
      </c>
      <c r="K24">
        <v>58.95</v>
      </c>
      <c r="L24" t="s">
        <v>244</v>
      </c>
      <c r="M24">
        <v>0</v>
      </c>
      <c r="N24">
        <v>0</v>
      </c>
      <c r="O24">
        <v>0.9</v>
      </c>
      <c r="P24" t="s">
        <v>115</v>
      </c>
      <c r="Q24">
        <v>0</v>
      </c>
      <c r="R24" t="s">
        <v>135</v>
      </c>
    </row>
    <row r="25" spans="1:18" x14ac:dyDescent="0.25">
      <c r="A25" t="s">
        <v>158</v>
      </c>
      <c r="B25" s="2">
        <v>45471</v>
      </c>
      <c r="C25" t="s">
        <v>131</v>
      </c>
      <c r="D25" t="s">
        <v>158</v>
      </c>
      <c r="I25">
        <v>0</v>
      </c>
      <c r="J25">
        <v>27</v>
      </c>
      <c r="K25">
        <v>43.65</v>
      </c>
      <c r="L25" t="s">
        <v>245</v>
      </c>
      <c r="M25">
        <v>0</v>
      </c>
      <c r="N25">
        <v>0</v>
      </c>
      <c r="O25">
        <v>0.9</v>
      </c>
      <c r="P25" t="s">
        <v>115</v>
      </c>
      <c r="Q25">
        <v>0</v>
      </c>
      <c r="R25" t="s">
        <v>135</v>
      </c>
    </row>
    <row r="26" spans="1:18" x14ac:dyDescent="0.25">
      <c r="A26" t="s">
        <v>156</v>
      </c>
      <c r="B26" s="2">
        <v>45471</v>
      </c>
      <c r="C26" t="s">
        <v>131</v>
      </c>
      <c r="D26" t="s">
        <v>156</v>
      </c>
      <c r="I26">
        <v>0</v>
      </c>
      <c r="J26">
        <v>27</v>
      </c>
      <c r="K26">
        <v>267.3</v>
      </c>
      <c r="L26" t="s">
        <v>246</v>
      </c>
      <c r="M26">
        <v>0</v>
      </c>
      <c r="N26">
        <v>0</v>
      </c>
      <c r="O26">
        <v>0.9</v>
      </c>
      <c r="P26" t="s">
        <v>115</v>
      </c>
      <c r="Q26">
        <v>0</v>
      </c>
      <c r="R26" t="s">
        <v>135</v>
      </c>
    </row>
    <row r="27" spans="1:18" x14ac:dyDescent="0.25">
      <c r="A27" t="s">
        <v>141</v>
      </c>
      <c r="B27" s="2">
        <v>45460</v>
      </c>
      <c r="C27" t="s">
        <v>23</v>
      </c>
      <c r="D27" t="s">
        <v>141</v>
      </c>
      <c r="I27">
        <v>0</v>
      </c>
      <c r="J27">
        <v>33.1</v>
      </c>
      <c r="K27">
        <v>212.94</v>
      </c>
      <c r="L27" t="s">
        <v>247</v>
      </c>
      <c r="M27">
        <v>0</v>
      </c>
      <c r="N27">
        <v>0</v>
      </c>
      <c r="O27">
        <v>0.9</v>
      </c>
      <c r="P27" t="s">
        <v>114</v>
      </c>
      <c r="Q27">
        <v>0</v>
      </c>
      <c r="R27" t="s">
        <v>135</v>
      </c>
    </row>
    <row r="28" spans="1:18" x14ac:dyDescent="0.25">
      <c r="A28" t="s">
        <v>133</v>
      </c>
      <c r="B28" s="2">
        <v>45460</v>
      </c>
      <c r="C28" t="s">
        <v>23</v>
      </c>
      <c r="D28" t="s">
        <v>133</v>
      </c>
      <c r="I28">
        <v>0</v>
      </c>
      <c r="J28">
        <v>33.1</v>
      </c>
      <c r="K28">
        <v>173.22</v>
      </c>
      <c r="L28" t="s">
        <v>248</v>
      </c>
      <c r="M28">
        <v>0</v>
      </c>
      <c r="N28">
        <v>0</v>
      </c>
      <c r="O28">
        <v>0.9</v>
      </c>
      <c r="P28" t="s">
        <v>114</v>
      </c>
      <c r="Q28">
        <v>0</v>
      </c>
      <c r="R28" t="s">
        <v>135</v>
      </c>
    </row>
    <row r="29" spans="1:18" x14ac:dyDescent="0.25">
      <c r="A29" t="s">
        <v>152</v>
      </c>
      <c r="B29" s="2">
        <v>45460</v>
      </c>
      <c r="C29" t="s">
        <v>23</v>
      </c>
      <c r="D29" t="s">
        <v>152</v>
      </c>
      <c r="I29">
        <v>0</v>
      </c>
      <c r="J29">
        <v>33.1</v>
      </c>
      <c r="K29">
        <v>213.49</v>
      </c>
      <c r="L29" t="s">
        <v>249</v>
      </c>
      <c r="M29">
        <v>0</v>
      </c>
      <c r="N29">
        <v>0</v>
      </c>
      <c r="O29">
        <v>0.9</v>
      </c>
      <c r="P29" t="s">
        <v>114</v>
      </c>
      <c r="Q29">
        <v>0</v>
      </c>
      <c r="R29" t="s">
        <v>135</v>
      </c>
    </row>
    <row r="30" spans="1:18" x14ac:dyDescent="0.25">
      <c r="A30" t="s">
        <v>153</v>
      </c>
      <c r="B30" s="2">
        <v>45460</v>
      </c>
      <c r="C30" t="s">
        <v>23</v>
      </c>
      <c r="D30" t="s">
        <v>153</v>
      </c>
      <c r="I30">
        <v>0</v>
      </c>
      <c r="J30">
        <v>33.1</v>
      </c>
      <c r="K30">
        <v>184.26</v>
      </c>
      <c r="L30" t="s">
        <v>250</v>
      </c>
      <c r="M30">
        <v>0</v>
      </c>
      <c r="N30">
        <v>0</v>
      </c>
      <c r="O30">
        <v>0.9</v>
      </c>
      <c r="P30" t="s">
        <v>114</v>
      </c>
      <c r="Q30">
        <v>0</v>
      </c>
      <c r="R30" t="s">
        <v>135</v>
      </c>
    </row>
    <row r="31" spans="1:18" x14ac:dyDescent="0.25">
      <c r="A31" t="s">
        <v>26</v>
      </c>
      <c r="B31" s="2">
        <v>45460</v>
      </c>
      <c r="C31" t="s">
        <v>23</v>
      </c>
      <c r="D31" t="s">
        <v>26</v>
      </c>
      <c r="I31">
        <v>0</v>
      </c>
      <c r="J31">
        <v>33.1</v>
      </c>
      <c r="K31">
        <v>210.74</v>
      </c>
      <c r="L31" t="s">
        <v>251</v>
      </c>
      <c r="M31">
        <v>0</v>
      </c>
      <c r="N31">
        <v>0</v>
      </c>
      <c r="O31">
        <v>0.9</v>
      </c>
      <c r="P31" t="s">
        <v>114</v>
      </c>
      <c r="Q31">
        <v>0</v>
      </c>
      <c r="R31" t="s">
        <v>135</v>
      </c>
    </row>
    <row r="32" spans="1:18" x14ac:dyDescent="0.25">
      <c r="A32" t="s">
        <v>133</v>
      </c>
      <c r="B32" s="2">
        <v>45461</v>
      </c>
      <c r="C32" t="s">
        <v>23</v>
      </c>
      <c r="D32" t="s">
        <v>133</v>
      </c>
      <c r="I32">
        <v>0</v>
      </c>
      <c r="J32">
        <v>33.1</v>
      </c>
      <c r="K32">
        <v>109.78</v>
      </c>
      <c r="L32" t="s">
        <v>252</v>
      </c>
      <c r="M32">
        <v>0</v>
      </c>
      <c r="N32">
        <v>0</v>
      </c>
      <c r="O32">
        <v>0.9</v>
      </c>
      <c r="P32" t="s">
        <v>114</v>
      </c>
      <c r="Q32">
        <v>0</v>
      </c>
      <c r="R32" t="s">
        <v>135</v>
      </c>
    </row>
    <row r="33" spans="1:18" x14ac:dyDescent="0.25">
      <c r="A33" t="s">
        <v>152</v>
      </c>
      <c r="B33" s="2">
        <v>45461</v>
      </c>
      <c r="C33" t="s">
        <v>23</v>
      </c>
      <c r="D33" t="s">
        <v>152</v>
      </c>
      <c r="I33">
        <v>0</v>
      </c>
      <c r="J33">
        <v>33.1</v>
      </c>
      <c r="K33">
        <v>173.77</v>
      </c>
      <c r="L33" t="s">
        <v>253</v>
      </c>
      <c r="M33">
        <v>0</v>
      </c>
      <c r="N33">
        <v>0</v>
      </c>
      <c r="O33">
        <v>0.9</v>
      </c>
      <c r="P33" t="s">
        <v>114</v>
      </c>
      <c r="Q33">
        <v>0</v>
      </c>
      <c r="R33" t="s">
        <v>135</v>
      </c>
    </row>
    <row r="34" spans="1:18" x14ac:dyDescent="0.25">
      <c r="A34" t="s">
        <v>153</v>
      </c>
      <c r="B34" s="2">
        <v>45461</v>
      </c>
      <c r="C34" t="s">
        <v>23</v>
      </c>
      <c r="D34" t="s">
        <v>153</v>
      </c>
      <c r="I34">
        <v>0</v>
      </c>
      <c r="J34">
        <v>33.1</v>
      </c>
      <c r="K34">
        <v>141.78</v>
      </c>
      <c r="L34" t="s">
        <v>254</v>
      </c>
      <c r="M34">
        <v>0</v>
      </c>
      <c r="N34">
        <v>0</v>
      </c>
      <c r="O34">
        <v>0.9</v>
      </c>
      <c r="P34" t="s">
        <v>114</v>
      </c>
      <c r="Q34">
        <v>0</v>
      </c>
      <c r="R34" t="s">
        <v>135</v>
      </c>
    </row>
    <row r="35" spans="1:18" x14ac:dyDescent="0.25">
      <c r="A35" t="s">
        <v>26</v>
      </c>
      <c r="B35" s="2">
        <v>45461</v>
      </c>
      <c r="C35" t="s">
        <v>23</v>
      </c>
      <c r="D35" t="s">
        <v>26</v>
      </c>
      <c r="I35">
        <v>0</v>
      </c>
      <c r="J35">
        <v>33.1</v>
      </c>
      <c r="K35">
        <v>319.97000000000003</v>
      </c>
      <c r="L35" t="s">
        <v>255</v>
      </c>
      <c r="M35">
        <v>0</v>
      </c>
      <c r="N35">
        <v>0</v>
      </c>
      <c r="O35">
        <v>0.9</v>
      </c>
      <c r="P35" t="s">
        <v>114</v>
      </c>
      <c r="Q35">
        <v>0</v>
      </c>
      <c r="R35" t="s">
        <v>135</v>
      </c>
    </row>
    <row r="36" spans="1:18" x14ac:dyDescent="0.25">
      <c r="A36" t="s">
        <v>133</v>
      </c>
      <c r="B36" s="2">
        <v>45462</v>
      </c>
      <c r="C36" t="s">
        <v>23</v>
      </c>
      <c r="D36" t="s">
        <v>133</v>
      </c>
      <c r="I36">
        <v>0</v>
      </c>
      <c r="J36">
        <v>33.1</v>
      </c>
      <c r="K36">
        <v>207.43</v>
      </c>
      <c r="L36" t="s">
        <v>256</v>
      </c>
      <c r="M36">
        <v>0</v>
      </c>
      <c r="N36">
        <v>0</v>
      </c>
      <c r="O36">
        <v>0.9</v>
      </c>
      <c r="P36" t="s">
        <v>114</v>
      </c>
      <c r="Q36">
        <v>0</v>
      </c>
      <c r="R36" t="s">
        <v>135</v>
      </c>
    </row>
    <row r="37" spans="1:18" x14ac:dyDescent="0.25">
      <c r="A37" t="s">
        <v>129</v>
      </c>
      <c r="B37" s="2">
        <v>45462</v>
      </c>
      <c r="C37" t="s">
        <v>23</v>
      </c>
      <c r="D37" t="s">
        <v>129</v>
      </c>
      <c r="I37">
        <v>0</v>
      </c>
      <c r="J37">
        <v>33.1</v>
      </c>
      <c r="K37">
        <v>216.8</v>
      </c>
      <c r="L37" t="s">
        <v>257</v>
      </c>
      <c r="M37">
        <v>0</v>
      </c>
      <c r="N37">
        <v>0</v>
      </c>
      <c r="O37">
        <v>0.9</v>
      </c>
      <c r="P37" t="s">
        <v>114</v>
      </c>
      <c r="Q37">
        <v>0</v>
      </c>
      <c r="R37" t="s">
        <v>135</v>
      </c>
    </row>
    <row r="38" spans="1:18" x14ac:dyDescent="0.25">
      <c r="A38" t="s">
        <v>153</v>
      </c>
      <c r="B38" s="2">
        <v>45462</v>
      </c>
      <c r="C38" t="s">
        <v>23</v>
      </c>
      <c r="D38" t="s">
        <v>153</v>
      </c>
      <c r="I38">
        <v>0</v>
      </c>
      <c r="J38">
        <v>33.1</v>
      </c>
      <c r="K38">
        <v>203.01</v>
      </c>
      <c r="L38" t="s">
        <v>258</v>
      </c>
      <c r="M38">
        <v>0</v>
      </c>
      <c r="N38">
        <v>0</v>
      </c>
      <c r="O38">
        <v>0.9</v>
      </c>
      <c r="P38" t="s">
        <v>114</v>
      </c>
      <c r="Q38">
        <v>0</v>
      </c>
      <c r="R38" t="s">
        <v>135</v>
      </c>
    </row>
    <row r="39" spans="1:18" x14ac:dyDescent="0.25">
      <c r="A39" t="s">
        <v>26</v>
      </c>
      <c r="B39" s="2">
        <v>45462</v>
      </c>
      <c r="C39" t="s">
        <v>23</v>
      </c>
      <c r="D39" t="s">
        <v>26</v>
      </c>
      <c r="I39">
        <v>0</v>
      </c>
      <c r="J39">
        <v>33.1</v>
      </c>
      <c r="K39">
        <v>337.62</v>
      </c>
      <c r="L39" t="s">
        <v>259</v>
      </c>
      <c r="M39">
        <v>0</v>
      </c>
      <c r="N39">
        <v>0</v>
      </c>
      <c r="O39">
        <v>0.9</v>
      </c>
      <c r="P39" t="s">
        <v>114</v>
      </c>
      <c r="Q39">
        <v>0</v>
      </c>
      <c r="R39" t="s">
        <v>135</v>
      </c>
    </row>
    <row r="40" spans="1:18" x14ac:dyDescent="0.25">
      <c r="A40" t="s">
        <v>133</v>
      </c>
      <c r="B40" s="2">
        <v>45463</v>
      </c>
      <c r="C40" t="s">
        <v>23</v>
      </c>
      <c r="D40" t="s">
        <v>133</v>
      </c>
      <c r="I40">
        <v>0</v>
      </c>
      <c r="J40">
        <v>33.1</v>
      </c>
      <c r="K40">
        <v>63.99</v>
      </c>
      <c r="L40" t="s">
        <v>260</v>
      </c>
      <c r="M40">
        <v>0</v>
      </c>
      <c r="N40">
        <v>0</v>
      </c>
      <c r="O40">
        <v>0.9</v>
      </c>
      <c r="P40" t="s">
        <v>114</v>
      </c>
      <c r="Q40">
        <v>0</v>
      </c>
      <c r="R40" t="s">
        <v>135</v>
      </c>
    </row>
    <row r="41" spans="1:18" x14ac:dyDescent="0.25">
      <c r="A41" t="s">
        <v>152</v>
      </c>
      <c r="B41" s="2">
        <v>45463</v>
      </c>
      <c r="C41" t="s">
        <v>23</v>
      </c>
      <c r="D41" t="s">
        <v>152</v>
      </c>
      <c r="I41">
        <v>0</v>
      </c>
      <c r="J41">
        <v>33.1</v>
      </c>
      <c r="K41">
        <v>153.36000000000001</v>
      </c>
      <c r="L41" t="s">
        <v>261</v>
      </c>
      <c r="M41">
        <v>0</v>
      </c>
      <c r="N41">
        <v>0</v>
      </c>
      <c r="O41">
        <v>0.9</v>
      </c>
      <c r="P41" t="s">
        <v>114</v>
      </c>
      <c r="Q41">
        <v>0</v>
      </c>
      <c r="R41" t="s">
        <v>135</v>
      </c>
    </row>
    <row r="42" spans="1:18" x14ac:dyDescent="0.25">
      <c r="A42" t="s">
        <v>129</v>
      </c>
      <c r="B42" s="2">
        <v>45463</v>
      </c>
      <c r="C42" t="s">
        <v>23</v>
      </c>
      <c r="D42" t="s">
        <v>129</v>
      </c>
      <c r="I42">
        <v>0</v>
      </c>
      <c r="J42">
        <v>33.1</v>
      </c>
      <c r="K42">
        <v>550.01</v>
      </c>
      <c r="L42" t="s">
        <v>262</v>
      </c>
      <c r="M42">
        <v>0</v>
      </c>
      <c r="N42">
        <v>0</v>
      </c>
      <c r="O42">
        <v>0.9</v>
      </c>
      <c r="P42" t="s">
        <v>114</v>
      </c>
      <c r="Q42">
        <v>0</v>
      </c>
      <c r="R42" t="s">
        <v>135</v>
      </c>
    </row>
    <row r="43" spans="1:18" x14ac:dyDescent="0.25">
      <c r="A43" t="s">
        <v>153</v>
      </c>
      <c r="B43" s="2">
        <v>45463</v>
      </c>
      <c r="C43" t="s">
        <v>23</v>
      </c>
      <c r="D43" t="s">
        <v>153</v>
      </c>
      <c r="I43">
        <v>0</v>
      </c>
      <c r="J43">
        <v>33.1</v>
      </c>
      <c r="K43">
        <v>185.91</v>
      </c>
      <c r="L43" t="s">
        <v>263</v>
      </c>
      <c r="M43">
        <v>0</v>
      </c>
      <c r="N43">
        <v>0</v>
      </c>
      <c r="O43">
        <v>0.9</v>
      </c>
      <c r="P43" t="s">
        <v>114</v>
      </c>
      <c r="Q43">
        <v>0</v>
      </c>
      <c r="R43" t="s">
        <v>135</v>
      </c>
    </row>
    <row r="44" spans="1:18" x14ac:dyDescent="0.25">
      <c r="A44" t="s">
        <v>133</v>
      </c>
      <c r="B44" s="2">
        <v>45464</v>
      </c>
      <c r="C44" t="s">
        <v>23</v>
      </c>
      <c r="D44" t="s">
        <v>133</v>
      </c>
      <c r="I44">
        <v>0</v>
      </c>
      <c r="J44">
        <v>33.1</v>
      </c>
      <c r="K44">
        <v>164.95</v>
      </c>
      <c r="L44" t="s">
        <v>264</v>
      </c>
      <c r="M44">
        <v>0</v>
      </c>
      <c r="N44">
        <v>0</v>
      </c>
      <c r="O44">
        <v>0.9</v>
      </c>
      <c r="P44" t="s">
        <v>114</v>
      </c>
      <c r="Q44">
        <v>0</v>
      </c>
      <c r="R44" t="s">
        <v>135</v>
      </c>
    </row>
    <row r="45" spans="1:18" x14ac:dyDescent="0.25">
      <c r="A45" t="s">
        <v>152</v>
      </c>
      <c r="B45" s="2">
        <v>45464</v>
      </c>
      <c r="C45" t="s">
        <v>23</v>
      </c>
      <c r="D45" t="s">
        <v>152</v>
      </c>
      <c r="I45">
        <v>0</v>
      </c>
      <c r="J45">
        <v>33.1</v>
      </c>
      <c r="K45">
        <v>162.19</v>
      </c>
      <c r="L45" t="s">
        <v>265</v>
      </c>
      <c r="M45">
        <v>0</v>
      </c>
      <c r="N45">
        <v>0</v>
      </c>
      <c r="O45">
        <v>0.9</v>
      </c>
      <c r="P45" t="s">
        <v>114</v>
      </c>
      <c r="Q45">
        <v>0</v>
      </c>
      <c r="R45" t="s">
        <v>135</v>
      </c>
    </row>
    <row r="46" spans="1:18" x14ac:dyDescent="0.25">
      <c r="A46" t="s">
        <v>129</v>
      </c>
      <c r="B46" s="2">
        <v>45464</v>
      </c>
      <c r="C46" t="s">
        <v>23</v>
      </c>
      <c r="D46" t="s">
        <v>129</v>
      </c>
      <c r="I46">
        <v>0</v>
      </c>
      <c r="J46">
        <v>33.1</v>
      </c>
      <c r="K46">
        <v>141.78</v>
      </c>
      <c r="L46" t="s">
        <v>266</v>
      </c>
      <c r="M46">
        <v>0</v>
      </c>
      <c r="N46">
        <v>0</v>
      </c>
      <c r="O46">
        <v>0.9</v>
      </c>
      <c r="P46" t="s">
        <v>114</v>
      </c>
      <c r="Q46">
        <v>0</v>
      </c>
      <c r="R46" t="s">
        <v>135</v>
      </c>
    </row>
    <row r="47" spans="1:18" x14ac:dyDescent="0.25">
      <c r="A47" t="s">
        <v>153</v>
      </c>
      <c r="B47" s="2">
        <v>45464</v>
      </c>
      <c r="C47" t="s">
        <v>23</v>
      </c>
      <c r="D47" t="s">
        <v>153</v>
      </c>
      <c r="I47">
        <v>0</v>
      </c>
      <c r="J47">
        <v>33.1</v>
      </c>
      <c r="K47">
        <v>218.46</v>
      </c>
      <c r="L47" t="s">
        <v>267</v>
      </c>
      <c r="M47">
        <v>0</v>
      </c>
      <c r="N47">
        <v>0</v>
      </c>
      <c r="O47">
        <v>0.9</v>
      </c>
      <c r="P47" t="s">
        <v>114</v>
      </c>
      <c r="Q47">
        <v>0</v>
      </c>
      <c r="R47" t="s">
        <v>135</v>
      </c>
    </row>
    <row r="48" spans="1:18" x14ac:dyDescent="0.25">
      <c r="A48" t="s">
        <v>26</v>
      </c>
      <c r="B48" s="2">
        <v>45464</v>
      </c>
      <c r="C48" t="s">
        <v>23</v>
      </c>
      <c r="D48" t="s">
        <v>26</v>
      </c>
      <c r="I48">
        <v>0</v>
      </c>
      <c r="J48">
        <v>33.1</v>
      </c>
      <c r="K48">
        <v>275.83</v>
      </c>
      <c r="L48" t="s">
        <v>268</v>
      </c>
      <c r="M48">
        <v>0</v>
      </c>
      <c r="N48">
        <v>0</v>
      </c>
      <c r="O48">
        <v>0.9</v>
      </c>
      <c r="P48" t="s">
        <v>114</v>
      </c>
      <c r="Q48">
        <v>0</v>
      </c>
      <c r="R48" t="s">
        <v>135</v>
      </c>
    </row>
    <row r="49" spans="1:18" x14ac:dyDescent="0.25">
      <c r="A49" t="s">
        <v>129</v>
      </c>
      <c r="B49" s="2">
        <v>45465</v>
      </c>
      <c r="C49" t="s">
        <v>23</v>
      </c>
      <c r="D49" t="s">
        <v>129</v>
      </c>
      <c r="I49">
        <v>0</v>
      </c>
      <c r="J49">
        <v>33.1</v>
      </c>
      <c r="K49">
        <v>146.19</v>
      </c>
      <c r="L49" t="s">
        <v>269</v>
      </c>
      <c r="M49">
        <v>0</v>
      </c>
      <c r="N49">
        <v>0</v>
      </c>
      <c r="O49">
        <v>0.9</v>
      </c>
      <c r="P49" t="s">
        <v>114</v>
      </c>
      <c r="Q49">
        <v>0</v>
      </c>
      <c r="R49" t="s">
        <v>135</v>
      </c>
    </row>
    <row r="50" spans="1:18" x14ac:dyDescent="0.25">
      <c r="A50" t="s">
        <v>26</v>
      </c>
      <c r="B50" s="2">
        <v>45465</v>
      </c>
      <c r="C50" t="s">
        <v>23</v>
      </c>
      <c r="D50" t="s">
        <v>26</v>
      </c>
      <c r="I50">
        <v>0</v>
      </c>
      <c r="J50">
        <v>33.1</v>
      </c>
      <c r="K50">
        <v>345.89</v>
      </c>
      <c r="L50" t="s">
        <v>270</v>
      </c>
      <c r="M50">
        <v>0</v>
      </c>
      <c r="N50">
        <v>0</v>
      </c>
      <c r="O50">
        <v>0.9</v>
      </c>
      <c r="P50" t="s">
        <v>114</v>
      </c>
      <c r="Q50">
        <v>0</v>
      </c>
      <c r="R50" t="s">
        <v>135</v>
      </c>
    </row>
    <row r="51" spans="1:18" x14ac:dyDescent="0.25">
      <c r="A51" t="s">
        <v>24</v>
      </c>
      <c r="B51" s="2">
        <v>45467</v>
      </c>
      <c r="C51" t="s">
        <v>23</v>
      </c>
      <c r="D51" t="s">
        <v>24</v>
      </c>
      <c r="I51">
        <v>0</v>
      </c>
      <c r="J51">
        <v>33.1</v>
      </c>
      <c r="K51">
        <v>216.8</v>
      </c>
      <c r="L51" t="s">
        <v>271</v>
      </c>
      <c r="M51">
        <v>0</v>
      </c>
      <c r="N51">
        <v>0</v>
      </c>
      <c r="O51">
        <v>0.9</v>
      </c>
      <c r="P51" t="s">
        <v>115</v>
      </c>
      <c r="Q51">
        <v>0</v>
      </c>
      <c r="R51" t="s">
        <v>135</v>
      </c>
    </row>
    <row r="52" spans="1:18" x14ac:dyDescent="0.25">
      <c r="A52" t="s">
        <v>133</v>
      </c>
      <c r="B52" s="2">
        <v>45467</v>
      </c>
      <c r="C52" t="s">
        <v>23</v>
      </c>
      <c r="D52" t="s">
        <v>133</v>
      </c>
      <c r="I52">
        <v>0</v>
      </c>
      <c r="J52">
        <v>33.1</v>
      </c>
      <c r="K52">
        <v>66.75</v>
      </c>
      <c r="L52" t="s">
        <v>272</v>
      </c>
      <c r="M52">
        <v>0</v>
      </c>
      <c r="N52">
        <v>0</v>
      </c>
      <c r="O52">
        <v>0.9</v>
      </c>
      <c r="P52" t="s">
        <v>115</v>
      </c>
      <c r="Q52">
        <v>0</v>
      </c>
      <c r="R52" t="s">
        <v>135</v>
      </c>
    </row>
    <row r="53" spans="1:18" x14ac:dyDescent="0.25">
      <c r="A53" t="s">
        <v>152</v>
      </c>
      <c r="B53" s="2">
        <v>45467</v>
      </c>
      <c r="C53" t="s">
        <v>23</v>
      </c>
      <c r="D53" t="s">
        <v>152</v>
      </c>
      <c r="I53">
        <v>0</v>
      </c>
      <c r="J53">
        <v>33.1</v>
      </c>
      <c r="K53">
        <v>210.74</v>
      </c>
      <c r="L53" t="s">
        <v>273</v>
      </c>
      <c r="M53">
        <v>0</v>
      </c>
      <c r="N53">
        <v>0</v>
      </c>
      <c r="O53">
        <v>0.9</v>
      </c>
      <c r="P53" t="s">
        <v>115</v>
      </c>
      <c r="Q53">
        <v>0</v>
      </c>
      <c r="R53" t="s">
        <v>135</v>
      </c>
    </row>
    <row r="54" spans="1:18" x14ac:dyDescent="0.25">
      <c r="A54" t="s">
        <v>133</v>
      </c>
      <c r="B54" s="2">
        <v>45468</v>
      </c>
      <c r="C54" t="s">
        <v>23</v>
      </c>
      <c r="D54" t="s">
        <v>133</v>
      </c>
      <c r="I54">
        <v>0</v>
      </c>
      <c r="J54">
        <v>33.1</v>
      </c>
      <c r="K54">
        <v>12.14</v>
      </c>
      <c r="L54" t="s">
        <v>274</v>
      </c>
      <c r="M54">
        <v>0</v>
      </c>
      <c r="N54">
        <v>0</v>
      </c>
      <c r="O54">
        <v>0.9</v>
      </c>
      <c r="P54" t="s">
        <v>115</v>
      </c>
      <c r="Q54">
        <v>0</v>
      </c>
      <c r="R54" t="s">
        <v>135</v>
      </c>
    </row>
    <row r="55" spans="1:18" x14ac:dyDescent="0.25">
      <c r="A55" t="s">
        <v>152</v>
      </c>
      <c r="B55" s="2">
        <v>45468</v>
      </c>
      <c r="C55" t="s">
        <v>23</v>
      </c>
      <c r="D55" t="s">
        <v>152</v>
      </c>
      <c r="I55">
        <v>0</v>
      </c>
      <c r="J55">
        <v>33.1</v>
      </c>
      <c r="K55">
        <v>257.08</v>
      </c>
      <c r="L55" t="s">
        <v>275</v>
      </c>
      <c r="M55">
        <v>0</v>
      </c>
      <c r="N55">
        <v>0</v>
      </c>
      <c r="O55">
        <v>0.9</v>
      </c>
      <c r="P55" t="s">
        <v>115</v>
      </c>
      <c r="Q55">
        <v>0</v>
      </c>
      <c r="R55" t="s">
        <v>135</v>
      </c>
    </row>
    <row r="56" spans="1:18" x14ac:dyDescent="0.25">
      <c r="A56" t="s">
        <v>129</v>
      </c>
      <c r="B56" s="2">
        <v>45468</v>
      </c>
      <c r="C56" t="s">
        <v>23</v>
      </c>
      <c r="D56" t="s">
        <v>129</v>
      </c>
      <c r="I56">
        <v>0</v>
      </c>
      <c r="J56">
        <v>33.1</v>
      </c>
      <c r="K56">
        <v>187.57</v>
      </c>
      <c r="L56" t="s">
        <v>276</v>
      </c>
      <c r="M56">
        <v>0</v>
      </c>
      <c r="N56">
        <v>0</v>
      </c>
      <c r="O56">
        <v>0.9</v>
      </c>
      <c r="P56" t="s">
        <v>115</v>
      </c>
      <c r="Q56">
        <v>0</v>
      </c>
      <c r="R56" t="s">
        <v>135</v>
      </c>
    </row>
    <row r="57" spans="1:18" x14ac:dyDescent="0.25">
      <c r="A57" t="s">
        <v>25</v>
      </c>
      <c r="B57" s="2">
        <v>45468</v>
      </c>
      <c r="C57" t="s">
        <v>23</v>
      </c>
      <c r="D57" t="s">
        <v>25</v>
      </c>
      <c r="I57">
        <v>0</v>
      </c>
      <c r="J57">
        <v>33.1</v>
      </c>
      <c r="K57">
        <v>124.68</v>
      </c>
      <c r="L57" t="s">
        <v>277</v>
      </c>
      <c r="M57">
        <v>0</v>
      </c>
      <c r="N57">
        <v>0</v>
      </c>
      <c r="O57">
        <v>0.9</v>
      </c>
      <c r="P57" t="s">
        <v>115</v>
      </c>
      <c r="Q57">
        <v>0</v>
      </c>
      <c r="R57" t="s">
        <v>135</v>
      </c>
    </row>
    <row r="58" spans="1:18" x14ac:dyDescent="0.25">
      <c r="A58" t="s">
        <v>133</v>
      </c>
      <c r="B58" s="2">
        <v>45469</v>
      </c>
      <c r="C58" t="s">
        <v>23</v>
      </c>
      <c r="D58" t="s">
        <v>133</v>
      </c>
      <c r="I58">
        <v>0</v>
      </c>
      <c r="J58">
        <v>33.1</v>
      </c>
      <c r="K58">
        <v>188.12</v>
      </c>
      <c r="L58" t="s">
        <v>278</v>
      </c>
      <c r="M58">
        <v>0</v>
      </c>
      <c r="N58">
        <v>0</v>
      </c>
      <c r="O58">
        <v>0.9</v>
      </c>
      <c r="P58" t="s">
        <v>115</v>
      </c>
      <c r="Q58">
        <v>0</v>
      </c>
      <c r="R58" t="s">
        <v>135</v>
      </c>
    </row>
    <row r="59" spans="1:18" x14ac:dyDescent="0.25">
      <c r="A59" t="s">
        <v>129</v>
      </c>
      <c r="B59" s="2">
        <v>45469</v>
      </c>
      <c r="C59" t="s">
        <v>23</v>
      </c>
      <c r="D59" t="s">
        <v>129</v>
      </c>
      <c r="I59">
        <v>0</v>
      </c>
      <c r="J59">
        <v>33.1</v>
      </c>
      <c r="K59">
        <v>186.46</v>
      </c>
      <c r="L59" t="s">
        <v>279</v>
      </c>
      <c r="M59">
        <v>0</v>
      </c>
      <c r="N59">
        <v>0</v>
      </c>
      <c r="O59">
        <v>0.9</v>
      </c>
      <c r="P59" t="s">
        <v>115</v>
      </c>
      <c r="Q59">
        <v>0</v>
      </c>
      <c r="R59" t="s">
        <v>135</v>
      </c>
    </row>
    <row r="60" spans="1:18" x14ac:dyDescent="0.25">
      <c r="A60" t="s">
        <v>25</v>
      </c>
      <c r="B60" s="2">
        <v>45469</v>
      </c>
      <c r="C60" t="s">
        <v>23</v>
      </c>
      <c r="D60" t="s">
        <v>25</v>
      </c>
      <c r="I60">
        <v>0</v>
      </c>
      <c r="J60">
        <v>33.1</v>
      </c>
      <c r="K60">
        <v>103.16</v>
      </c>
      <c r="L60" t="s">
        <v>280</v>
      </c>
      <c r="M60">
        <v>0</v>
      </c>
      <c r="N60">
        <v>0</v>
      </c>
      <c r="O60">
        <v>0.9</v>
      </c>
      <c r="P60" t="s">
        <v>115</v>
      </c>
      <c r="Q60">
        <v>0</v>
      </c>
      <c r="R60" t="s">
        <v>135</v>
      </c>
    </row>
    <row r="61" spans="1:18" x14ac:dyDescent="0.25">
      <c r="A61" t="s">
        <v>26</v>
      </c>
      <c r="B61" s="2">
        <v>45469</v>
      </c>
      <c r="C61" t="s">
        <v>23</v>
      </c>
      <c r="D61" t="s">
        <v>26</v>
      </c>
      <c r="I61">
        <v>0</v>
      </c>
      <c r="J61">
        <v>33.1</v>
      </c>
      <c r="K61">
        <v>188.12</v>
      </c>
      <c r="L61" t="s">
        <v>281</v>
      </c>
      <c r="M61">
        <v>0</v>
      </c>
      <c r="N61">
        <v>0</v>
      </c>
      <c r="O61">
        <v>0.9</v>
      </c>
      <c r="P61" t="s">
        <v>115</v>
      </c>
      <c r="Q61">
        <v>0</v>
      </c>
      <c r="R61" t="s">
        <v>135</v>
      </c>
    </row>
    <row r="62" spans="1:18" x14ac:dyDescent="0.25">
      <c r="A62" t="s">
        <v>24</v>
      </c>
      <c r="B62" s="2">
        <v>45470</v>
      </c>
      <c r="C62" t="s">
        <v>23</v>
      </c>
      <c r="D62" t="s">
        <v>24</v>
      </c>
      <c r="I62">
        <v>0</v>
      </c>
      <c r="J62">
        <v>33.1</v>
      </c>
      <c r="K62">
        <v>197.5</v>
      </c>
      <c r="L62" t="s">
        <v>282</v>
      </c>
      <c r="M62">
        <v>0</v>
      </c>
      <c r="N62">
        <v>0</v>
      </c>
      <c r="O62">
        <v>0.9</v>
      </c>
      <c r="P62" t="s">
        <v>115</v>
      </c>
      <c r="Q62">
        <v>0</v>
      </c>
      <c r="R62" t="s">
        <v>135</v>
      </c>
    </row>
    <row r="63" spans="1:18" x14ac:dyDescent="0.25">
      <c r="A63" t="s">
        <v>133</v>
      </c>
      <c r="B63" s="2">
        <v>45470</v>
      </c>
      <c r="C63" t="s">
        <v>23</v>
      </c>
      <c r="D63" t="s">
        <v>133</v>
      </c>
      <c r="I63">
        <v>0</v>
      </c>
      <c r="J63">
        <v>33.1</v>
      </c>
      <c r="K63">
        <v>161.09</v>
      </c>
      <c r="L63" t="s">
        <v>283</v>
      </c>
      <c r="M63">
        <v>0</v>
      </c>
      <c r="N63">
        <v>0</v>
      </c>
      <c r="O63">
        <v>0.9</v>
      </c>
      <c r="P63" t="s">
        <v>115</v>
      </c>
      <c r="Q63">
        <v>0</v>
      </c>
      <c r="R63" t="s">
        <v>135</v>
      </c>
    </row>
    <row r="64" spans="1:18" x14ac:dyDescent="0.25">
      <c r="A64" t="s">
        <v>129</v>
      </c>
      <c r="B64" s="2">
        <v>45470</v>
      </c>
      <c r="C64" t="s">
        <v>23</v>
      </c>
      <c r="D64" t="s">
        <v>129</v>
      </c>
      <c r="I64">
        <v>0</v>
      </c>
      <c r="J64">
        <v>33.1</v>
      </c>
      <c r="K64">
        <v>223.42</v>
      </c>
      <c r="L64" t="s">
        <v>284</v>
      </c>
      <c r="M64">
        <v>0</v>
      </c>
      <c r="N64">
        <v>0</v>
      </c>
      <c r="O64">
        <v>0.9</v>
      </c>
      <c r="P64" t="s">
        <v>115</v>
      </c>
      <c r="Q64">
        <v>0</v>
      </c>
      <c r="R64" t="s">
        <v>135</v>
      </c>
    </row>
    <row r="65" spans="1:18" x14ac:dyDescent="0.25">
      <c r="A65" t="s">
        <v>25</v>
      </c>
      <c r="B65" s="2">
        <v>45470</v>
      </c>
      <c r="C65" t="s">
        <v>23</v>
      </c>
      <c r="D65" t="s">
        <v>25</v>
      </c>
      <c r="I65">
        <v>0</v>
      </c>
      <c r="J65">
        <v>33.1</v>
      </c>
      <c r="K65">
        <v>173.77</v>
      </c>
      <c r="L65" t="s">
        <v>285</v>
      </c>
      <c r="M65">
        <v>0</v>
      </c>
      <c r="N65">
        <v>0</v>
      </c>
      <c r="O65">
        <v>0.9</v>
      </c>
      <c r="P65" t="s">
        <v>115</v>
      </c>
      <c r="Q65">
        <v>0</v>
      </c>
      <c r="R65" t="s">
        <v>135</v>
      </c>
    </row>
    <row r="66" spans="1:18" x14ac:dyDescent="0.25">
      <c r="A66" t="s">
        <v>24</v>
      </c>
      <c r="B66" s="2">
        <v>45471</v>
      </c>
      <c r="C66" t="s">
        <v>23</v>
      </c>
      <c r="D66" t="s">
        <v>24</v>
      </c>
      <c r="I66">
        <v>0</v>
      </c>
      <c r="J66">
        <v>33.1</v>
      </c>
      <c r="K66">
        <v>174.33</v>
      </c>
      <c r="L66" t="s">
        <v>286</v>
      </c>
      <c r="M66">
        <v>0</v>
      </c>
      <c r="N66">
        <v>0</v>
      </c>
      <c r="O66">
        <v>0.9</v>
      </c>
      <c r="P66" t="s">
        <v>115</v>
      </c>
      <c r="Q66">
        <v>0</v>
      </c>
      <c r="R66" t="s">
        <v>135</v>
      </c>
    </row>
    <row r="67" spans="1:18" x14ac:dyDescent="0.25">
      <c r="A67" t="s">
        <v>133</v>
      </c>
      <c r="B67" s="2">
        <v>45471</v>
      </c>
      <c r="C67" t="s">
        <v>23</v>
      </c>
      <c r="D67" t="s">
        <v>133</v>
      </c>
      <c r="I67">
        <v>0</v>
      </c>
      <c r="J67">
        <v>33.1</v>
      </c>
      <c r="K67">
        <v>216.25</v>
      </c>
      <c r="L67" t="s">
        <v>287</v>
      </c>
      <c r="M67">
        <v>0</v>
      </c>
      <c r="N67">
        <v>0</v>
      </c>
      <c r="O67">
        <v>0.9</v>
      </c>
      <c r="P67" t="s">
        <v>115</v>
      </c>
      <c r="Q67">
        <v>0</v>
      </c>
      <c r="R67" t="s">
        <v>135</v>
      </c>
    </row>
    <row r="68" spans="1:18" x14ac:dyDescent="0.25">
      <c r="A68" t="s">
        <v>129</v>
      </c>
      <c r="B68" s="2">
        <v>45471</v>
      </c>
      <c r="C68" t="s">
        <v>23</v>
      </c>
      <c r="D68" t="s">
        <v>129</v>
      </c>
      <c r="I68">
        <v>0</v>
      </c>
      <c r="J68">
        <v>33.1</v>
      </c>
      <c r="K68">
        <v>55.72</v>
      </c>
      <c r="L68" t="s">
        <v>288</v>
      </c>
      <c r="M68">
        <v>0</v>
      </c>
      <c r="N68">
        <v>0</v>
      </c>
      <c r="O68">
        <v>0.9</v>
      </c>
      <c r="P68" t="s">
        <v>115</v>
      </c>
      <c r="Q68">
        <v>0</v>
      </c>
      <c r="R68" t="s">
        <v>135</v>
      </c>
    </row>
    <row r="69" spans="1:18" x14ac:dyDescent="0.25">
      <c r="A69" t="s">
        <v>25</v>
      </c>
      <c r="B69" s="2">
        <v>45471</v>
      </c>
      <c r="C69" t="s">
        <v>23</v>
      </c>
      <c r="D69" t="s">
        <v>25</v>
      </c>
      <c r="I69">
        <v>0</v>
      </c>
      <c r="J69">
        <v>33.1</v>
      </c>
      <c r="K69">
        <v>157.78</v>
      </c>
      <c r="L69" t="s">
        <v>289</v>
      </c>
      <c r="M69">
        <v>0</v>
      </c>
      <c r="N69">
        <v>0</v>
      </c>
      <c r="O69">
        <v>0.9</v>
      </c>
      <c r="P69" t="s">
        <v>115</v>
      </c>
      <c r="Q69">
        <v>0</v>
      </c>
      <c r="R69" t="s">
        <v>135</v>
      </c>
    </row>
    <row r="70" spans="1:18" x14ac:dyDescent="0.25">
      <c r="A70" t="s">
        <v>129</v>
      </c>
      <c r="B70" s="2">
        <v>45472</v>
      </c>
      <c r="C70" t="s">
        <v>23</v>
      </c>
      <c r="D70" t="s">
        <v>129</v>
      </c>
      <c r="I70">
        <v>0</v>
      </c>
      <c r="J70">
        <v>33.1</v>
      </c>
      <c r="K70">
        <v>209.63</v>
      </c>
      <c r="L70" t="s">
        <v>290</v>
      </c>
      <c r="M70">
        <v>0</v>
      </c>
      <c r="N70">
        <v>0</v>
      </c>
      <c r="O70">
        <v>0.9</v>
      </c>
      <c r="P70" t="s">
        <v>115</v>
      </c>
      <c r="Q70">
        <v>0</v>
      </c>
      <c r="R70" t="s">
        <v>135</v>
      </c>
    </row>
    <row r="71" spans="1:18" x14ac:dyDescent="0.25">
      <c r="A71" t="s">
        <v>26</v>
      </c>
      <c r="B71" s="2">
        <v>45472</v>
      </c>
      <c r="C71" t="s">
        <v>23</v>
      </c>
      <c r="D71" t="s">
        <v>26</v>
      </c>
      <c r="I71">
        <v>0</v>
      </c>
      <c r="J71">
        <v>33.1</v>
      </c>
      <c r="K71">
        <v>246.59</v>
      </c>
      <c r="L71" t="s">
        <v>291</v>
      </c>
      <c r="M71">
        <v>0</v>
      </c>
      <c r="N71">
        <v>0</v>
      </c>
      <c r="O71">
        <v>0.9</v>
      </c>
      <c r="P71" t="s">
        <v>115</v>
      </c>
      <c r="Q71">
        <v>0</v>
      </c>
      <c r="R71" t="s">
        <v>135</v>
      </c>
    </row>
    <row r="72" spans="1:18" x14ac:dyDescent="0.25">
      <c r="A72" t="s">
        <v>292</v>
      </c>
      <c r="B72" s="2">
        <v>45460</v>
      </c>
      <c r="C72" t="s">
        <v>151</v>
      </c>
      <c r="D72" t="s">
        <v>160</v>
      </c>
      <c r="E72" t="s">
        <v>142</v>
      </c>
      <c r="F72">
        <v>0</v>
      </c>
      <c r="G72">
        <v>2</v>
      </c>
      <c r="H72">
        <v>0</v>
      </c>
      <c r="I72">
        <v>35.08</v>
      </c>
      <c r="J72">
        <v>0</v>
      </c>
      <c r="K72">
        <v>0</v>
      </c>
      <c r="L72" t="s">
        <v>143</v>
      </c>
      <c r="M72">
        <v>35.08</v>
      </c>
      <c r="N72">
        <v>0</v>
      </c>
      <c r="O72">
        <v>0.9</v>
      </c>
      <c r="P72" t="s">
        <v>114</v>
      </c>
      <c r="Q72">
        <v>0</v>
      </c>
      <c r="R72" t="s">
        <v>144</v>
      </c>
    </row>
    <row r="73" spans="1:18" x14ac:dyDescent="0.25">
      <c r="A73" t="s">
        <v>293</v>
      </c>
      <c r="B73" s="2">
        <v>45460</v>
      </c>
      <c r="C73" t="s">
        <v>151</v>
      </c>
      <c r="D73" t="s">
        <v>160</v>
      </c>
      <c r="E73" t="s">
        <v>142</v>
      </c>
      <c r="F73">
        <v>0</v>
      </c>
      <c r="G73">
        <v>11</v>
      </c>
      <c r="H73">
        <v>0</v>
      </c>
      <c r="I73">
        <v>35.08</v>
      </c>
      <c r="J73">
        <v>0</v>
      </c>
      <c r="K73">
        <v>0</v>
      </c>
      <c r="L73" t="s">
        <v>143</v>
      </c>
      <c r="M73">
        <v>35.08</v>
      </c>
      <c r="N73">
        <v>0</v>
      </c>
      <c r="O73">
        <v>0.9</v>
      </c>
      <c r="P73" t="s">
        <v>114</v>
      </c>
      <c r="Q73">
        <v>0</v>
      </c>
      <c r="R73" t="s">
        <v>144</v>
      </c>
    </row>
    <row r="74" spans="1:18" x14ac:dyDescent="0.25">
      <c r="A74" t="s">
        <v>294</v>
      </c>
      <c r="B74" s="2">
        <v>45460</v>
      </c>
      <c r="C74" t="s">
        <v>151</v>
      </c>
      <c r="D74" t="s">
        <v>160</v>
      </c>
      <c r="E74" t="s">
        <v>142</v>
      </c>
      <c r="F74">
        <v>0</v>
      </c>
      <c r="G74">
        <v>13</v>
      </c>
      <c r="H74">
        <v>0</v>
      </c>
      <c r="I74">
        <v>35.08</v>
      </c>
      <c r="J74">
        <v>0</v>
      </c>
      <c r="K74">
        <v>0</v>
      </c>
      <c r="L74" t="s">
        <v>143</v>
      </c>
      <c r="M74">
        <v>35.08</v>
      </c>
      <c r="N74">
        <v>0</v>
      </c>
      <c r="O74">
        <v>0.9</v>
      </c>
      <c r="P74" t="s">
        <v>114</v>
      </c>
      <c r="Q74">
        <v>0</v>
      </c>
      <c r="R74" t="s">
        <v>144</v>
      </c>
    </row>
    <row r="75" spans="1:18" x14ac:dyDescent="0.25">
      <c r="A75" t="s">
        <v>295</v>
      </c>
      <c r="B75" s="2">
        <v>45460</v>
      </c>
      <c r="C75" t="s">
        <v>151</v>
      </c>
      <c r="D75" t="s">
        <v>160</v>
      </c>
      <c r="E75" t="s">
        <v>142</v>
      </c>
      <c r="F75">
        <v>0</v>
      </c>
      <c r="G75">
        <v>10</v>
      </c>
      <c r="H75">
        <v>0</v>
      </c>
      <c r="I75">
        <v>35.08</v>
      </c>
      <c r="J75">
        <v>0</v>
      </c>
      <c r="K75">
        <v>0</v>
      </c>
      <c r="L75" t="s">
        <v>143</v>
      </c>
      <c r="M75">
        <v>35.08</v>
      </c>
      <c r="N75">
        <v>0</v>
      </c>
      <c r="O75">
        <v>0.9</v>
      </c>
      <c r="P75" t="s">
        <v>114</v>
      </c>
      <c r="Q75">
        <v>0</v>
      </c>
      <c r="R75" t="s">
        <v>144</v>
      </c>
    </row>
    <row r="76" spans="1:18" x14ac:dyDescent="0.25">
      <c r="A76" t="s">
        <v>296</v>
      </c>
      <c r="B76" s="2">
        <v>45460</v>
      </c>
      <c r="C76" t="s">
        <v>151</v>
      </c>
      <c r="D76" t="s">
        <v>160</v>
      </c>
      <c r="E76" t="s">
        <v>142</v>
      </c>
      <c r="F76">
        <v>0</v>
      </c>
      <c r="G76">
        <v>3</v>
      </c>
      <c r="H76">
        <v>0</v>
      </c>
      <c r="I76">
        <v>35.08</v>
      </c>
      <c r="J76">
        <v>0</v>
      </c>
      <c r="K76">
        <v>0</v>
      </c>
      <c r="L76" t="s">
        <v>143</v>
      </c>
      <c r="M76">
        <v>35.08</v>
      </c>
      <c r="N76">
        <v>0</v>
      </c>
      <c r="O76">
        <v>0.9</v>
      </c>
      <c r="P76" t="s">
        <v>114</v>
      </c>
      <c r="Q76">
        <v>0</v>
      </c>
      <c r="R76" t="s">
        <v>144</v>
      </c>
    </row>
    <row r="77" spans="1:18" x14ac:dyDescent="0.25">
      <c r="A77" t="s">
        <v>297</v>
      </c>
      <c r="B77" s="2">
        <v>45462</v>
      </c>
      <c r="C77" t="s">
        <v>151</v>
      </c>
      <c r="D77" t="s">
        <v>160</v>
      </c>
      <c r="E77" t="s">
        <v>142</v>
      </c>
      <c r="F77">
        <v>0</v>
      </c>
      <c r="G77">
        <v>18</v>
      </c>
      <c r="H77">
        <v>0</v>
      </c>
      <c r="I77">
        <v>35.08</v>
      </c>
      <c r="J77">
        <v>0</v>
      </c>
      <c r="K77">
        <v>0</v>
      </c>
      <c r="L77" t="s">
        <v>143</v>
      </c>
      <c r="M77">
        <v>35.08</v>
      </c>
      <c r="N77">
        <v>0</v>
      </c>
      <c r="O77">
        <v>0.9</v>
      </c>
      <c r="P77" t="s">
        <v>114</v>
      </c>
      <c r="Q77">
        <v>0</v>
      </c>
      <c r="R77" t="s">
        <v>144</v>
      </c>
    </row>
    <row r="78" spans="1:18" x14ac:dyDescent="0.25">
      <c r="A78" t="s">
        <v>298</v>
      </c>
      <c r="B78" s="2">
        <v>45463</v>
      </c>
      <c r="C78" t="s">
        <v>151</v>
      </c>
      <c r="D78" t="s">
        <v>160</v>
      </c>
      <c r="E78" t="s">
        <v>142</v>
      </c>
      <c r="F78">
        <v>0</v>
      </c>
      <c r="G78">
        <v>11</v>
      </c>
      <c r="H78">
        <v>0</v>
      </c>
      <c r="I78">
        <v>35.08</v>
      </c>
      <c r="J78">
        <v>0</v>
      </c>
      <c r="K78">
        <v>0</v>
      </c>
      <c r="L78" t="s">
        <v>143</v>
      </c>
      <c r="M78">
        <v>35.08</v>
      </c>
      <c r="N78">
        <v>0</v>
      </c>
      <c r="O78">
        <v>0.9</v>
      </c>
      <c r="P78" t="s">
        <v>114</v>
      </c>
      <c r="Q78">
        <v>0</v>
      </c>
      <c r="R78" t="s">
        <v>144</v>
      </c>
    </row>
    <row r="79" spans="1:18" x14ac:dyDescent="0.25">
      <c r="A79" t="s">
        <v>299</v>
      </c>
      <c r="B79" s="2">
        <v>45463</v>
      </c>
      <c r="C79" t="s">
        <v>151</v>
      </c>
      <c r="D79" t="s">
        <v>160</v>
      </c>
      <c r="E79" t="s">
        <v>142</v>
      </c>
      <c r="F79">
        <v>0</v>
      </c>
      <c r="G79">
        <v>1</v>
      </c>
      <c r="H79">
        <v>0</v>
      </c>
      <c r="I79">
        <v>35.08</v>
      </c>
      <c r="J79">
        <v>0</v>
      </c>
      <c r="K79">
        <v>0</v>
      </c>
      <c r="L79" t="s">
        <v>143</v>
      </c>
      <c r="M79">
        <v>35.08</v>
      </c>
      <c r="N79">
        <v>0</v>
      </c>
      <c r="O79">
        <v>0.9</v>
      </c>
      <c r="P79" t="s">
        <v>114</v>
      </c>
      <c r="Q79">
        <v>0</v>
      </c>
      <c r="R79" t="s">
        <v>144</v>
      </c>
    </row>
    <row r="80" spans="1:18" x14ac:dyDescent="0.25">
      <c r="A80" t="s">
        <v>300</v>
      </c>
      <c r="B80" s="2">
        <v>45463</v>
      </c>
      <c r="C80" t="s">
        <v>151</v>
      </c>
      <c r="D80" t="s">
        <v>160</v>
      </c>
      <c r="E80" t="s">
        <v>142</v>
      </c>
      <c r="F80">
        <v>0</v>
      </c>
      <c r="G80">
        <v>1</v>
      </c>
      <c r="H80">
        <v>0</v>
      </c>
      <c r="I80">
        <v>35.08</v>
      </c>
      <c r="J80">
        <v>0</v>
      </c>
      <c r="K80">
        <v>0</v>
      </c>
      <c r="L80" t="s">
        <v>143</v>
      </c>
      <c r="M80">
        <v>35.08</v>
      </c>
      <c r="N80">
        <v>0</v>
      </c>
      <c r="O80">
        <v>0.9</v>
      </c>
      <c r="P80" t="s">
        <v>114</v>
      </c>
      <c r="Q80">
        <v>0</v>
      </c>
      <c r="R80" t="s">
        <v>144</v>
      </c>
    </row>
    <row r="81" spans="1:18" x14ac:dyDescent="0.25">
      <c r="A81" t="s">
        <v>301</v>
      </c>
      <c r="B81" s="2">
        <v>45463</v>
      </c>
      <c r="C81" t="s">
        <v>151</v>
      </c>
      <c r="D81" t="s">
        <v>160</v>
      </c>
      <c r="E81" t="s">
        <v>142</v>
      </c>
      <c r="F81">
        <v>0</v>
      </c>
      <c r="G81">
        <v>3</v>
      </c>
      <c r="H81">
        <v>0</v>
      </c>
      <c r="I81">
        <v>35.08</v>
      </c>
      <c r="J81">
        <v>0</v>
      </c>
      <c r="K81">
        <v>0</v>
      </c>
      <c r="L81" t="s">
        <v>143</v>
      </c>
      <c r="M81">
        <v>35.08</v>
      </c>
      <c r="N81">
        <v>0</v>
      </c>
      <c r="O81">
        <v>0.9</v>
      </c>
      <c r="P81" t="s">
        <v>114</v>
      </c>
      <c r="Q81">
        <v>0</v>
      </c>
      <c r="R81" t="s">
        <v>144</v>
      </c>
    </row>
    <row r="82" spans="1:18" x14ac:dyDescent="0.25">
      <c r="A82" t="s">
        <v>302</v>
      </c>
      <c r="B82" s="2">
        <v>45463</v>
      </c>
      <c r="C82" t="s">
        <v>151</v>
      </c>
      <c r="D82" t="s">
        <v>160</v>
      </c>
      <c r="E82" t="s">
        <v>142</v>
      </c>
      <c r="F82">
        <v>0</v>
      </c>
      <c r="G82">
        <v>3</v>
      </c>
      <c r="H82">
        <v>0</v>
      </c>
      <c r="I82">
        <v>35.08</v>
      </c>
      <c r="J82">
        <v>0</v>
      </c>
      <c r="K82">
        <v>0</v>
      </c>
      <c r="L82" t="s">
        <v>143</v>
      </c>
      <c r="M82">
        <v>35.08</v>
      </c>
      <c r="N82">
        <v>0</v>
      </c>
      <c r="O82">
        <v>0.9</v>
      </c>
      <c r="P82" t="s">
        <v>114</v>
      </c>
      <c r="Q82">
        <v>0</v>
      </c>
      <c r="R82" t="s">
        <v>144</v>
      </c>
    </row>
    <row r="83" spans="1:18" x14ac:dyDescent="0.25">
      <c r="A83" t="s">
        <v>303</v>
      </c>
      <c r="B83" s="2">
        <v>45463</v>
      </c>
      <c r="C83" t="s">
        <v>151</v>
      </c>
      <c r="D83" t="s">
        <v>160</v>
      </c>
      <c r="E83" t="s">
        <v>142</v>
      </c>
      <c r="F83">
        <v>0</v>
      </c>
      <c r="G83">
        <v>12</v>
      </c>
      <c r="H83">
        <v>0</v>
      </c>
      <c r="I83">
        <v>35.08</v>
      </c>
      <c r="J83">
        <v>0</v>
      </c>
      <c r="K83">
        <v>0</v>
      </c>
      <c r="L83" t="s">
        <v>143</v>
      </c>
      <c r="M83">
        <v>35.08</v>
      </c>
      <c r="N83">
        <v>0</v>
      </c>
      <c r="O83">
        <v>0.9</v>
      </c>
      <c r="P83" t="s">
        <v>114</v>
      </c>
      <c r="Q83">
        <v>0</v>
      </c>
      <c r="R83" t="s">
        <v>144</v>
      </c>
    </row>
    <row r="84" spans="1:18" x14ac:dyDescent="0.25">
      <c r="A84" t="s">
        <v>304</v>
      </c>
      <c r="B84" s="2">
        <v>45463</v>
      </c>
      <c r="C84" t="s">
        <v>151</v>
      </c>
      <c r="D84" t="s">
        <v>160</v>
      </c>
      <c r="E84" t="s">
        <v>142</v>
      </c>
      <c r="F84">
        <v>0</v>
      </c>
      <c r="G84">
        <v>10</v>
      </c>
      <c r="H84">
        <v>0</v>
      </c>
      <c r="I84">
        <v>35.08</v>
      </c>
      <c r="J84">
        <v>0</v>
      </c>
      <c r="K84">
        <v>0</v>
      </c>
      <c r="L84" t="s">
        <v>143</v>
      </c>
      <c r="M84">
        <v>35.08</v>
      </c>
      <c r="N84">
        <v>0</v>
      </c>
      <c r="O84">
        <v>0.9</v>
      </c>
      <c r="P84" t="s">
        <v>114</v>
      </c>
      <c r="Q84">
        <v>0</v>
      </c>
      <c r="R84" t="s">
        <v>144</v>
      </c>
    </row>
    <row r="85" spans="1:18" x14ac:dyDescent="0.25">
      <c r="A85" t="s">
        <v>305</v>
      </c>
      <c r="B85" s="2">
        <v>45464</v>
      </c>
      <c r="C85" t="s">
        <v>151</v>
      </c>
      <c r="D85" t="s">
        <v>160</v>
      </c>
      <c r="E85" t="s">
        <v>142</v>
      </c>
      <c r="F85">
        <v>0</v>
      </c>
      <c r="G85">
        <v>10</v>
      </c>
      <c r="H85">
        <v>0</v>
      </c>
      <c r="I85">
        <v>35.08</v>
      </c>
      <c r="J85">
        <v>0</v>
      </c>
      <c r="K85">
        <v>0</v>
      </c>
      <c r="L85" t="s">
        <v>143</v>
      </c>
      <c r="M85">
        <v>35.08</v>
      </c>
      <c r="N85">
        <v>0</v>
      </c>
      <c r="O85">
        <v>0.9</v>
      </c>
      <c r="P85" t="s">
        <v>114</v>
      </c>
      <c r="Q85">
        <v>0</v>
      </c>
      <c r="R85" t="s">
        <v>144</v>
      </c>
    </row>
    <row r="86" spans="1:18" x14ac:dyDescent="0.25">
      <c r="A86" t="s">
        <v>306</v>
      </c>
      <c r="B86" s="2">
        <v>45464</v>
      </c>
      <c r="C86" t="s">
        <v>151</v>
      </c>
      <c r="D86" t="s">
        <v>160</v>
      </c>
      <c r="E86" t="s">
        <v>142</v>
      </c>
      <c r="F86">
        <v>0</v>
      </c>
      <c r="G86">
        <v>17</v>
      </c>
      <c r="H86">
        <v>0</v>
      </c>
      <c r="I86">
        <v>35.08</v>
      </c>
      <c r="J86">
        <v>0</v>
      </c>
      <c r="K86">
        <v>0</v>
      </c>
      <c r="L86" t="s">
        <v>143</v>
      </c>
      <c r="M86">
        <v>35.08</v>
      </c>
      <c r="N86">
        <v>0</v>
      </c>
      <c r="O86">
        <v>0.9</v>
      </c>
      <c r="P86" t="s">
        <v>114</v>
      </c>
      <c r="Q86">
        <v>0</v>
      </c>
      <c r="R86" t="s">
        <v>144</v>
      </c>
    </row>
    <row r="87" spans="1:18" x14ac:dyDescent="0.25">
      <c r="A87" t="s">
        <v>307</v>
      </c>
      <c r="B87" s="2">
        <v>45464</v>
      </c>
      <c r="C87" t="s">
        <v>151</v>
      </c>
      <c r="D87" t="s">
        <v>160</v>
      </c>
      <c r="E87" t="s">
        <v>142</v>
      </c>
      <c r="F87">
        <v>0</v>
      </c>
      <c r="G87">
        <v>13</v>
      </c>
      <c r="H87">
        <v>0</v>
      </c>
      <c r="I87">
        <v>35.08</v>
      </c>
      <c r="J87">
        <v>0</v>
      </c>
      <c r="K87">
        <v>0</v>
      </c>
      <c r="L87" t="s">
        <v>143</v>
      </c>
      <c r="M87">
        <v>35.08</v>
      </c>
      <c r="N87">
        <v>0</v>
      </c>
      <c r="O87">
        <v>0.9</v>
      </c>
      <c r="P87" t="s">
        <v>114</v>
      </c>
      <c r="Q87">
        <v>0</v>
      </c>
      <c r="R87" t="s">
        <v>144</v>
      </c>
    </row>
    <row r="88" spans="1:18" x14ac:dyDescent="0.25">
      <c r="A88" t="s">
        <v>308</v>
      </c>
      <c r="B88" s="2">
        <v>45467</v>
      </c>
      <c r="C88" t="s">
        <v>151</v>
      </c>
      <c r="D88" t="s">
        <v>160</v>
      </c>
      <c r="E88" t="s">
        <v>142</v>
      </c>
      <c r="F88">
        <v>0</v>
      </c>
      <c r="G88">
        <v>3</v>
      </c>
      <c r="H88">
        <v>0</v>
      </c>
      <c r="I88">
        <v>35.08</v>
      </c>
      <c r="J88">
        <v>0</v>
      </c>
      <c r="K88">
        <v>0</v>
      </c>
      <c r="L88" t="s">
        <v>143</v>
      </c>
      <c r="M88">
        <v>35.08</v>
      </c>
      <c r="N88">
        <v>0</v>
      </c>
      <c r="O88">
        <v>0.9</v>
      </c>
      <c r="P88" t="s">
        <v>115</v>
      </c>
      <c r="Q88">
        <v>0</v>
      </c>
      <c r="R88" t="s">
        <v>144</v>
      </c>
    </row>
    <row r="89" spans="1:18" x14ac:dyDescent="0.25">
      <c r="A89" t="s">
        <v>309</v>
      </c>
      <c r="B89" s="2">
        <v>45467</v>
      </c>
      <c r="C89" t="s">
        <v>151</v>
      </c>
      <c r="D89" t="s">
        <v>160</v>
      </c>
      <c r="E89" t="s">
        <v>142</v>
      </c>
      <c r="F89">
        <v>0</v>
      </c>
      <c r="G89">
        <v>11</v>
      </c>
      <c r="H89">
        <v>0</v>
      </c>
      <c r="I89">
        <v>35.08</v>
      </c>
      <c r="J89">
        <v>0</v>
      </c>
      <c r="K89">
        <v>0</v>
      </c>
      <c r="L89" t="s">
        <v>143</v>
      </c>
      <c r="M89">
        <v>35.08</v>
      </c>
      <c r="N89">
        <v>0</v>
      </c>
      <c r="O89">
        <v>0.9</v>
      </c>
      <c r="P89" t="s">
        <v>115</v>
      </c>
      <c r="Q89">
        <v>0</v>
      </c>
      <c r="R89" t="s">
        <v>144</v>
      </c>
    </row>
    <row r="90" spans="1:18" x14ac:dyDescent="0.25">
      <c r="A90" t="s">
        <v>310</v>
      </c>
      <c r="B90" s="2">
        <v>45468</v>
      </c>
      <c r="C90" t="s">
        <v>151</v>
      </c>
      <c r="D90" t="s">
        <v>160</v>
      </c>
      <c r="E90" t="s">
        <v>142</v>
      </c>
      <c r="F90">
        <v>0</v>
      </c>
      <c r="G90">
        <v>12</v>
      </c>
      <c r="H90">
        <v>0</v>
      </c>
      <c r="I90">
        <v>35.08</v>
      </c>
      <c r="J90">
        <v>0</v>
      </c>
      <c r="K90">
        <v>0</v>
      </c>
      <c r="L90" t="s">
        <v>143</v>
      </c>
      <c r="M90">
        <v>35.08</v>
      </c>
      <c r="N90">
        <v>0</v>
      </c>
      <c r="O90">
        <v>0.9</v>
      </c>
      <c r="P90" t="s">
        <v>115</v>
      </c>
      <c r="Q90">
        <v>0</v>
      </c>
      <c r="R90" t="s">
        <v>144</v>
      </c>
    </row>
    <row r="91" spans="1:18" x14ac:dyDescent="0.25">
      <c r="A91" t="s">
        <v>311</v>
      </c>
      <c r="B91" s="2">
        <v>45469</v>
      </c>
      <c r="C91" t="s">
        <v>151</v>
      </c>
      <c r="D91" t="s">
        <v>160</v>
      </c>
      <c r="E91" t="s">
        <v>142</v>
      </c>
      <c r="F91">
        <v>0</v>
      </c>
      <c r="G91">
        <v>13</v>
      </c>
      <c r="H91">
        <v>0</v>
      </c>
      <c r="I91">
        <v>35.08</v>
      </c>
      <c r="J91">
        <v>0</v>
      </c>
      <c r="K91">
        <v>0</v>
      </c>
      <c r="L91" t="s">
        <v>143</v>
      </c>
      <c r="M91">
        <v>35.08</v>
      </c>
      <c r="N91">
        <v>0</v>
      </c>
      <c r="O91">
        <v>0.9</v>
      </c>
      <c r="P91" t="s">
        <v>115</v>
      </c>
      <c r="Q91">
        <v>0</v>
      </c>
      <c r="R91" t="s">
        <v>144</v>
      </c>
    </row>
    <row r="92" spans="1:18" x14ac:dyDescent="0.25">
      <c r="A92" t="s">
        <v>312</v>
      </c>
      <c r="B92" s="2">
        <v>45469</v>
      </c>
      <c r="C92" t="s">
        <v>151</v>
      </c>
      <c r="D92" t="s">
        <v>160</v>
      </c>
      <c r="E92" t="s">
        <v>142</v>
      </c>
      <c r="F92">
        <v>0</v>
      </c>
      <c r="G92">
        <v>12</v>
      </c>
      <c r="H92">
        <v>0</v>
      </c>
      <c r="I92">
        <v>35.08</v>
      </c>
      <c r="J92">
        <v>0</v>
      </c>
      <c r="K92">
        <v>0</v>
      </c>
      <c r="L92" t="s">
        <v>143</v>
      </c>
      <c r="M92">
        <v>35.08</v>
      </c>
      <c r="N92">
        <v>0</v>
      </c>
      <c r="O92">
        <v>0.9</v>
      </c>
      <c r="P92" t="s">
        <v>115</v>
      </c>
      <c r="Q92">
        <v>0</v>
      </c>
      <c r="R92" t="s">
        <v>144</v>
      </c>
    </row>
    <row r="93" spans="1:18" x14ac:dyDescent="0.25">
      <c r="A93" t="s">
        <v>313</v>
      </c>
      <c r="B93" s="2">
        <v>45469</v>
      </c>
      <c r="C93" t="s">
        <v>151</v>
      </c>
      <c r="D93" t="s">
        <v>160</v>
      </c>
      <c r="E93" t="s">
        <v>142</v>
      </c>
      <c r="F93">
        <v>0</v>
      </c>
      <c r="G93">
        <v>18</v>
      </c>
      <c r="H93">
        <v>0</v>
      </c>
      <c r="I93">
        <v>35.08</v>
      </c>
      <c r="J93">
        <v>0</v>
      </c>
      <c r="K93">
        <v>0</v>
      </c>
      <c r="L93" t="s">
        <v>143</v>
      </c>
      <c r="M93">
        <v>35.08</v>
      </c>
      <c r="N93">
        <v>0</v>
      </c>
      <c r="O93">
        <v>0.9</v>
      </c>
      <c r="P93" t="s">
        <v>115</v>
      </c>
      <c r="Q93">
        <v>0</v>
      </c>
      <c r="R93" t="s">
        <v>144</v>
      </c>
    </row>
    <row r="94" spans="1:18" x14ac:dyDescent="0.25">
      <c r="A94" t="s">
        <v>314</v>
      </c>
      <c r="B94" s="2">
        <v>45469</v>
      </c>
      <c r="C94" t="s">
        <v>151</v>
      </c>
      <c r="D94" t="s">
        <v>160</v>
      </c>
      <c r="E94" t="s">
        <v>142</v>
      </c>
      <c r="F94">
        <v>0</v>
      </c>
      <c r="G94">
        <v>13</v>
      </c>
      <c r="H94">
        <v>0</v>
      </c>
      <c r="I94">
        <v>35.08</v>
      </c>
      <c r="J94">
        <v>0</v>
      </c>
      <c r="K94">
        <v>0</v>
      </c>
      <c r="L94" t="s">
        <v>143</v>
      </c>
      <c r="M94">
        <v>35.08</v>
      </c>
      <c r="N94">
        <v>0</v>
      </c>
      <c r="O94">
        <v>0.9</v>
      </c>
      <c r="P94" t="s">
        <v>115</v>
      </c>
      <c r="Q94">
        <v>0</v>
      </c>
      <c r="R94" t="s">
        <v>144</v>
      </c>
    </row>
    <row r="95" spans="1:18" x14ac:dyDescent="0.25">
      <c r="A95" t="s">
        <v>315</v>
      </c>
      <c r="B95" s="2">
        <v>45469</v>
      </c>
      <c r="C95" t="s">
        <v>151</v>
      </c>
      <c r="D95" t="s">
        <v>160</v>
      </c>
      <c r="E95" t="s">
        <v>142</v>
      </c>
      <c r="F95">
        <v>0</v>
      </c>
      <c r="G95">
        <v>13</v>
      </c>
      <c r="H95">
        <v>0</v>
      </c>
      <c r="I95">
        <v>35.08</v>
      </c>
      <c r="J95">
        <v>0</v>
      </c>
      <c r="K95">
        <v>0</v>
      </c>
      <c r="L95" t="s">
        <v>143</v>
      </c>
      <c r="M95">
        <v>35.08</v>
      </c>
      <c r="N95">
        <v>0</v>
      </c>
      <c r="O95">
        <v>0.9</v>
      </c>
      <c r="P95" t="s">
        <v>115</v>
      </c>
      <c r="Q95">
        <v>0</v>
      </c>
      <c r="R95" t="s">
        <v>144</v>
      </c>
    </row>
    <row r="96" spans="1:18" x14ac:dyDescent="0.25">
      <c r="A96" t="s">
        <v>316</v>
      </c>
      <c r="B96" s="2">
        <v>45469</v>
      </c>
      <c r="C96" t="s">
        <v>151</v>
      </c>
      <c r="D96" t="s">
        <v>160</v>
      </c>
      <c r="E96" t="s">
        <v>142</v>
      </c>
      <c r="F96">
        <v>0</v>
      </c>
      <c r="G96">
        <v>17</v>
      </c>
      <c r="H96">
        <v>0</v>
      </c>
      <c r="I96">
        <v>35.08</v>
      </c>
      <c r="J96">
        <v>0</v>
      </c>
      <c r="K96">
        <v>0</v>
      </c>
      <c r="L96" t="s">
        <v>143</v>
      </c>
      <c r="M96">
        <v>35.08</v>
      </c>
      <c r="N96">
        <v>0</v>
      </c>
      <c r="O96">
        <v>0.9</v>
      </c>
      <c r="P96" t="s">
        <v>115</v>
      </c>
      <c r="Q96">
        <v>0</v>
      </c>
      <c r="R96" t="s">
        <v>144</v>
      </c>
    </row>
    <row r="97" spans="1:18" x14ac:dyDescent="0.25">
      <c r="A97" t="s">
        <v>317</v>
      </c>
      <c r="B97" s="2">
        <v>45470</v>
      </c>
      <c r="C97" t="s">
        <v>151</v>
      </c>
      <c r="D97" t="s">
        <v>160</v>
      </c>
      <c r="E97" t="s">
        <v>142</v>
      </c>
      <c r="F97">
        <v>0</v>
      </c>
      <c r="G97">
        <v>4</v>
      </c>
      <c r="H97">
        <v>0</v>
      </c>
      <c r="I97">
        <v>35.08</v>
      </c>
      <c r="J97">
        <v>0</v>
      </c>
      <c r="K97">
        <v>0</v>
      </c>
      <c r="L97" t="s">
        <v>143</v>
      </c>
      <c r="M97">
        <v>35.08</v>
      </c>
      <c r="N97">
        <v>0</v>
      </c>
      <c r="O97">
        <v>0.9</v>
      </c>
      <c r="P97" t="s">
        <v>115</v>
      </c>
      <c r="Q97">
        <v>0</v>
      </c>
      <c r="R97" t="s">
        <v>144</v>
      </c>
    </row>
    <row r="98" spans="1:18" x14ac:dyDescent="0.25">
      <c r="A98" t="s">
        <v>318</v>
      </c>
      <c r="B98" s="2">
        <v>45470</v>
      </c>
      <c r="C98" t="s">
        <v>151</v>
      </c>
      <c r="D98" t="s">
        <v>160</v>
      </c>
      <c r="E98" t="s">
        <v>142</v>
      </c>
      <c r="F98">
        <v>0</v>
      </c>
      <c r="G98">
        <v>4</v>
      </c>
      <c r="H98">
        <v>0</v>
      </c>
      <c r="I98">
        <v>35.08</v>
      </c>
      <c r="J98">
        <v>0</v>
      </c>
      <c r="K98">
        <v>0</v>
      </c>
      <c r="L98" t="s">
        <v>143</v>
      </c>
      <c r="M98">
        <v>35.08</v>
      </c>
      <c r="N98">
        <v>0</v>
      </c>
      <c r="O98">
        <v>0.9</v>
      </c>
      <c r="P98" t="s">
        <v>115</v>
      </c>
      <c r="Q98">
        <v>0</v>
      </c>
      <c r="R98" t="s">
        <v>144</v>
      </c>
    </row>
    <row r="99" spans="1:18" x14ac:dyDescent="0.25">
      <c r="A99" t="s">
        <v>319</v>
      </c>
      <c r="B99" s="2">
        <v>45470</v>
      </c>
      <c r="C99" t="s">
        <v>151</v>
      </c>
      <c r="D99" t="s">
        <v>160</v>
      </c>
      <c r="E99" t="s">
        <v>142</v>
      </c>
      <c r="F99">
        <v>0</v>
      </c>
      <c r="G99">
        <v>1</v>
      </c>
      <c r="H99">
        <v>0</v>
      </c>
      <c r="I99">
        <v>35.08</v>
      </c>
      <c r="J99">
        <v>0</v>
      </c>
      <c r="K99">
        <v>0</v>
      </c>
      <c r="L99" t="s">
        <v>143</v>
      </c>
      <c r="M99">
        <v>35.08</v>
      </c>
      <c r="N99">
        <v>0</v>
      </c>
      <c r="O99">
        <v>0.9</v>
      </c>
      <c r="P99" t="s">
        <v>115</v>
      </c>
      <c r="Q99">
        <v>0</v>
      </c>
      <c r="R99" t="s">
        <v>144</v>
      </c>
    </row>
    <row r="100" spans="1:18" x14ac:dyDescent="0.25">
      <c r="A100" t="s">
        <v>320</v>
      </c>
      <c r="B100" s="2">
        <v>45470</v>
      </c>
      <c r="C100" t="s">
        <v>151</v>
      </c>
      <c r="D100" t="s">
        <v>160</v>
      </c>
      <c r="E100" t="s">
        <v>142</v>
      </c>
      <c r="F100">
        <v>0</v>
      </c>
      <c r="G100">
        <v>1</v>
      </c>
      <c r="H100">
        <v>0</v>
      </c>
      <c r="I100">
        <v>35.08</v>
      </c>
      <c r="J100">
        <v>0</v>
      </c>
      <c r="K100">
        <v>0</v>
      </c>
      <c r="L100" t="s">
        <v>143</v>
      </c>
      <c r="M100">
        <v>35.08</v>
      </c>
      <c r="N100">
        <v>0</v>
      </c>
      <c r="O100">
        <v>0.9</v>
      </c>
      <c r="P100" t="s">
        <v>115</v>
      </c>
      <c r="Q100">
        <v>0</v>
      </c>
      <c r="R100" t="s">
        <v>144</v>
      </c>
    </row>
    <row r="101" spans="1:18" x14ac:dyDescent="0.25">
      <c r="A101" t="s">
        <v>321</v>
      </c>
      <c r="B101" s="2">
        <v>45470</v>
      </c>
      <c r="C101" t="s">
        <v>151</v>
      </c>
      <c r="D101" t="s">
        <v>160</v>
      </c>
      <c r="E101" t="s">
        <v>142</v>
      </c>
      <c r="F101">
        <v>0</v>
      </c>
      <c r="G101">
        <v>13</v>
      </c>
      <c r="H101">
        <v>0</v>
      </c>
      <c r="I101">
        <v>35.08</v>
      </c>
      <c r="J101">
        <v>0</v>
      </c>
      <c r="K101">
        <v>0</v>
      </c>
      <c r="L101" t="s">
        <v>143</v>
      </c>
      <c r="M101">
        <v>35.08</v>
      </c>
      <c r="N101">
        <v>0</v>
      </c>
      <c r="O101">
        <v>0.9</v>
      </c>
      <c r="P101" t="s">
        <v>115</v>
      </c>
      <c r="Q101">
        <v>0</v>
      </c>
      <c r="R101" t="s">
        <v>144</v>
      </c>
    </row>
    <row r="102" spans="1:18" x14ac:dyDescent="0.25">
      <c r="A102" t="s">
        <v>322</v>
      </c>
      <c r="B102" s="2">
        <v>45471</v>
      </c>
      <c r="C102" t="s">
        <v>151</v>
      </c>
      <c r="D102" t="s">
        <v>160</v>
      </c>
      <c r="E102" t="s">
        <v>142</v>
      </c>
      <c r="F102">
        <v>0</v>
      </c>
      <c r="G102">
        <v>1</v>
      </c>
      <c r="H102">
        <v>0</v>
      </c>
      <c r="I102">
        <v>35.08</v>
      </c>
      <c r="J102">
        <v>0</v>
      </c>
      <c r="K102">
        <v>0</v>
      </c>
      <c r="L102" t="s">
        <v>143</v>
      </c>
      <c r="M102">
        <v>35.08</v>
      </c>
      <c r="N102">
        <v>0</v>
      </c>
      <c r="O102">
        <v>0.9</v>
      </c>
      <c r="P102" t="s">
        <v>115</v>
      </c>
      <c r="Q102">
        <v>0</v>
      </c>
      <c r="R102" t="s">
        <v>144</v>
      </c>
    </row>
    <row r="103" spans="1:18" x14ac:dyDescent="0.25">
      <c r="A103" t="s">
        <v>323</v>
      </c>
      <c r="B103" s="2">
        <v>45471</v>
      </c>
      <c r="C103" t="s">
        <v>151</v>
      </c>
      <c r="D103" t="s">
        <v>160</v>
      </c>
      <c r="E103" t="s">
        <v>142</v>
      </c>
      <c r="F103">
        <v>0</v>
      </c>
      <c r="G103">
        <v>0</v>
      </c>
      <c r="H103">
        <v>0</v>
      </c>
      <c r="I103">
        <v>35.08</v>
      </c>
      <c r="J103">
        <v>0</v>
      </c>
      <c r="K103">
        <v>0</v>
      </c>
      <c r="L103" t="s">
        <v>324</v>
      </c>
      <c r="M103">
        <v>35.08</v>
      </c>
      <c r="N103">
        <v>0</v>
      </c>
      <c r="O103">
        <v>0.9</v>
      </c>
      <c r="P103" t="s">
        <v>115</v>
      </c>
      <c r="Q103">
        <v>0</v>
      </c>
      <c r="R103" t="s">
        <v>144</v>
      </c>
    </row>
    <row r="104" spans="1:18" x14ac:dyDescent="0.25">
      <c r="A104" t="s">
        <v>325</v>
      </c>
      <c r="B104" s="2">
        <v>45471</v>
      </c>
      <c r="C104" t="s">
        <v>151</v>
      </c>
      <c r="D104" t="s">
        <v>160</v>
      </c>
      <c r="E104" t="s">
        <v>142</v>
      </c>
      <c r="F104">
        <v>0</v>
      </c>
      <c r="G104">
        <v>10</v>
      </c>
      <c r="H104">
        <v>0</v>
      </c>
      <c r="I104">
        <v>35.08</v>
      </c>
      <c r="J104">
        <v>0</v>
      </c>
      <c r="K104">
        <v>0</v>
      </c>
      <c r="L104" t="s">
        <v>143</v>
      </c>
      <c r="M104">
        <v>35.08</v>
      </c>
      <c r="N104">
        <v>0</v>
      </c>
      <c r="O104">
        <v>0.9</v>
      </c>
      <c r="P104" t="s">
        <v>115</v>
      </c>
      <c r="Q104">
        <v>0</v>
      </c>
      <c r="R104" t="s">
        <v>144</v>
      </c>
    </row>
    <row r="105" spans="1:18" x14ac:dyDescent="0.25">
      <c r="A105" t="s">
        <v>326</v>
      </c>
      <c r="B105" s="2">
        <v>45471</v>
      </c>
      <c r="C105" t="s">
        <v>151</v>
      </c>
      <c r="D105" t="s">
        <v>160</v>
      </c>
      <c r="E105" t="s">
        <v>142</v>
      </c>
      <c r="F105">
        <v>0</v>
      </c>
      <c r="G105">
        <v>3</v>
      </c>
      <c r="H105">
        <v>0</v>
      </c>
      <c r="I105">
        <v>35.08</v>
      </c>
      <c r="J105">
        <v>0</v>
      </c>
      <c r="K105">
        <v>0</v>
      </c>
      <c r="L105" t="s">
        <v>143</v>
      </c>
      <c r="M105">
        <v>35.08</v>
      </c>
      <c r="N105">
        <v>0</v>
      </c>
      <c r="O105">
        <v>0.9</v>
      </c>
      <c r="P105" t="s">
        <v>115</v>
      </c>
      <c r="Q105">
        <v>0</v>
      </c>
      <c r="R105" t="s">
        <v>144</v>
      </c>
    </row>
    <row r="106" spans="1:18" x14ac:dyDescent="0.25">
      <c r="A106" t="s">
        <v>327</v>
      </c>
      <c r="B106" s="2">
        <v>45460</v>
      </c>
      <c r="C106" t="s">
        <v>91</v>
      </c>
      <c r="D106" t="s">
        <v>27</v>
      </c>
      <c r="E106" t="s">
        <v>142</v>
      </c>
      <c r="F106">
        <v>4.0030000000000001</v>
      </c>
      <c r="G106">
        <v>0</v>
      </c>
      <c r="H106">
        <v>0</v>
      </c>
      <c r="I106">
        <v>20</v>
      </c>
      <c r="J106">
        <v>0</v>
      </c>
      <c r="K106">
        <v>0</v>
      </c>
      <c r="L106" t="s">
        <v>143</v>
      </c>
      <c r="M106">
        <v>20</v>
      </c>
      <c r="N106">
        <v>1</v>
      </c>
      <c r="O106">
        <v>0.9</v>
      </c>
      <c r="P106" t="s">
        <v>114</v>
      </c>
      <c r="Q106">
        <v>0.9</v>
      </c>
      <c r="R106" t="s">
        <v>144</v>
      </c>
    </row>
    <row r="107" spans="1:18" x14ac:dyDescent="0.25">
      <c r="A107" t="s">
        <v>328</v>
      </c>
      <c r="B107" s="2">
        <v>45460</v>
      </c>
      <c r="C107" t="s">
        <v>91</v>
      </c>
      <c r="D107" t="s">
        <v>27</v>
      </c>
      <c r="E107" t="s">
        <v>142</v>
      </c>
      <c r="F107">
        <v>10</v>
      </c>
      <c r="G107">
        <v>1.6379999999999999</v>
      </c>
      <c r="H107">
        <v>2.4569999999999999</v>
      </c>
      <c r="I107">
        <v>20</v>
      </c>
      <c r="J107">
        <v>0</v>
      </c>
      <c r="K107">
        <v>0</v>
      </c>
      <c r="L107" t="s">
        <v>143</v>
      </c>
      <c r="M107">
        <v>22.457000000000001</v>
      </c>
      <c r="N107">
        <v>1</v>
      </c>
      <c r="O107">
        <v>0.9</v>
      </c>
      <c r="P107" t="s">
        <v>114</v>
      </c>
      <c r="Q107">
        <v>0.9</v>
      </c>
      <c r="R107" t="s">
        <v>144</v>
      </c>
    </row>
    <row r="108" spans="1:18" x14ac:dyDescent="0.25">
      <c r="A108" t="s">
        <v>329</v>
      </c>
      <c r="B108" s="2">
        <v>45460</v>
      </c>
      <c r="C108" t="s">
        <v>91</v>
      </c>
      <c r="D108" t="s">
        <v>27</v>
      </c>
      <c r="E108" t="s">
        <v>142</v>
      </c>
      <c r="F108">
        <v>4.8659999999999997</v>
      </c>
      <c r="G108">
        <v>0</v>
      </c>
      <c r="H108">
        <v>0</v>
      </c>
      <c r="I108">
        <v>5</v>
      </c>
      <c r="J108">
        <v>0</v>
      </c>
      <c r="K108">
        <v>0</v>
      </c>
      <c r="L108" t="s">
        <v>330</v>
      </c>
      <c r="M108">
        <v>5</v>
      </c>
      <c r="N108">
        <v>0</v>
      </c>
      <c r="O108">
        <v>0.9</v>
      </c>
      <c r="P108" t="s">
        <v>114</v>
      </c>
      <c r="Q108">
        <v>0</v>
      </c>
      <c r="R108" t="s">
        <v>144</v>
      </c>
    </row>
    <row r="109" spans="1:18" x14ac:dyDescent="0.25">
      <c r="A109" t="s">
        <v>331</v>
      </c>
      <c r="B109" s="2">
        <v>45460</v>
      </c>
      <c r="C109" t="s">
        <v>91</v>
      </c>
      <c r="D109" t="s">
        <v>27</v>
      </c>
      <c r="E109" t="s">
        <v>142</v>
      </c>
      <c r="F109">
        <v>6</v>
      </c>
      <c r="G109">
        <v>0</v>
      </c>
      <c r="H109">
        <v>0</v>
      </c>
      <c r="I109">
        <v>20</v>
      </c>
      <c r="J109">
        <v>0</v>
      </c>
      <c r="K109">
        <v>0</v>
      </c>
      <c r="L109" t="s">
        <v>143</v>
      </c>
      <c r="M109">
        <v>20</v>
      </c>
      <c r="N109">
        <v>1</v>
      </c>
      <c r="O109">
        <v>0.9</v>
      </c>
      <c r="P109" t="s">
        <v>114</v>
      </c>
      <c r="Q109">
        <v>0.9</v>
      </c>
      <c r="R109" t="s">
        <v>144</v>
      </c>
    </row>
    <row r="110" spans="1:18" x14ac:dyDescent="0.25">
      <c r="A110" t="s">
        <v>332</v>
      </c>
      <c r="B110" s="2">
        <v>45460</v>
      </c>
      <c r="C110" t="s">
        <v>91</v>
      </c>
      <c r="D110" t="s">
        <v>27</v>
      </c>
      <c r="E110" t="s">
        <v>142</v>
      </c>
      <c r="F110">
        <v>10</v>
      </c>
      <c r="G110">
        <v>0.61199999999999999</v>
      </c>
      <c r="H110">
        <v>0</v>
      </c>
      <c r="I110">
        <v>5</v>
      </c>
      <c r="J110">
        <v>0</v>
      </c>
      <c r="K110">
        <v>0</v>
      </c>
      <c r="L110" t="s">
        <v>333</v>
      </c>
      <c r="M110">
        <v>5</v>
      </c>
      <c r="N110">
        <v>0</v>
      </c>
      <c r="O110">
        <v>0.9</v>
      </c>
      <c r="P110" t="s">
        <v>114</v>
      </c>
      <c r="Q110">
        <v>0</v>
      </c>
      <c r="R110" t="s">
        <v>144</v>
      </c>
    </row>
    <row r="111" spans="1:18" x14ac:dyDescent="0.25">
      <c r="A111" t="s">
        <v>334</v>
      </c>
      <c r="B111" s="2">
        <v>45460</v>
      </c>
      <c r="C111" t="s">
        <v>91</v>
      </c>
      <c r="D111" t="s">
        <v>27</v>
      </c>
      <c r="E111" t="s">
        <v>142</v>
      </c>
      <c r="F111">
        <v>4.0830000000000002</v>
      </c>
      <c r="G111">
        <v>0</v>
      </c>
      <c r="H111">
        <v>0</v>
      </c>
      <c r="I111">
        <v>20</v>
      </c>
      <c r="J111">
        <v>0</v>
      </c>
      <c r="K111">
        <v>0</v>
      </c>
      <c r="L111" t="s">
        <v>143</v>
      </c>
      <c r="M111">
        <v>20</v>
      </c>
      <c r="N111">
        <v>1</v>
      </c>
      <c r="O111">
        <v>0.9</v>
      </c>
      <c r="P111" t="s">
        <v>114</v>
      </c>
      <c r="Q111">
        <v>0.9</v>
      </c>
      <c r="R111" t="s">
        <v>144</v>
      </c>
    </row>
    <row r="112" spans="1:18" x14ac:dyDescent="0.25">
      <c r="A112" t="s">
        <v>335</v>
      </c>
      <c r="B112" s="2">
        <v>45460</v>
      </c>
      <c r="C112" t="s">
        <v>91</v>
      </c>
      <c r="D112" t="s">
        <v>27</v>
      </c>
      <c r="E112" t="s">
        <v>142</v>
      </c>
      <c r="F112">
        <v>8.4719999999999995</v>
      </c>
      <c r="G112">
        <v>0</v>
      </c>
      <c r="H112">
        <v>0</v>
      </c>
      <c r="I112">
        <v>5</v>
      </c>
      <c r="J112">
        <v>0</v>
      </c>
      <c r="K112">
        <v>0</v>
      </c>
      <c r="L112" t="s">
        <v>336</v>
      </c>
      <c r="M112">
        <v>5</v>
      </c>
      <c r="N112">
        <v>0</v>
      </c>
      <c r="O112">
        <v>0.9</v>
      </c>
      <c r="P112" t="s">
        <v>114</v>
      </c>
      <c r="Q112">
        <v>0</v>
      </c>
      <c r="R112" t="s">
        <v>144</v>
      </c>
    </row>
    <row r="113" spans="1:18" x14ac:dyDescent="0.25">
      <c r="A113" t="s">
        <v>337</v>
      </c>
      <c r="B113" s="2">
        <v>45460</v>
      </c>
      <c r="C113" t="s">
        <v>91</v>
      </c>
      <c r="D113" t="s">
        <v>27</v>
      </c>
      <c r="E113" t="s">
        <v>142</v>
      </c>
      <c r="F113">
        <v>2</v>
      </c>
      <c r="G113">
        <v>0</v>
      </c>
      <c r="H113">
        <v>0</v>
      </c>
      <c r="I113">
        <v>20</v>
      </c>
      <c r="J113">
        <v>0</v>
      </c>
      <c r="K113">
        <v>0</v>
      </c>
      <c r="L113" t="s">
        <v>143</v>
      </c>
      <c r="M113">
        <v>20</v>
      </c>
      <c r="N113">
        <v>1</v>
      </c>
      <c r="O113">
        <v>0.9</v>
      </c>
      <c r="P113" t="s">
        <v>114</v>
      </c>
      <c r="Q113">
        <v>0.9</v>
      </c>
      <c r="R113" t="s">
        <v>144</v>
      </c>
    </row>
    <row r="114" spans="1:18" x14ac:dyDescent="0.25">
      <c r="A114" t="s">
        <v>338</v>
      </c>
      <c r="B114" s="2">
        <v>45460</v>
      </c>
      <c r="C114" t="s">
        <v>91</v>
      </c>
      <c r="D114" t="s">
        <v>27</v>
      </c>
      <c r="E114" t="s">
        <v>142</v>
      </c>
      <c r="F114">
        <v>3</v>
      </c>
      <c r="G114">
        <v>0</v>
      </c>
      <c r="H114">
        <v>0</v>
      </c>
      <c r="I114">
        <v>20</v>
      </c>
      <c r="J114">
        <v>0</v>
      </c>
      <c r="K114">
        <v>0</v>
      </c>
      <c r="L114" t="s">
        <v>339</v>
      </c>
      <c r="M114">
        <v>20</v>
      </c>
      <c r="N114">
        <v>1</v>
      </c>
      <c r="O114">
        <v>0.9</v>
      </c>
      <c r="P114" t="s">
        <v>114</v>
      </c>
      <c r="Q114">
        <v>0.9</v>
      </c>
      <c r="R114" t="s">
        <v>144</v>
      </c>
    </row>
    <row r="115" spans="1:18" x14ac:dyDescent="0.25">
      <c r="A115" t="s">
        <v>340</v>
      </c>
      <c r="B115" s="2">
        <v>45462</v>
      </c>
      <c r="C115" t="s">
        <v>91</v>
      </c>
      <c r="D115" t="s">
        <v>27</v>
      </c>
      <c r="E115" t="s">
        <v>142</v>
      </c>
      <c r="F115">
        <v>5.4249999999999998</v>
      </c>
      <c r="G115">
        <v>0</v>
      </c>
      <c r="H115">
        <v>0</v>
      </c>
      <c r="I115">
        <v>20</v>
      </c>
      <c r="J115">
        <v>0</v>
      </c>
      <c r="K115">
        <v>0</v>
      </c>
      <c r="L115" t="s">
        <v>143</v>
      </c>
      <c r="M115">
        <v>20</v>
      </c>
      <c r="N115">
        <v>1</v>
      </c>
      <c r="O115">
        <v>0.9</v>
      </c>
      <c r="P115" t="s">
        <v>114</v>
      </c>
      <c r="Q115">
        <v>0.9</v>
      </c>
      <c r="R115" t="s">
        <v>144</v>
      </c>
    </row>
    <row r="116" spans="1:18" x14ac:dyDescent="0.25">
      <c r="A116" t="s">
        <v>341</v>
      </c>
      <c r="B116" s="2">
        <v>45462</v>
      </c>
      <c r="C116" t="s">
        <v>91</v>
      </c>
      <c r="D116" t="s">
        <v>27</v>
      </c>
      <c r="E116" t="s">
        <v>142</v>
      </c>
      <c r="F116">
        <v>1.9019999999999999</v>
      </c>
      <c r="G116">
        <v>0</v>
      </c>
      <c r="H116">
        <v>0</v>
      </c>
      <c r="I116">
        <v>20</v>
      </c>
      <c r="J116">
        <v>0</v>
      </c>
      <c r="K116">
        <v>0</v>
      </c>
      <c r="L116" t="s">
        <v>143</v>
      </c>
      <c r="M116">
        <v>20</v>
      </c>
      <c r="N116">
        <v>1</v>
      </c>
      <c r="O116">
        <v>0.9</v>
      </c>
      <c r="P116" t="s">
        <v>114</v>
      </c>
      <c r="Q116">
        <v>0.9</v>
      </c>
      <c r="R116" t="s">
        <v>144</v>
      </c>
    </row>
    <row r="117" spans="1:18" x14ac:dyDescent="0.25">
      <c r="A117" t="s">
        <v>342</v>
      </c>
      <c r="B117" s="2">
        <v>45462</v>
      </c>
      <c r="C117" t="s">
        <v>91</v>
      </c>
      <c r="D117" t="s">
        <v>27</v>
      </c>
      <c r="E117" t="s">
        <v>142</v>
      </c>
      <c r="F117">
        <v>1.76</v>
      </c>
      <c r="G117">
        <v>0</v>
      </c>
      <c r="H117">
        <v>0</v>
      </c>
      <c r="I117">
        <v>20</v>
      </c>
      <c r="J117">
        <v>0</v>
      </c>
      <c r="K117">
        <v>0</v>
      </c>
      <c r="L117" t="s">
        <v>143</v>
      </c>
      <c r="M117">
        <v>20</v>
      </c>
      <c r="N117">
        <v>1</v>
      </c>
      <c r="O117">
        <v>0.9</v>
      </c>
      <c r="P117" t="s">
        <v>114</v>
      </c>
      <c r="Q117">
        <v>0.9</v>
      </c>
      <c r="R117" t="s">
        <v>144</v>
      </c>
    </row>
    <row r="118" spans="1:18" x14ac:dyDescent="0.25">
      <c r="A118" t="s">
        <v>343</v>
      </c>
      <c r="B118" s="2">
        <v>45462</v>
      </c>
      <c r="C118" t="s">
        <v>91</v>
      </c>
      <c r="D118" t="s">
        <v>27</v>
      </c>
      <c r="E118" t="s">
        <v>142</v>
      </c>
      <c r="F118">
        <v>10</v>
      </c>
      <c r="G118">
        <v>12.627000000000001</v>
      </c>
      <c r="H118">
        <v>18.9405</v>
      </c>
      <c r="I118">
        <v>20</v>
      </c>
      <c r="J118">
        <v>0</v>
      </c>
      <c r="K118">
        <v>0</v>
      </c>
      <c r="L118" t="s">
        <v>143</v>
      </c>
      <c r="M118">
        <v>38.9405</v>
      </c>
      <c r="N118">
        <v>1</v>
      </c>
      <c r="O118">
        <v>0.9</v>
      </c>
      <c r="P118" t="s">
        <v>114</v>
      </c>
      <c r="Q118">
        <v>0.9</v>
      </c>
      <c r="R118" t="s">
        <v>144</v>
      </c>
    </row>
    <row r="119" spans="1:18" x14ac:dyDescent="0.25">
      <c r="A119" t="s">
        <v>344</v>
      </c>
      <c r="B119" s="2">
        <v>45462</v>
      </c>
      <c r="C119" t="s">
        <v>91</v>
      </c>
      <c r="D119" t="s">
        <v>27</v>
      </c>
      <c r="E119" t="s">
        <v>142</v>
      </c>
      <c r="F119">
        <v>8.7620000000000005</v>
      </c>
      <c r="G119">
        <v>0</v>
      </c>
      <c r="H119">
        <v>0</v>
      </c>
      <c r="I119">
        <v>5</v>
      </c>
      <c r="J119">
        <v>0</v>
      </c>
      <c r="K119">
        <v>0</v>
      </c>
      <c r="L119" t="s">
        <v>345</v>
      </c>
      <c r="M119">
        <v>5</v>
      </c>
      <c r="N119">
        <v>0</v>
      </c>
      <c r="O119">
        <v>0.9</v>
      </c>
      <c r="P119" t="s">
        <v>114</v>
      </c>
      <c r="Q119">
        <v>0</v>
      </c>
      <c r="R119" t="s">
        <v>144</v>
      </c>
    </row>
    <row r="120" spans="1:18" x14ac:dyDescent="0.25">
      <c r="A120" t="s">
        <v>346</v>
      </c>
      <c r="B120" s="2">
        <v>45462</v>
      </c>
      <c r="C120" t="s">
        <v>91</v>
      </c>
      <c r="D120" t="s">
        <v>27</v>
      </c>
      <c r="E120" t="s">
        <v>142</v>
      </c>
      <c r="F120">
        <v>10</v>
      </c>
      <c r="G120">
        <v>2.9380000000000002</v>
      </c>
      <c r="H120">
        <v>4.407</v>
      </c>
      <c r="I120">
        <v>20</v>
      </c>
      <c r="J120">
        <v>0</v>
      </c>
      <c r="K120">
        <v>0</v>
      </c>
      <c r="L120" t="s">
        <v>347</v>
      </c>
      <c r="M120">
        <v>24.407</v>
      </c>
      <c r="N120">
        <v>1</v>
      </c>
      <c r="O120">
        <v>0.9</v>
      </c>
      <c r="P120" t="s">
        <v>114</v>
      </c>
      <c r="Q120">
        <v>0.9</v>
      </c>
      <c r="R120" t="s">
        <v>144</v>
      </c>
    </row>
    <row r="121" spans="1:18" x14ac:dyDescent="0.25">
      <c r="A121" t="s">
        <v>348</v>
      </c>
      <c r="B121" s="2">
        <v>45462</v>
      </c>
      <c r="C121" t="s">
        <v>91</v>
      </c>
      <c r="D121" t="s">
        <v>27</v>
      </c>
      <c r="E121" t="s">
        <v>142</v>
      </c>
      <c r="F121">
        <v>6.569</v>
      </c>
      <c r="G121">
        <v>0</v>
      </c>
      <c r="H121">
        <v>0</v>
      </c>
      <c r="I121">
        <v>20</v>
      </c>
      <c r="J121">
        <v>0</v>
      </c>
      <c r="K121">
        <v>0</v>
      </c>
      <c r="L121" t="s">
        <v>349</v>
      </c>
      <c r="M121">
        <v>20</v>
      </c>
      <c r="N121">
        <v>1</v>
      </c>
      <c r="O121">
        <v>0.9</v>
      </c>
      <c r="P121" t="s">
        <v>114</v>
      </c>
      <c r="Q121">
        <v>0.9</v>
      </c>
      <c r="R121" t="s">
        <v>144</v>
      </c>
    </row>
    <row r="122" spans="1:18" x14ac:dyDescent="0.25">
      <c r="A122" t="s">
        <v>350</v>
      </c>
      <c r="B122" s="2">
        <v>45462</v>
      </c>
      <c r="C122" t="s">
        <v>91</v>
      </c>
      <c r="D122" t="s">
        <v>27</v>
      </c>
      <c r="E122" t="s">
        <v>142</v>
      </c>
      <c r="F122">
        <v>2.3570000000000002</v>
      </c>
      <c r="G122">
        <v>0</v>
      </c>
      <c r="H122">
        <v>0</v>
      </c>
      <c r="I122">
        <v>20</v>
      </c>
      <c r="J122">
        <v>0</v>
      </c>
      <c r="K122">
        <v>0</v>
      </c>
      <c r="L122" t="s">
        <v>143</v>
      </c>
      <c r="M122">
        <v>20</v>
      </c>
      <c r="N122">
        <v>1</v>
      </c>
      <c r="O122">
        <v>0.9</v>
      </c>
      <c r="P122" t="s">
        <v>114</v>
      </c>
      <c r="Q122">
        <v>0.9</v>
      </c>
      <c r="R122" t="s">
        <v>144</v>
      </c>
    </row>
    <row r="123" spans="1:18" x14ac:dyDescent="0.25">
      <c r="A123" t="s">
        <v>351</v>
      </c>
      <c r="B123" s="2">
        <v>45462</v>
      </c>
      <c r="C123" t="s">
        <v>91</v>
      </c>
      <c r="D123" t="s">
        <v>27</v>
      </c>
      <c r="E123" t="s">
        <v>142</v>
      </c>
      <c r="F123">
        <v>2.6120000000000001</v>
      </c>
      <c r="G123">
        <v>0</v>
      </c>
      <c r="H123">
        <v>0</v>
      </c>
      <c r="I123">
        <v>20</v>
      </c>
      <c r="J123">
        <v>0</v>
      </c>
      <c r="K123">
        <v>0</v>
      </c>
      <c r="L123" t="s">
        <v>143</v>
      </c>
      <c r="M123">
        <v>20</v>
      </c>
      <c r="N123">
        <v>1</v>
      </c>
      <c r="O123">
        <v>0.9</v>
      </c>
      <c r="P123" t="s">
        <v>114</v>
      </c>
      <c r="Q123">
        <v>0.9</v>
      </c>
      <c r="R123" t="s">
        <v>144</v>
      </c>
    </row>
    <row r="124" spans="1:18" x14ac:dyDescent="0.25">
      <c r="A124" t="s">
        <v>352</v>
      </c>
      <c r="B124" s="2">
        <v>45462</v>
      </c>
      <c r="C124" t="s">
        <v>91</v>
      </c>
      <c r="D124" t="s">
        <v>27</v>
      </c>
      <c r="E124" t="s">
        <v>142</v>
      </c>
      <c r="F124">
        <v>10</v>
      </c>
      <c r="G124">
        <v>4.1459999999999999</v>
      </c>
      <c r="H124">
        <v>6.2190000000000003</v>
      </c>
      <c r="I124">
        <v>20</v>
      </c>
      <c r="J124">
        <v>0</v>
      </c>
      <c r="K124">
        <v>0</v>
      </c>
      <c r="L124" t="s">
        <v>143</v>
      </c>
      <c r="M124">
        <v>26.219000000000001</v>
      </c>
      <c r="N124">
        <v>1</v>
      </c>
      <c r="O124">
        <v>0.9</v>
      </c>
      <c r="P124" t="s">
        <v>114</v>
      </c>
      <c r="Q124">
        <v>0.9</v>
      </c>
      <c r="R124" t="s">
        <v>144</v>
      </c>
    </row>
    <row r="125" spans="1:18" x14ac:dyDescent="0.25">
      <c r="A125" t="s">
        <v>353</v>
      </c>
      <c r="B125" s="2">
        <v>45462</v>
      </c>
      <c r="C125" t="s">
        <v>91</v>
      </c>
      <c r="D125" t="s">
        <v>27</v>
      </c>
      <c r="E125" t="s">
        <v>142</v>
      </c>
      <c r="F125">
        <v>4.944</v>
      </c>
      <c r="G125">
        <v>0</v>
      </c>
      <c r="H125">
        <v>0</v>
      </c>
      <c r="I125">
        <v>5</v>
      </c>
      <c r="J125">
        <v>0</v>
      </c>
      <c r="K125">
        <v>0</v>
      </c>
      <c r="L125" t="s">
        <v>354</v>
      </c>
      <c r="M125">
        <v>5</v>
      </c>
      <c r="N125">
        <v>0</v>
      </c>
      <c r="O125">
        <v>0.9</v>
      </c>
      <c r="P125" t="s">
        <v>114</v>
      </c>
      <c r="Q125">
        <v>0</v>
      </c>
      <c r="R125" t="s">
        <v>144</v>
      </c>
    </row>
    <row r="126" spans="1:18" x14ac:dyDescent="0.25">
      <c r="A126" t="s">
        <v>355</v>
      </c>
      <c r="B126" s="2">
        <v>45463</v>
      </c>
      <c r="C126" t="s">
        <v>91</v>
      </c>
      <c r="D126" t="s">
        <v>27</v>
      </c>
      <c r="E126" t="s">
        <v>142</v>
      </c>
      <c r="F126">
        <v>0.44900000000000001</v>
      </c>
      <c r="G126">
        <v>0</v>
      </c>
      <c r="H126">
        <v>0</v>
      </c>
      <c r="I126">
        <v>20</v>
      </c>
      <c r="J126">
        <v>0</v>
      </c>
      <c r="K126">
        <v>0</v>
      </c>
      <c r="L126" t="s">
        <v>143</v>
      </c>
      <c r="M126">
        <v>20</v>
      </c>
      <c r="N126">
        <v>1</v>
      </c>
      <c r="O126">
        <v>0.9</v>
      </c>
      <c r="P126" t="s">
        <v>114</v>
      </c>
      <c r="Q126">
        <v>0.9</v>
      </c>
      <c r="R126" t="s">
        <v>144</v>
      </c>
    </row>
    <row r="127" spans="1:18" x14ac:dyDescent="0.25">
      <c r="A127" t="s">
        <v>356</v>
      </c>
      <c r="B127" s="2">
        <v>45463</v>
      </c>
      <c r="C127" t="s">
        <v>91</v>
      </c>
      <c r="D127" t="s">
        <v>27</v>
      </c>
      <c r="E127" t="s">
        <v>142</v>
      </c>
      <c r="F127">
        <v>1.2230000000000001</v>
      </c>
      <c r="G127">
        <v>0</v>
      </c>
      <c r="H127">
        <v>0</v>
      </c>
      <c r="I127">
        <v>20</v>
      </c>
      <c r="J127">
        <v>0</v>
      </c>
      <c r="K127">
        <v>0</v>
      </c>
      <c r="L127" t="s">
        <v>143</v>
      </c>
      <c r="M127">
        <v>20</v>
      </c>
      <c r="N127">
        <v>1</v>
      </c>
      <c r="O127">
        <v>0.9</v>
      </c>
      <c r="P127" t="s">
        <v>114</v>
      </c>
      <c r="Q127">
        <v>0.9</v>
      </c>
      <c r="R127" t="s">
        <v>144</v>
      </c>
    </row>
    <row r="128" spans="1:18" x14ac:dyDescent="0.25">
      <c r="A128" t="s">
        <v>357</v>
      </c>
      <c r="B128" s="2">
        <v>45463</v>
      </c>
      <c r="C128" t="s">
        <v>91</v>
      </c>
      <c r="D128" t="s">
        <v>27</v>
      </c>
      <c r="E128" t="s">
        <v>142</v>
      </c>
      <c r="F128">
        <v>4.2640000000000002</v>
      </c>
      <c r="G128">
        <v>0</v>
      </c>
      <c r="H128">
        <v>0</v>
      </c>
      <c r="I128">
        <v>20</v>
      </c>
      <c r="J128">
        <v>0</v>
      </c>
      <c r="K128">
        <v>0</v>
      </c>
      <c r="L128" t="s">
        <v>143</v>
      </c>
      <c r="M128">
        <v>20</v>
      </c>
      <c r="N128">
        <v>1</v>
      </c>
      <c r="O128">
        <v>0.9</v>
      </c>
      <c r="P128" t="s">
        <v>114</v>
      </c>
      <c r="Q128">
        <v>0.9</v>
      </c>
      <c r="R128" t="s">
        <v>144</v>
      </c>
    </row>
    <row r="129" spans="1:18" x14ac:dyDescent="0.25">
      <c r="A129" t="s">
        <v>358</v>
      </c>
      <c r="B129" s="2">
        <v>45463</v>
      </c>
      <c r="C129" t="s">
        <v>91</v>
      </c>
      <c r="D129" t="s">
        <v>27</v>
      </c>
      <c r="E129" t="s">
        <v>142</v>
      </c>
      <c r="F129">
        <v>10</v>
      </c>
      <c r="G129">
        <v>9.8650000000000002</v>
      </c>
      <c r="H129">
        <v>0</v>
      </c>
      <c r="I129">
        <v>5</v>
      </c>
      <c r="J129">
        <v>0</v>
      </c>
      <c r="K129">
        <v>0</v>
      </c>
      <c r="L129" t="s">
        <v>359</v>
      </c>
      <c r="M129">
        <v>5</v>
      </c>
      <c r="N129">
        <v>0</v>
      </c>
      <c r="O129">
        <v>0.9</v>
      </c>
      <c r="P129" t="s">
        <v>114</v>
      </c>
      <c r="Q129">
        <v>0</v>
      </c>
      <c r="R129" t="s">
        <v>144</v>
      </c>
    </row>
    <row r="130" spans="1:18" x14ac:dyDescent="0.25">
      <c r="A130" t="s">
        <v>360</v>
      </c>
      <c r="B130" s="2">
        <v>45463</v>
      </c>
      <c r="C130" t="s">
        <v>91</v>
      </c>
      <c r="D130" t="s">
        <v>27</v>
      </c>
      <c r="E130" t="s">
        <v>142</v>
      </c>
      <c r="F130">
        <v>6.0149999999999997</v>
      </c>
      <c r="G130">
        <v>0</v>
      </c>
      <c r="H130">
        <v>0</v>
      </c>
      <c r="I130">
        <v>20</v>
      </c>
      <c r="J130">
        <v>0</v>
      </c>
      <c r="K130">
        <v>0</v>
      </c>
      <c r="L130" t="s">
        <v>143</v>
      </c>
      <c r="M130">
        <v>20</v>
      </c>
      <c r="N130">
        <v>1</v>
      </c>
      <c r="O130">
        <v>0.9</v>
      </c>
      <c r="P130" t="s">
        <v>114</v>
      </c>
      <c r="Q130">
        <v>0.9</v>
      </c>
      <c r="R130" t="s">
        <v>144</v>
      </c>
    </row>
    <row r="131" spans="1:18" x14ac:dyDescent="0.25">
      <c r="A131" t="s">
        <v>361</v>
      </c>
      <c r="B131" s="2">
        <v>45463</v>
      </c>
      <c r="C131" t="s">
        <v>91</v>
      </c>
      <c r="D131" t="s">
        <v>27</v>
      </c>
      <c r="E131" t="s">
        <v>142</v>
      </c>
      <c r="F131">
        <v>2.2360000000000002</v>
      </c>
      <c r="G131">
        <v>0</v>
      </c>
      <c r="H131">
        <v>0</v>
      </c>
      <c r="I131">
        <v>20</v>
      </c>
      <c r="J131">
        <v>0</v>
      </c>
      <c r="K131">
        <v>0</v>
      </c>
      <c r="L131" t="s">
        <v>143</v>
      </c>
      <c r="M131">
        <v>20</v>
      </c>
      <c r="N131">
        <v>1</v>
      </c>
      <c r="O131">
        <v>0.9</v>
      </c>
      <c r="P131" t="s">
        <v>114</v>
      </c>
      <c r="Q131">
        <v>0.9</v>
      </c>
      <c r="R131" t="s">
        <v>144</v>
      </c>
    </row>
    <row r="132" spans="1:18" x14ac:dyDescent="0.25">
      <c r="A132" t="s">
        <v>362</v>
      </c>
      <c r="B132" s="2">
        <v>45463</v>
      </c>
      <c r="C132" t="s">
        <v>91</v>
      </c>
      <c r="D132" t="s">
        <v>27</v>
      </c>
      <c r="E132" t="s">
        <v>142</v>
      </c>
      <c r="F132">
        <v>10</v>
      </c>
      <c r="G132">
        <v>32.473999999999997</v>
      </c>
      <c r="H132">
        <v>0</v>
      </c>
      <c r="I132">
        <v>5</v>
      </c>
      <c r="J132">
        <v>0</v>
      </c>
      <c r="K132">
        <v>0</v>
      </c>
      <c r="L132" t="s">
        <v>363</v>
      </c>
      <c r="M132">
        <v>5</v>
      </c>
      <c r="N132">
        <v>0</v>
      </c>
      <c r="O132">
        <v>0.9</v>
      </c>
      <c r="P132" t="s">
        <v>114</v>
      </c>
      <c r="Q132">
        <v>0</v>
      </c>
      <c r="R132" t="s">
        <v>144</v>
      </c>
    </row>
    <row r="133" spans="1:18" x14ac:dyDescent="0.25">
      <c r="A133" t="s">
        <v>364</v>
      </c>
      <c r="B133" s="2">
        <v>45463</v>
      </c>
      <c r="C133" t="s">
        <v>91</v>
      </c>
      <c r="D133" t="s">
        <v>27</v>
      </c>
      <c r="E133" t="s">
        <v>142</v>
      </c>
      <c r="F133">
        <v>7</v>
      </c>
      <c r="G133">
        <v>0</v>
      </c>
      <c r="H133">
        <v>0</v>
      </c>
      <c r="I133">
        <v>20</v>
      </c>
      <c r="J133">
        <v>0</v>
      </c>
      <c r="K133">
        <v>0</v>
      </c>
      <c r="L133" t="s">
        <v>143</v>
      </c>
      <c r="M133">
        <v>20</v>
      </c>
      <c r="N133">
        <v>1</v>
      </c>
      <c r="O133">
        <v>0.9</v>
      </c>
      <c r="P133" t="s">
        <v>114</v>
      </c>
      <c r="Q133">
        <v>0.9</v>
      </c>
      <c r="R133" t="s">
        <v>144</v>
      </c>
    </row>
    <row r="134" spans="1:18" x14ac:dyDescent="0.25">
      <c r="A134" t="s">
        <v>365</v>
      </c>
      <c r="B134" s="2">
        <v>45463</v>
      </c>
      <c r="C134" t="s">
        <v>91</v>
      </c>
      <c r="D134" t="s">
        <v>27</v>
      </c>
      <c r="E134" t="s">
        <v>142</v>
      </c>
      <c r="F134">
        <v>3.032</v>
      </c>
      <c r="G134">
        <v>0</v>
      </c>
      <c r="H134">
        <v>0</v>
      </c>
      <c r="I134">
        <v>20</v>
      </c>
      <c r="J134">
        <v>0</v>
      </c>
      <c r="K134">
        <v>0</v>
      </c>
      <c r="L134" t="s">
        <v>366</v>
      </c>
      <c r="M134">
        <v>20</v>
      </c>
      <c r="N134">
        <v>1</v>
      </c>
      <c r="O134">
        <v>0.9</v>
      </c>
      <c r="P134" t="s">
        <v>114</v>
      </c>
      <c r="Q134">
        <v>0.9</v>
      </c>
      <c r="R134" t="s">
        <v>144</v>
      </c>
    </row>
    <row r="135" spans="1:18" x14ac:dyDescent="0.25">
      <c r="A135" t="s">
        <v>367</v>
      </c>
      <c r="B135" s="2">
        <v>45463</v>
      </c>
      <c r="C135" t="s">
        <v>91</v>
      </c>
      <c r="D135" t="s">
        <v>27</v>
      </c>
      <c r="E135" t="s">
        <v>142</v>
      </c>
      <c r="F135">
        <v>6.2350000000000003</v>
      </c>
      <c r="G135">
        <v>0</v>
      </c>
      <c r="H135">
        <v>0</v>
      </c>
      <c r="I135">
        <v>20</v>
      </c>
      <c r="J135">
        <v>0</v>
      </c>
      <c r="K135">
        <v>0</v>
      </c>
      <c r="L135" t="s">
        <v>143</v>
      </c>
      <c r="M135">
        <v>20</v>
      </c>
      <c r="N135">
        <v>1</v>
      </c>
      <c r="O135">
        <v>0.9</v>
      </c>
      <c r="P135" t="s">
        <v>114</v>
      </c>
      <c r="Q135">
        <v>0.9</v>
      </c>
      <c r="R135" t="s">
        <v>144</v>
      </c>
    </row>
    <row r="136" spans="1:18" x14ac:dyDescent="0.25">
      <c r="A136" t="s">
        <v>368</v>
      </c>
      <c r="B136" s="2">
        <v>45463</v>
      </c>
      <c r="C136" t="s">
        <v>91</v>
      </c>
      <c r="D136" t="s">
        <v>27</v>
      </c>
      <c r="E136" t="s">
        <v>142</v>
      </c>
      <c r="F136">
        <v>0.871</v>
      </c>
      <c r="G136">
        <v>0</v>
      </c>
      <c r="H136">
        <v>0</v>
      </c>
      <c r="I136">
        <v>20</v>
      </c>
      <c r="J136">
        <v>0</v>
      </c>
      <c r="K136">
        <v>0</v>
      </c>
      <c r="L136" t="s">
        <v>143</v>
      </c>
      <c r="M136">
        <v>20</v>
      </c>
      <c r="N136">
        <v>1</v>
      </c>
      <c r="O136">
        <v>0.9</v>
      </c>
      <c r="P136" t="s">
        <v>114</v>
      </c>
      <c r="Q136">
        <v>0.9</v>
      </c>
      <c r="R136" t="s">
        <v>144</v>
      </c>
    </row>
    <row r="137" spans="1:18" x14ac:dyDescent="0.25">
      <c r="A137" t="s">
        <v>369</v>
      </c>
      <c r="B137" s="2">
        <v>45463</v>
      </c>
      <c r="C137" t="s">
        <v>91</v>
      </c>
      <c r="D137" t="s">
        <v>27</v>
      </c>
      <c r="E137" t="s">
        <v>142</v>
      </c>
      <c r="F137">
        <v>5.78</v>
      </c>
      <c r="G137">
        <v>0</v>
      </c>
      <c r="H137">
        <v>0</v>
      </c>
      <c r="I137">
        <v>5</v>
      </c>
      <c r="J137">
        <v>0</v>
      </c>
      <c r="K137">
        <v>0</v>
      </c>
      <c r="L137" t="s">
        <v>370</v>
      </c>
      <c r="M137">
        <v>5</v>
      </c>
      <c r="N137">
        <v>0</v>
      </c>
      <c r="O137">
        <v>0.9</v>
      </c>
      <c r="P137" t="s">
        <v>114</v>
      </c>
      <c r="Q137">
        <v>0</v>
      </c>
      <c r="R137" t="s">
        <v>144</v>
      </c>
    </row>
    <row r="138" spans="1:18" x14ac:dyDescent="0.25">
      <c r="A138" t="s">
        <v>371</v>
      </c>
      <c r="B138" s="2">
        <v>45464</v>
      </c>
      <c r="C138" t="s">
        <v>91</v>
      </c>
      <c r="D138" t="s">
        <v>27</v>
      </c>
      <c r="E138" t="s">
        <v>142</v>
      </c>
      <c r="F138">
        <v>10</v>
      </c>
      <c r="G138">
        <v>0.26099999999999901</v>
      </c>
      <c r="H138">
        <v>0.39150000000000001</v>
      </c>
      <c r="I138">
        <v>20</v>
      </c>
      <c r="J138">
        <v>0</v>
      </c>
      <c r="K138">
        <v>0</v>
      </c>
      <c r="L138" t="s">
        <v>143</v>
      </c>
      <c r="M138">
        <v>20.391500000000001</v>
      </c>
      <c r="N138">
        <v>1</v>
      </c>
      <c r="O138">
        <v>0.9</v>
      </c>
      <c r="P138" t="s">
        <v>114</v>
      </c>
      <c r="Q138">
        <v>0.9</v>
      </c>
      <c r="R138" t="s">
        <v>144</v>
      </c>
    </row>
    <row r="139" spans="1:18" x14ac:dyDescent="0.25">
      <c r="A139" t="s">
        <v>372</v>
      </c>
      <c r="B139" s="2">
        <v>45464</v>
      </c>
      <c r="C139" t="s">
        <v>91</v>
      </c>
      <c r="D139" t="s">
        <v>27</v>
      </c>
      <c r="E139" t="s">
        <v>142</v>
      </c>
      <c r="F139">
        <v>10</v>
      </c>
      <c r="G139">
        <v>9.157</v>
      </c>
      <c r="H139">
        <v>0</v>
      </c>
      <c r="I139">
        <v>5</v>
      </c>
      <c r="J139">
        <v>0</v>
      </c>
      <c r="K139">
        <v>0</v>
      </c>
      <c r="L139" t="s">
        <v>373</v>
      </c>
      <c r="M139">
        <v>5</v>
      </c>
      <c r="N139">
        <v>0</v>
      </c>
      <c r="O139">
        <v>0.9</v>
      </c>
      <c r="P139" t="s">
        <v>114</v>
      </c>
      <c r="Q139">
        <v>0</v>
      </c>
      <c r="R139" t="s">
        <v>144</v>
      </c>
    </row>
    <row r="140" spans="1:18" x14ac:dyDescent="0.25">
      <c r="A140" t="s">
        <v>374</v>
      </c>
      <c r="B140" s="2">
        <v>45464</v>
      </c>
      <c r="C140" t="s">
        <v>91</v>
      </c>
      <c r="D140" t="s">
        <v>27</v>
      </c>
      <c r="E140" t="s">
        <v>142</v>
      </c>
      <c r="F140">
        <v>3.0059999999999998</v>
      </c>
      <c r="G140">
        <v>0</v>
      </c>
      <c r="H140">
        <v>0</v>
      </c>
      <c r="I140">
        <v>20</v>
      </c>
      <c r="J140">
        <v>0</v>
      </c>
      <c r="K140">
        <v>0</v>
      </c>
      <c r="L140" t="s">
        <v>143</v>
      </c>
      <c r="M140">
        <v>20</v>
      </c>
      <c r="N140">
        <v>1</v>
      </c>
      <c r="O140">
        <v>0.9</v>
      </c>
      <c r="P140" t="s">
        <v>114</v>
      </c>
      <c r="Q140">
        <v>0.9</v>
      </c>
      <c r="R140" t="s">
        <v>144</v>
      </c>
    </row>
    <row r="141" spans="1:18" x14ac:dyDescent="0.25">
      <c r="A141" t="s">
        <v>375</v>
      </c>
      <c r="B141" s="2">
        <v>45464</v>
      </c>
      <c r="C141" t="s">
        <v>91</v>
      </c>
      <c r="D141" t="s">
        <v>27</v>
      </c>
      <c r="E141" t="s">
        <v>142</v>
      </c>
      <c r="F141">
        <v>5.4029999999999996</v>
      </c>
      <c r="G141">
        <v>0</v>
      </c>
      <c r="H141">
        <v>0</v>
      </c>
      <c r="I141">
        <v>20</v>
      </c>
      <c r="J141">
        <v>0</v>
      </c>
      <c r="K141">
        <v>0</v>
      </c>
      <c r="L141" t="s">
        <v>143</v>
      </c>
      <c r="M141">
        <v>20</v>
      </c>
      <c r="N141">
        <v>1</v>
      </c>
      <c r="O141">
        <v>0.9</v>
      </c>
      <c r="P141" t="s">
        <v>114</v>
      </c>
      <c r="Q141">
        <v>0.9</v>
      </c>
      <c r="R141" t="s">
        <v>144</v>
      </c>
    </row>
    <row r="142" spans="1:18" x14ac:dyDescent="0.25">
      <c r="A142" t="s">
        <v>376</v>
      </c>
      <c r="B142" s="2">
        <v>45464</v>
      </c>
      <c r="C142" t="s">
        <v>91</v>
      </c>
      <c r="D142" t="s">
        <v>27</v>
      </c>
      <c r="E142" t="s">
        <v>142</v>
      </c>
      <c r="F142">
        <v>4.5190000000000001</v>
      </c>
      <c r="G142">
        <v>0</v>
      </c>
      <c r="H142">
        <v>0</v>
      </c>
      <c r="I142">
        <v>20</v>
      </c>
      <c r="J142">
        <v>0</v>
      </c>
      <c r="K142">
        <v>0</v>
      </c>
      <c r="L142" t="s">
        <v>143</v>
      </c>
      <c r="M142">
        <v>20</v>
      </c>
      <c r="N142">
        <v>1</v>
      </c>
      <c r="O142">
        <v>0.9</v>
      </c>
      <c r="P142" t="s">
        <v>114</v>
      </c>
      <c r="Q142">
        <v>0.9</v>
      </c>
      <c r="R142" t="s">
        <v>144</v>
      </c>
    </row>
    <row r="143" spans="1:18" x14ac:dyDescent="0.25">
      <c r="A143" t="s">
        <v>377</v>
      </c>
      <c r="B143" s="2">
        <v>45464</v>
      </c>
      <c r="C143" t="s">
        <v>91</v>
      </c>
      <c r="D143" t="s">
        <v>27</v>
      </c>
      <c r="E143" t="s">
        <v>142</v>
      </c>
      <c r="F143">
        <v>10</v>
      </c>
      <c r="G143">
        <v>2.4420000000000002</v>
      </c>
      <c r="H143">
        <v>3.6629999999999998</v>
      </c>
      <c r="I143">
        <v>20</v>
      </c>
      <c r="J143">
        <v>0</v>
      </c>
      <c r="K143">
        <v>0</v>
      </c>
      <c r="L143" t="s">
        <v>145</v>
      </c>
      <c r="M143">
        <v>23.663</v>
      </c>
      <c r="N143">
        <v>1</v>
      </c>
      <c r="O143">
        <v>0.9</v>
      </c>
      <c r="P143" t="s">
        <v>114</v>
      </c>
      <c r="Q143">
        <v>0.9</v>
      </c>
      <c r="R143" t="s">
        <v>144</v>
      </c>
    </row>
    <row r="144" spans="1:18" x14ac:dyDescent="0.25">
      <c r="A144" t="s">
        <v>378</v>
      </c>
      <c r="B144" s="2">
        <v>45464</v>
      </c>
      <c r="C144" t="s">
        <v>91</v>
      </c>
      <c r="D144" t="s">
        <v>27</v>
      </c>
      <c r="E144" t="s">
        <v>142</v>
      </c>
      <c r="F144">
        <v>0.94299999999999995</v>
      </c>
      <c r="G144">
        <v>0</v>
      </c>
      <c r="H144">
        <v>0</v>
      </c>
      <c r="I144">
        <v>20</v>
      </c>
      <c r="J144">
        <v>0</v>
      </c>
      <c r="K144">
        <v>0</v>
      </c>
      <c r="L144" t="s">
        <v>143</v>
      </c>
      <c r="M144">
        <v>20</v>
      </c>
      <c r="N144">
        <v>1</v>
      </c>
      <c r="O144">
        <v>0.9</v>
      </c>
      <c r="P144" t="s">
        <v>114</v>
      </c>
      <c r="Q144">
        <v>0.9</v>
      </c>
      <c r="R144" t="s">
        <v>144</v>
      </c>
    </row>
    <row r="145" spans="1:18" x14ac:dyDescent="0.25">
      <c r="A145" t="s">
        <v>379</v>
      </c>
      <c r="B145" s="2">
        <v>45467</v>
      </c>
      <c r="C145" t="s">
        <v>91</v>
      </c>
      <c r="D145" t="s">
        <v>27</v>
      </c>
      <c r="E145" t="s">
        <v>142</v>
      </c>
      <c r="F145">
        <v>10</v>
      </c>
      <c r="G145">
        <v>0.217000000000001</v>
      </c>
      <c r="H145">
        <v>0.32550000000000001</v>
      </c>
      <c r="I145">
        <v>20</v>
      </c>
      <c r="J145">
        <v>0</v>
      </c>
      <c r="K145">
        <v>0</v>
      </c>
      <c r="L145" t="s">
        <v>143</v>
      </c>
      <c r="M145">
        <v>20.325500000000002</v>
      </c>
      <c r="N145">
        <v>1</v>
      </c>
      <c r="O145">
        <v>0.9</v>
      </c>
      <c r="P145" t="s">
        <v>115</v>
      </c>
      <c r="Q145">
        <v>0.9</v>
      </c>
      <c r="R145" t="s">
        <v>144</v>
      </c>
    </row>
    <row r="146" spans="1:18" x14ac:dyDescent="0.25">
      <c r="A146" t="s">
        <v>380</v>
      </c>
      <c r="B146" s="2">
        <v>45467</v>
      </c>
      <c r="C146" t="s">
        <v>91</v>
      </c>
      <c r="D146" t="s">
        <v>27</v>
      </c>
      <c r="E146" t="s">
        <v>142</v>
      </c>
      <c r="F146">
        <v>1.599</v>
      </c>
      <c r="G146">
        <v>0</v>
      </c>
      <c r="H146">
        <v>0</v>
      </c>
      <c r="I146">
        <v>5</v>
      </c>
      <c r="J146">
        <v>0</v>
      </c>
      <c r="K146">
        <v>0</v>
      </c>
      <c r="L146" t="s">
        <v>381</v>
      </c>
      <c r="M146">
        <v>5</v>
      </c>
      <c r="N146">
        <v>0</v>
      </c>
      <c r="O146">
        <v>0.9</v>
      </c>
      <c r="P146" t="s">
        <v>115</v>
      </c>
      <c r="Q146">
        <v>0</v>
      </c>
      <c r="R146" t="s">
        <v>144</v>
      </c>
    </row>
    <row r="147" spans="1:18" x14ac:dyDescent="0.25">
      <c r="A147" t="s">
        <v>382</v>
      </c>
      <c r="B147" s="2">
        <v>45467</v>
      </c>
      <c r="C147" t="s">
        <v>91</v>
      </c>
      <c r="D147" t="s">
        <v>27</v>
      </c>
      <c r="E147" t="s">
        <v>142</v>
      </c>
      <c r="F147">
        <v>4.0730000000000004</v>
      </c>
      <c r="G147">
        <v>0</v>
      </c>
      <c r="H147">
        <v>0</v>
      </c>
      <c r="I147">
        <v>20</v>
      </c>
      <c r="J147">
        <v>0</v>
      </c>
      <c r="K147">
        <v>0</v>
      </c>
      <c r="L147" t="s">
        <v>143</v>
      </c>
      <c r="M147">
        <v>20</v>
      </c>
      <c r="N147">
        <v>1</v>
      </c>
      <c r="O147">
        <v>0.9</v>
      </c>
      <c r="P147" t="s">
        <v>115</v>
      </c>
      <c r="Q147">
        <v>0.9</v>
      </c>
      <c r="R147" t="s">
        <v>144</v>
      </c>
    </row>
    <row r="148" spans="1:18" x14ac:dyDescent="0.25">
      <c r="A148" t="s">
        <v>383</v>
      </c>
      <c r="B148" s="2">
        <v>45467</v>
      </c>
      <c r="C148" t="s">
        <v>91</v>
      </c>
      <c r="D148" t="s">
        <v>27</v>
      </c>
      <c r="E148" t="s">
        <v>142</v>
      </c>
      <c r="F148">
        <v>10</v>
      </c>
      <c r="G148">
        <v>3.056</v>
      </c>
      <c r="H148">
        <v>0</v>
      </c>
      <c r="I148">
        <v>5</v>
      </c>
      <c r="J148">
        <v>0</v>
      </c>
      <c r="K148">
        <v>0</v>
      </c>
      <c r="L148" t="s">
        <v>384</v>
      </c>
      <c r="M148">
        <v>5</v>
      </c>
      <c r="N148">
        <v>0</v>
      </c>
      <c r="O148">
        <v>0.9</v>
      </c>
      <c r="P148" t="s">
        <v>115</v>
      </c>
      <c r="Q148">
        <v>0</v>
      </c>
      <c r="R148" t="s">
        <v>144</v>
      </c>
    </row>
    <row r="149" spans="1:18" x14ac:dyDescent="0.25">
      <c r="A149" t="s">
        <v>385</v>
      </c>
      <c r="B149" s="2">
        <v>45467</v>
      </c>
      <c r="C149" t="s">
        <v>91</v>
      </c>
      <c r="D149" t="s">
        <v>27</v>
      </c>
      <c r="E149" t="s">
        <v>142</v>
      </c>
      <c r="F149">
        <v>0.68400000000000005</v>
      </c>
      <c r="G149">
        <v>0</v>
      </c>
      <c r="H149">
        <v>0</v>
      </c>
      <c r="I149">
        <v>5</v>
      </c>
      <c r="J149">
        <v>0</v>
      </c>
      <c r="K149">
        <v>0</v>
      </c>
      <c r="L149" t="s">
        <v>386</v>
      </c>
      <c r="M149">
        <v>5</v>
      </c>
      <c r="N149">
        <v>0</v>
      </c>
      <c r="O149">
        <v>0.9</v>
      </c>
      <c r="P149" t="s">
        <v>115</v>
      </c>
      <c r="Q149">
        <v>0</v>
      </c>
      <c r="R149" t="s">
        <v>144</v>
      </c>
    </row>
    <row r="150" spans="1:18" x14ac:dyDescent="0.25">
      <c r="A150" t="s">
        <v>387</v>
      </c>
      <c r="B150" s="2">
        <v>45467</v>
      </c>
      <c r="C150" t="s">
        <v>91</v>
      </c>
      <c r="D150" t="s">
        <v>27</v>
      </c>
      <c r="E150" t="s">
        <v>142</v>
      </c>
      <c r="F150">
        <v>4.6749999999999998</v>
      </c>
      <c r="G150">
        <v>0</v>
      </c>
      <c r="H150">
        <v>0</v>
      </c>
      <c r="I150">
        <v>20</v>
      </c>
      <c r="J150">
        <v>0</v>
      </c>
      <c r="K150">
        <v>0</v>
      </c>
      <c r="L150" t="s">
        <v>143</v>
      </c>
      <c r="M150">
        <v>20</v>
      </c>
      <c r="N150">
        <v>1</v>
      </c>
      <c r="O150">
        <v>0.9</v>
      </c>
      <c r="P150" t="s">
        <v>115</v>
      </c>
      <c r="Q150">
        <v>0.9</v>
      </c>
      <c r="R150" t="s">
        <v>144</v>
      </c>
    </row>
    <row r="151" spans="1:18" x14ac:dyDescent="0.25">
      <c r="A151" t="s">
        <v>388</v>
      </c>
      <c r="B151" s="2">
        <v>45467</v>
      </c>
      <c r="C151" t="s">
        <v>91</v>
      </c>
      <c r="D151" t="s">
        <v>27</v>
      </c>
      <c r="E151" t="s">
        <v>142</v>
      </c>
      <c r="F151">
        <v>10</v>
      </c>
      <c r="G151">
        <v>1.5249999999999999</v>
      </c>
      <c r="H151">
        <v>2.2875000000000001</v>
      </c>
      <c r="I151">
        <v>20</v>
      </c>
      <c r="J151">
        <v>0</v>
      </c>
      <c r="K151">
        <v>0</v>
      </c>
      <c r="L151" t="s">
        <v>143</v>
      </c>
      <c r="M151">
        <v>22.287500000000001</v>
      </c>
      <c r="N151">
        <v>1</v>
      </c>
      <c r="O151">
        <v>0.9</v>
      </c>
      <c r="P151" t="s">
        <v>115</v>
      </c>
      <c r="Q151">
        <v>0.9</v>
      </c>
      <c r="R151" t="s">
        <v>144</v>
      </c>
    </row>
    <row r="152" spans="1:18" x14ac:dyDescent="0.25">
      <c r="A152" t="s">
        <v>389</v>
      </c>
      <c r="B152" s="2">
        <v>45467</v>
      </c>
      <c r="C152" t="s">
        <v>91</v>
      </c>
      <c r="D152" t="s">
        <v>27</v>
      </c>
      <c r="E152" t="s">
        <v>142</v>
      </c>
      <c r="F152">
        <v>10</v>
      </c>
      <c r="G152">
        <v>1.3440000000000001</v>
      </c>
      <c r="H152">
        <v>0</v>
      </c>
      <c r="I152">
        <v>5</v>
      </c>
      <c r="J152">
        <v>0</v>
      </c>
      <c r="K152">
        <v>0</v>
      </c>
      <c r="L152" t="s">
        <v>390</v>
      </c>
      <c r="M152">
        <v>5</v>
      </c>
      <c r="N152">
        <v>0</v>
      </c>
      <c r="O152">
        <v>0.9</v>
      </c>
      <c r="P152" t="s">
        <v>115</v>
      </c>
      <c r="Q152">
        <v>0</v>
      </c>
      <c r="R152" t="s">
        <v>144</v>
      </c>
    </row>
    <row r="153" spans="1:18" x14ac:dyDescent="0.25">
      <c r="A153" t="s">
        <v>391</v>
      </c>
      <c r="B153" s="2">
        <v>45467</v>
      </c>
      <c r="C153" t="s">
        <v>91</v>
      </c>
      <c r="D153" t="s">
        <v>27</v>
      </c>
      <c r="E153" t="s">
        <v>142</v>
      </c>
      <c r="F153">
        <v>2.7509999999999999</v>
      </c>
      <c r="G153">
        <v>0</v>
      </c>
      <c r="H153">
        <v>0</v>
      </c>
      <c r="I153">
        <v>20</v>
      </c>
      <c r="J153">
        <v>0</v>
      </c>
      <c r="K153">
        <v>0</v>
      </c>
      <c r="L153" t="s">
        <v>143</v>
      </c>
      <c r="M153">
        <v>20</v>
      </c>
      <c r="N153">
        <v>1</v>
      </c>
      <c r="O153">
        <v>0.9</v>
      </c>
      <c r="P153" t="s">
        <v>115</v>
      </c>
      <c r="Q153">
        <v>0.9</v>
      </c>
      <c r="R153" t="s">
        <v>144</v>
      </c>
    </row>
    <row r="154" spans="1:18" x14ac:dyDescent="0.25">
      <c r="A154" t="s">
        <v>392</v>
      </c>
      <c r="B154" s="2">
        <v>45467</v>
      </c>
      <c r="C154" t="s">
        <v>91</v>
      </c>
      <c r="D154" t="s">
        <v>27</v>
      </c>
      <c r="E154" t="s">
        <v>142</v>
      </c>
      <c r="F154">
        <v>1.76</v>
      </c>
      <c r="G154">
        <v>0</v>
      </c>
      <c r="H154">
        <v>0</v>
      </c>
      <c r="I154">
        <v>20</v>
      </c>
      <c r="J154">
        <v>0</v>
      </c>
      <c r="K154">
        <v>0</v>
      </c>
      <c r="L154" t="s">
        <v>143</v>
      </c>
      <c r="M154">
        <v>20</v>
      </c>
      <c r="N154">
        <v>1</v>
      </c>
      <c r="O154">
        <v>0.9</v>
      </c>
      <c r="P154" t="s">
        <v>115</v>
      </c>
      <c r="Q154">
        <v>0.9</v>
      </c>
      <c r="R154" t="s">
        <v>144</v>
      </c>
    </row>
    <row r="155" spans="1:18" x14ac:dyDescent="0.25">
      <c r="A155" t="s">
        <v>393</v>
      </c>
      <c r="B155" s="2">
        <v>45467</v>
      </c>
      <c r="C155" t="s">
        <v>91</v>
      </c>
      <c r="D155" t="s">
        <v>27</v>
      </c>
      <c r="E155" t="s">
        <v>142</v>
      </c>
      <c r="F155">
        <v>0.86099999999999999</v>
      </c>
      <c r="G155">
        <v>0</v>
      </c>
      <c r="H155">
        <v>0</v>
      </c>
      <c r="I155">
        <v>5</v>
      </c>
      <c r="J155">
        <v>0</v>
      </c>
      <c r="K155">
        <v>0</v>
      </c>
      <c r="L155" t="s">
        <v>394</v>
      </c>
      <c r="M155">
        <v>5</v>
      </c>
      <c r="N155">
        <v>0</v>
      </c>
      <c r="O155">
        <v>0.9</v>
      </c>
      <c r="P155" t="s">
        <v>115</v>
      </c>
      <c r="Q155">
        <v>0</v>
      </c>
      <c r="R155" t="s">
        <v>144</v>
      </c>
    </row>
    <row r="156" spans="1:18" x14ac:dyDescent="0.25">
      <c r="A156" t="s">
        <v>395</v>
      </c>
      <c r="B156" s="2">
        <v>45468</v>
      </c>
      <c r="C156" t="s">
        <v>91</v>
      </c>
      <c r="D156" t="s">
        <v>27</v>
      </c>
      <c r="E156" t="s">
        <v>142</v>
      </c>
      <c r="F156">
        <v>0.81</v>
      </c>
      <c r="G156">
        <v>0</v>
      </c>
      <c r="H156">
        <v>0</v>
      </c>
      <c r="I156">
        <v>20</v>
      </c>
      <c r="J156">
        <v>0</v>
      </c>
      <c r="K156">
        <v>0</v>
      </c>
      <c r="L156" t="s">
        <v>143</v>
      </c>
      <c r="M156">
        <v>20</v>
      </c>
      <c r="N156">
        <v>1</v>
      </c>
      <c r="O156">
        <v>0.9</v>
      </c>
      <c r="P156" t="s">
        <v>115</v>
      </c>
      <c r="Q156">
        <v>0.9</v>
      </c>
      <c r="R156" t="s">
        <v>144</v>
      </c>
    </row>
    <row r="157" spans="1:18" x14ac:dyDescent="0.25">
      <c r="A157" t="s">
        <v>396</v>
      </c>
      <c r="B157" s="2">
        <v>45468</v>
      </c>
      <c r="C157" t="s">
        <v>91</v>
      </c>
      <c r="D157" t="s">
        <v>27</v>
      </c>
      <c r="E157" t="s">
        <v>142</v>
      </c>
      <c r="F157">
        <v>0.81</v>
      </c>
      <c r="G157">
        <v>0</v>
      </c>
      <c r="H157">
        <v>0</v>
      </c>
      <c r="I157">
        <v>20</v>
      </c>
      <c r="J157">
        <v>0</v>
      </c>
      <c r="K157">
        <v>0</v>
      </c>
      <c r="L157" t="s">
        <v>143</v>
      </c>
      <c r="M157">
        <v>20</v>
      </c>
      <c r="N157">
        <v>1</v>
      </c>
      <c r="O157">
        <v>0.9</v>
      </c>
      <c r="P157" t="s">
        <v>115</v>
      </c>
      <c r="Q157">
        <v>0.9</v>
      </c>
      <c r="R157" t="s">
        <v>144</v>
      </c>
    </row>
    <row r="158" spans="1:18" x14ac:dyDescent="0.25">
      <c r="A158" t="s">
        <v>397</v>
      </c>
      <c r="B158" s="2">
        <v>45468</v>
      </c>
      <c r="C158" t="s">
        <v>91</v>
      </c>
      <c r="D158" t="s">
        <v>27</v>
      </c>
      <c r="E158" t="s">
        <v>142</v>
      </c>
      <c r="F158">
        <v>7.6859999999999999</v>
      </c>
      <c r="G158">
        <v>0</v>
      </c>
      <c r="H158">
        <v>0</v>
      </c>
      <c r="I158">
        <v>20</v>
      </c>
      <c r="J158">
        <v>0</v>
      </c>
      <c r="K158">
        <v>0</v>
      </c>
      <c r="L158" t="s">
        <v>398</v>
      </c>
      <c r="M158">
        <v>20</v>
      </c>
      <c r="N158">
        <v>1</v>
      </c>
      <c r="O158">
        <v>0.9</v>
      </c>
      <c r="P158" t="s">
        <v>115</v>
      </c>
      <c r="Q158">
        <v>0.9</v>
      </c>
      <c r="R158" t="s">
        <v>144</v>
      </c>
    </row>
    <row r="159" spans="1:18" x14ac:dyDescent="0.25">
      <c r="A159" t="s">
        <v>399</v>
      </c>
      <c r="B159" s="2">
        <v>45468</v>
      </c>
      <c r="C159" t="s">
        <v>91</v>
      </c>
      <c r="D159" t="s">
        <v>27</v>
      </c>
      <c r="E159" t="s">
        <v>142</v>
      </c>
      <c r="F159">
        <v>4.2089999999999996</v>
      </c>
      <c r="G159">
        <v>0</v>
      </c>
      <c r="H159">
        <v>0</v>
      </c>
      <c r="I159">
        <v>20</v>
      </c>
      <c r="J159">
        <v>0</v>
      </c>
      <c r="K159">
        <v>0</v>
      </c>
      <c r="L159" t="s">
        <v>143</v>
      </c>
      <c r="M159">
        <v>20</v>
      </c>
      <c r="N159">
        <v>1</v>
      </c>
      <c r="O159">
        <v>0.9</v>
      </c>
      <c r="P159" t="s">
        <v>115</v>
      </c>
      <c r="Q159">
        <v>0.9</v>
      </c>
      <c r="R159" t="s">
        <v>144</v>
      </c>
    </row>
    <row r="160" spans="1:18" x14ac:dyDescent="0.25">
      <c r="A160" t="s">
        <v>400</v>
      </c>
      <c r="B160" s="2">
        <v>45468</v>
      </c>
      <c r="C160" t="s">
        <v>91</v>
      </c>
      <c r="D160" t="s">
        <v>27</v>
      </c>
      <c r="E160" t="s">
        <v>142</v>
      </c>
      <c r="F160">
        <v>5.8140000000000001</v>
      </c>
      <c r="G160">
        <v>0</v>
      </c>
      <c r="H160">
        <v>0</v>
      </c>
      <c r="I160">
        <v>20</v>
      </c>
      <c r="J160">
        <v>0</v>
      </c>
      <c r="K160">
        <v>0</v>
      </c>
      <c r="L160" t="s">
        <v>143</v>
      </c>
      <c r="M160">
        <v>20</v>
      </c>
      <c r="N160">
        <v>1</v>
      </c>
      <c r="O160">
        <v>0.9</v>
      </c>
      <c r="P160" t="s">
        <v>115</v>
      </c>
      <c r="Q160">
        <v>0.9</v>
      </c>
      <c r="R160" t="s">
        <v>144</v>
      </c>
    </row>
    <row r="161" spans="1:18" x14ac:dyDescent="0.25">
      <c r="A161" t="s">
        <v>401</v>
      </c>
      <c r="B161" s="2">
        <v>45468</v>
      </c>
      <c r="C161" t="s">
        <v>91</v>
      </c>
      <c r="D161" t="s">
        <v>27</v>
      </c>
      <c r="E161" t="s">
        <v>142</v>
      </c>
      <c r="F161">
        <v>10</v>
      </c>
      <c r="G161">
        <v>0.38400000000000001</v>
      </c>
      <c r="H161">
        <v>0.57599999999999996</v>
      </c>
      <c r="I161">
        <v>20</v>
      </c>
      <c r="J161">
        <v>0</v>
      </c>
      <c r="K161">
        <v>0</v>
      </c>
      <c r="L161" t="s">
        <v>143</v>
      </c>
      <c r="M161">
        <v>20.576000000000001</v>
      </c>
      <c r="N161">
        <v>1</v>
      </c>
      <c r="O161">
        <v>0.9</v>
      </c>
      <c r="P161" t="s">
        <v>115</v>
      </c>
      <c r="Q161">
        <v>0.9</v>
      </c>
      <c r="R161" t="s">
        <v>144</v>
      </c>
    </row>
    <row r="162" spans="1:18" x14ac:dyDescent="0.25">
      <c r="A162" t="s">
        <v>402</v>
      </c>
      <c r="B162" s="2">
        <v>45468</v>
      </c>
      <c r="C162" t="s">
        <v>91</v>
      </c>
      <c r="D162" t="s">
        <v>27</v>
      </c>
      <c r="E162" t="s">
        <v>142</v>
      </c>
      <c r="F162">
        <v>2.84</v>
      </c>
      <c r="G162">
        <v>0</v>
      </c>
      <c r="H162">
        <v>0</v>
      </c>
      <c r="I162">
        <v>20</v>
      </c>
      <c r="J162">
        <v>0</v>
      </c>
      <c r="K162">
        <v>0</v>
      </c>
      <c r="L162" t="s">
        <v>143</v>
      </c>
      <c r="M162">
        <v>20</v>
      </c>
      <c r="N162">
        <v>1</v>
      </c>
      <c r="O162">
        <v>0.9</v>
      </c>
      <c r="P162" t="s">
        <v>115</v>
      </c>
      <c r="Q162">
        <v>0.9</v>
      </c>
      <c r="R162" t="s">
        <v>144</v>
      </c>
    </row>
    <row r="163" spans="1:18" x14ac:dyDescent="0.25">
      <c r="A163" t="s">
        <v>403</v>
      </c>
      <c r="B163" s="2">
        <v>45468</v>
      </c>
      <c r="C163" t="s">
        <v>91</v>
      </c>
      <c r="D163" t="s">
        <v>27</v>
      </c>
      <c r="E163" t="s">
        <v>142</v>
      </c>
      <c r="F163">
        <v>1.716</v>
      </c>
      <c r="G163">
        <v>0</v>
      </c>
      <c r="H163">
        <v>0</v>
      </c>
      <c r="I163">
        <v>20</v>
      </c>
      <c r="J163">
        <v>0</v>
      </c>
      <c r="K163">
        <v>0</v>
      </c>
      <c r="L163" t="s">
        <v>143</v>
      </c>
      <c r="M163">
        <v>20</v>
      </c>
      <c r="N163">
        <v>1</v>
      </c>
      <c r="O163">
        <v>0.9</v>
      </c>
      <c r="P163" t="s">
        <v>115</v>
      </c>
      <c r="Q163">
        <v>0.9</v>
      </c>
      <c r="R163" t="s">
        <v>144</v>
      </c>
    </row>
    <row r="164" spans="1:18" x14ac:dyDescent="0.25">
      <c r="A164" t="s">
        <v>404</v>
      </c>
      <c r="B164" s="2">
        <v>45468</v>
      </c>
      <c r="C164" t="s">
        <v>91</v>
      </c>
      <c r="D164" t="s">
        <v>27</v>
      </c>
      <c r="E164" t="s">
        <v>142</v>
      </c>
      <c r="F164">
        <v>4.3789999999999996</v>
      </c>
      <c r="G164">
        <v>0</v>
      </c>
      <c r="H164">
        <v>0</v>
      </c>
      <c r="I164">
        <v>5</v>
      </c>
      <c r="J164">
        <v>0</v>
      </c>
      <c r="K164">
        <v>0</v>
      </c>
      <c r="L164" t="s">
        <v>405</v>
      </c>
      <c r="M164">
        <v>5</v>
      </c>
      <c r="N164">
        <v>0</v>
      </c>
      <c r="O164">
        <v>0.9</v>
      </c>
      <c r="P164" t="s">
        <v>115</v>
      </c>
      <c r="Q164">
        <v>0</v>
      </c>
      <c r="R164" t="s">
        <v>144</v>
      </c>
    </row>
    <row r="165" spans="1:18" x14ac:dyDescent="0.25">
      <c r="A165" t="s">
        <v>406</v>
      </c>
      <c r="B165" s="2">
        <v>45468</v>
      </c>
      <c r="C165" t="s">
        <v>91</v>
      </c>
      <c r="D165" t="s">
        <v>27</v>
      </c>
      <c r="E165" t="s">
        <v>142</v>
      </c>
      <c r="F165">
        <v>10</v>
      </c>
      <c r="G165">
        <v>5.2759999999999998</v>
      </c>
      <c r="H165">
        <v>7.9139999999999997</v>
      </c>
      <c r="I165">
        <v>20</v>
      </c>
      <c r="J165">
        <v>0</v>
      </c>
      <c r="K165">
        <v>0</v>
      </c>
      <c r="L165" t="s">
        <v>143</v>
      </c>
      <c r="M165">
        <v>27.914000000000001</v>
      </c>
      <c r="N165">
        <v>1</v>
      </c>
      <c r="O165">
        <v>0.9</v>
      </c>
      <c r="P165" t="s">
        <v>115</v>
      </c>
      <c r="Q165">
        <v>0.9</v>
      </c>
      <c r="R165" t="s">
        <v>144</v>
      </c>
    </row>
    <row r="166" spans="1:18" x14ac:dyDescent="0.25">
      <c r="A166" t="s">
        <v>407</v>
      </c>
      <c r="B166" s="2">
        <v>45468</v>
      </c>
      <c r="C166" t="s">
        <v>91</v>
      </c>
      <c r="D166" t="s">
        <v>27</v>
      </c>
      <c r="E166" t="s">
        <v>142</v>
      </c>
      <c r="F166">
        <v>4.0449999999999999</v>
      </c>
      <c r="G166">
        <v>0</v>
      </c>
      <c r="H166">
        <v>0</v>
      </c>
      <c r="I166">
        <v>5</v>
      </c>
      <c r="J166">
        <v>0</v>
      </c>
      <c r="K166">
        <v>0</v>
      </c>
      <c r="L166" t="s">
        <v>408</v>
      </c>
      <c r="M166">
        <v>5</v>
      </c>
      <c r="N166">
        <v>0</v>
      </c>
      <c r="O166">
        <v>0.9</v>
      </c>
      <c r="P166" t="s">
        <v>115</v>
      </c>
      <c r="Q166">
        <v>0</v>
      </c>
      <c r="R166" t="s">
        <v>144</v>
      </c>
    </row>
    <row r="167" spans="1:18" x14ac:dyDescent="0.25">
      <c r="A167" t="s">
        <v>409</v>
      </c>
      <c r="B167" s="2">
        <v>45469</v>
      </c>
      <c r="C167" t="s">
        <v>91</v>
      </c>
      <c r="D167" t="s">
        <v>27</v>
      </c>
      <c r="E167" t="s">
        <v>142</v>
      </c>
      <c r="F167">
        <v>1.224</v>
      </c>
      <c r="G167">
        <v>0</v>
      </c>
      <c r="H167">
        <v>0</v>
      </c>
      <c r="I167">
        <v>20</v>
      </c>
      <c r="J167">
        <v>0</v>
      </c>
      <c r="K167">
        <v>0</v>
      </c>
      <c r="L167" t="s">
        <v>143</v>
      </c>
      <c r="M167">
        <v>20</v>
      </c>
      <c r="N167">
        <v>1</v>
      </c>
      <c r="O167">
        <v>0.9</v>
      </c>
      <c r="P167" t="s">
        <v>115</v>
      </c>
      <c r="Q167">
        <v>0.9</v>
      </c>
      <c r="R167" t="s">
        <v>144</v>
      </c>
    </row>
    <row r="168" spans="1:18" x14ac:dyDescent="0.25">
      <c r="A168" t="s">
        <v>410</v>
      </c>
      <c r="B168" s="2">
        <v>45469</v>
      </c>
      <c r="C168" t="s">
        <v>91</v>
      </c>
      <c r="D168" t="s">
        <v>27</v>
      </c>
      <c r="E168" t="s">
        <v>142</v>
      </c>
      <c r="F168">
        <v>1.1990000000000001</v>
      </c>
      <c r="G168">
        <v>0</v>
      </c>
      <c r="H168">
        <v>0</v>
      </c>
      <c r="I168">
        <v>20</v>
      </c>
      <c r="J168">
        <v>0</v>
      </c>
      <c r="K168">
        <v>0</v>
      </c>
      <c r="L168" t="s">
        <v>143</v>
      </c>
      <c r="M168">
        <v>20</v>
      </c>
      <c r="N168">
        <v>1</v>
      </c>
      <c r="O168">
        <v>0.9</v>
      </c>
      <c r="P168" t="s">
        <v>115</v>
      </c>
      <c r="Q168">
        <v>0.9</v>
      </c>
      <c r="R168" t="s">
        <v>144</v>
      </c>
    </row>
    <row r="169" spans="1:18" x14ac:dyDescent="0.25">
      <c r="A169" t="s">
        <v>411</v>
      </c>
      <c r="B169" s="2">
        <v>45469</v>
      </c>
      <c r="C169" t="s">
        <v>91</v>
      </c>
      <c r="D169" t="s">
        <v>27</v>
      </c>
      <c r="E169" t="s">
        <v>142</v>
      </c>
      <c r="F169">
        <v>2.9740000000000002</v>
      </c>
      <c r="G169">
        <v>0</v>
      </c>
      <c r="H169">
        <v>0</v>
      </c>
      <c r="I169">
        <v>20</v>
      </c>
      <c r="J169">
        <v>0</v>
      </c>
      <c r="K169">
        <v>0</v>
      </c>
      <c r="L169" t="s">
        <v>143</v>
      </c>
      <c r="M169">
        <v>20</v>
      </c>
      <c r="N169">
        <v>1</v>
      </c>
      <c r="O169">
        <v>0.9</v>
      </c>
      <c r="P169" t="s">
        <v>115</v>
      </c>
      <c r="Q169">
        <v>0.9</v>
      </c>
      <c r="R169" t="s">
        <v>144</v>
      </c>
    </row>
    <row r="170" spans="1:18" x14ac:dyDescent="0.25">
      <c r="A170" t="s">
        <v>412</v>
      </c>
      <c r="B170" s="2">
        <v>45469</v>
      </c>
      <c r="C170" t="s">
        <v>91</v>
      </c>
      <c r="D170" t="s">
        <v>27</v>
      </c>
      <c r="E170" t="s">
        <v>142</v>
      </c>
      <c r="F170">
        <v>10</v>
      </c>
      <c r="G170">
        <v>4.5359999999999996</v>
      </c>
      <c r="H170">
        <v>6.8040000000000003</v>
      </c>
      <c r="I170">
        <v>20</v>
      </c>
      <c r="J170">
        <v>0</v>
      </c>
      <c r="K170">
        <v>0</v>
      </c>
      <c r="L170" t="s">
        <v>143</v>
      </c>
      <c r="M170">
        <v>26.803999999999998</v>
      </c>
      <c r="N170">
        <v>1</v>
      </c>
      <c r="O170">
        <v>0.9</v>
      </c>
      <c r="P170" t="s">
        <v>115</v>
      </c>
      <c r="Q170">
        <v>0.9</v>
      </c>
      <c r="R170" t="s">
        <v>144</v>
      </c>
    </row>
    <row r="171" spans="1:18" x14ac:dyDescent="0.25">
      <c r="A171" t="s">
        <v>413</v>
      </c>
      <c r="B171" s="2">
        <v>45469</v>
      </c>
      <c r="C171" t="s">
        <v>91</v>
      </c>
      <c r="D171" t="s">
        <v>27</v>
      </c>
      <c r="E171" t="s">
        <v>142</v>
      </c>
      <c r="F171">
        <v>10</v>
      </c>
      <c r="G171">
        <v>4.226</v>
      </c>
      <c r="H171">
        <v>6.3390000000000004</v>
      </c>
      <c r="I171">
        <v>20</v>
      </c>
      <c r="J171">
        <v>0</v>
      </c>
      <c r="K171">
        <v>0</v>
      </c>
      <c r="L171" t="s">
        <v>143</v>
      </c>
      <c r="M171">
        <v>26.338999999999999</v>
      </c>
      <c r="N171">
        <v>1</v>
      </c>
      <c r="O171">
        <v>0.9</v>
      </c>
      <c r="P171" t="s">
        <v>115</v>
      </c>
      <c r="Q171">
        <v>0.9</v>
      </c>
      <c r="R171" t="s">
        <v>144</v>
      </c>
    </row>
    <row r="172" spans="1:18" x14ac:dyDescent="0.25">
      <c r="A172" t="s">
        <v>414</v>
      </c>
      <c r="B172" s="2">
        <v>45469</v>
      </c>
      <c r="C172" t="s">
        <v>91</v>
      </c>
      <c r="D172" t="s">
        <v>27</v>
      </c>
      <c r="E172" t="s">
        <v>142</v>
      </c>
      <c r="F172">
        <v>0.871</v>
      </c>
      <c r="G172">
        <v>0</v>
      </c>
      <c r="H172">
        <v>0</v>
      </c>
      <c r="I172">
        <v>20</v>
      </c>
      <c r="J172">
        <v>0</v>
      </c>
      <c r="K172">
        <v>0</v>
      </c>
      <c r="L172" t="s">
        <v>143</v>
      </c>
      <c r="M172">
        <v>20</v>
      </c>
      <c r="N172">
        <v>1</v>
      </c>
      <c r="O172">
        <v>0.9</v>
      </c>
      <c r="P172" t="s">
        <v>115</v>
      </c>
      <c r="Q172">
        <v>0.9</v>
      </c>
      <c r="R172" t="s">
        <v>144</v>
      </c>
    </row>
    <row r="173" spans="1:18" x14ac:dyDescent="0.25">
      <c r="A173" t="s">
        <v>415</v>
      </c>
      <c r="B173" s="2">
        <v>45469</v>
      </c>
      <c r="C173" t="s">
        <v>91</v>
      </c>
      <c r="D173" t="s">
        <v>27</v>
      </c>
      <c r="E173" t="s">
        <v>142</v>
      </c>
      <c r="F173">
        <v>10</v>
      </c>
      <c r="G173">
        <v>0.443</v>
      </c>
      <c r="H173">
        <v>0</v>
      </c>
      <c r="I173">
        <v>5</v>
      </c>
      <c r="J173">
        <v>0</v>
      </c>
      <c r="K173">
        <v>0</v>
      </c>
      <c r="L173" t="s">
        <v>416</v>
      </c>
      <c r="M173">
        <v>5</v>
      </c>
      <c r="N173">
        <v>0</v>
      </c>
      <c r="O173">
        <v>0.9</v>
      </c>
      <c r="P173" t="s">
        <v>115</v>
      </c>
      <c r="Q173">
        <v>0</v>
      </c>
      <c r="R173" t="s">
        <v>144</v>
      </c>
    </row>
    <row r="174" spans="1:18" x14ac:dyDescent="0.25">
      <c r="A174" t="s">
        <v>417</v>
      </c>
      <c r="B174" s="2">
        <v>45469</v>
      </c>
      <c r="C174" t="s">
        <v>91</v>
      </c>
      <c r="D174" t="s">
        <v>27</v>
      </c>
      <c r="E174" t="s">
        <v>142</v>
      </c>
      <c r="F174">
        <v>2.02</v>
      </c>
      <c r="G174">
        <v>0</v>
      </c>
      <c r="H174">
        <v>0</v>
      </c>
      <c r="I174">
        <v>20</v>
      </c>
      <c r="J174">
        <v>0</v>
      </c>
      <c r="K174">
        <v>0</v>
      </c>
      <c r="L174" t="s">
        <v>143</v>
      </c>
      <c r="M174">
        <v>20</v>
      </c>
      <c r="N174">
        <v>1</v>
      </c>
      <c r="O174">
        <v>0.9</v>
      </c>
      <c r="P174" t="s">
        <v>115</v>
      </c>
      <c r="Q174">
        <v>0.9</v>
      </c>
      <c r="R174" t="s">
        <v>144</v>
      </c>
    </row>
    <row r="175" spans="1:18" x14ac:dyDescent="0.25">
      <c r="A175" t="s">
        <v>418</v>
      </c>
      <c r="B175" s="2">
        <v>45469</v>
      </c>
      <c r="C175" t="s">
        <v>91</v>
      </c>
      <c r="D175" t="s">
        <v>27</v>
      </c>
      <c r="E175" t="s">
        <v>142</v>
      </c>
      <c r="F175">
        <v>7.4660000000000002</v>
      </c>
      <c r="G175">
        <v>0</v>
      </c>
      <c r="H175">
        <v>0</v>
      </c>
      <c r="I175">
        <v>20</v>
      </c>
      <c r="J175">
        <v>0</v>
      </c>
      <c r="K175">
        <v>0</v>
      </c>
      <c r="L175" t="s">
        <v>143</v>
      </c>
      <c r="M175">
        <v>20</v>
      </c>
      <c r="N175">
        <v>1</v>
      </c>
      <c r="O175">
        <v>0.9</v>
      </c>
      <c r="P175" t="s">
        <v>115</v>
      </c>
      <c r="Q175">
        <v>0.9</v>
      </c>
      <c r="R175" t="s">
        <v>144</v>
      </c>
    </row>
    <row r="176" spans="1:18" x14ac:dyDescent="0.25">
      <c r="A176" t="s">
        <v>419</v>
      </c>
      <c r="B176" s="2">
        <v>45469</v>
      </c>
      <c r="C176" t="s">
        <v>91</v>
      </c>
      <c r="D176" t="s">
        <v>27</v>
      </c>
      <c r="E176" t="s">
        <v>142</v>
      </c>
      <c r="F176">
        <v>5.9009999999999998</v>
      </c>
      <c r="G176">
        <v>0</v>
      </c>
      <c r="H176">
        <v>0</v>
      </c>
      <c r="I176">
        <v>20</v>
      </c>
      <c r="J176">
        <v>0</v>
      </c>
      <c r="K176">
        <v>0</v>
      </c>
      <c r="L176" t="s">
        <v>143</v>
      </c>
      <c r="M176">
        <v>20</v>
      </c>
      <c r="N176">
        <v>1</v>
      </c>
      <c r="O176">
        <v>0.9</v>
      </c>
      <c r="P176" t="s">
        <v>115</v>
      </c>
      <c r="Q176">
        <v>0.9</v>
      </c>
      <c r="R176" t="s">
        <v>144</v>
      </c>
    </row>
    <row r="177" spans="1:18" x14ac:dyDescent="0.25">
      <c r="A177" t="s">
        <v>420</v>
      </c>
      <c r="B177" s="2">
        <v>45469</v>
      </c>
      <c r="C177" t="s">
        <v>91</v>
      </c>
      <c r="D177" t="s">
        <v>27</v>
      </c>
      <c r="E177" t="s">
        <v>142</v>
      </c>
      <c r="F177">
        <v>1.7090000000000001</v>
      </c>
      <c r="G177">
        <v>0</v>
      </c>
      <c r="H177">
        <v>0</v>
      </c>
      <c r="I177">
        <v>20</v>
      </c>
      <c r="J177">
        <v>0</v>
      </c>
      <c r="K177">
        <v>0</v>
      </c>
      <c r="L177" t="s">
        <v>143</v>
      </c>
      <c r="M177">
        <v>20</v>
      </c>
      <c r="N177">
        <v>1</v>
      </c>
      <c r="O177">
        <v>0.9</v>
      </c>
      <c r="P177" t="s">
        <v>115</v>
      </c>
      <c r="Q177">
        <v>0.9</v>
      </c>
      <c r="R177" t="s">
        <v>144</v>
      </c>
    </row>
    <row r="178" spans="1:18" x14ac:dyDescent="0.25">
      <c r="A178" t="s">
        <v>421</v>
      </c>
      <c r="B178" s="2">
        <v>45470</v>
      </c>
      <c r="C178" t="s">
        <v>91</v>
      </c>
      <c r="D178" t="s">
        <v>27</v>
      </c>
      <c r="E178" t="s">
        <v>142</v>
      </c>
      <c r="F178">
        <v>5.5330000000000004</v>
      </c>
      <c r="G178">
        <v>0</v>
      </c>
      <c r="H178">
        <v>0</v>
      </c>
      <c r="I178">
        <v>20</v>
      </c>
      <c r="J178">
        <v>0</v>
      </c>
      <c r="K178">
        <v>0</v>
      </c>
      <c r="L178" t="s">
        <v>143</v>
      </c>
      <c r="M178">
        <v>20</v>
      </c>
      <c r="N178">
        <v>1</v>
      </c>
      <c r="O178">
        <v>0.9</v>
      </c>
      <c r="P178" t="s">
        <v>115</v>
      </c>
      <c r="Q178">
        <v>0.9</v>
      </c>
      <c r="R178" t="s">
        <v>144</v>
      </c>
    </row>
    <row r="179" spans="1:18" x14ac:dyDescent="0.25">
      <c r="A179" t="s">
        <v>422</v>
      </c>
      <c r="B179" s="2">
        <v>45470</v>
      </c>
      <c r="C179" t="s">
        <v>91</v>
      </c>
      <c r="D179" t="s">
        <v>27</v>
      </c>
      <c r="E179" t="s">
        <v>142</v>
      </c>
      <c r="F179">
        <v>10</v>
      </c>
      <c r="G179">
        <v>4.0940000000000003</v>
      </c>
      <c r="H179">
        <v>6.141</v>
      </c>
      <c r="I179">
        <v>20</v>
      </c>
      <c r="J179">
        <v>0</v>
      </c>
      <c r="K179">
        <v>0</v>
      </c>
      <c r="L179" t="s">
        <v>143</v>
      </c>
      <c r="M179">
        <v>26.140999999999998</v>
      </c>
      <c r="N179">
        <v>1</v>
      </c>
      <c r="O179">
        <v>0.9</v>
      </c>
      <c r="P179" t="s">
        <v>115</v>
      </c>
      <c r="Q179">
        <v>0.9</v>
      </c>
      <c r="R179" t="s">
        <v>144</v>
      </c>
    </row>
    <row r="180" spans="1:18" x14ac:dyDescent="0.25">
      <c r="A180" t="s">
        <v>423</v>
      </c>
      <c r="B180" s="2">
        <v>45470</v>
      </c>
      <c r="C180" t="s">
        <v>91</v>
      </c>
      <c r="D180" t="s">
        <v>27</v>
      </c>
      <c r="E180" t="s">
        <v>142</v>
      </c>
      <c r="F180">
        <v>8.1199999999999992</v>
      </c>
      <c r="G180">
        <v>0</v>
      </c>
      <c r="H180">
        <v>0</v>
      </c>
      <c r="I180">
        <v>5</v>
      </c>
      <c r="J180">
        <v>0</v>
      </c>
      <c r="K180">
        <v>0</v>
      </c>
      <c r="L180" t="s">
        <v>424</v>
      </c>
      <c r="M180">
        <v>5</v>
      </c>
      <c r="N180">
        <v>0</v>
      </c>
      <c r="O180">
        <v>0.9</v>
      </c>
      <c r="P180" t="s">
        <v>115</v>
      </c>
      <c r="Q180">
        <v>0</v>
      </c>
      <c r="R180" t="s">
        <v>144</v>
      </c>
    </row>
    <row r="181" spans="1:18" x14ac:dyDescent="0.25">
      <c r="A181" t="s">
        <v>425</v>
      </c>
      <c r="B181" s="2">
        <v>45470</v>
      </c>
      <c r="C181" t="s">
        <v>91</v>
      </c>
      <c r="D181" t="s">
        <v>27</v>
      </c>
      <c r="E181" t="s">
        <v>142</v>
      </c>
      <c r="F181">
        <v>10</v>
      </c>
      <c r="G181">
        <v>7.4160000000000004</v>
      </c>
      <c r="H181">
        <v>11.124000000000001</v>
      </c>
      <c r="I181">
        <v>20</v>
      </c>
      <c r="J181">
        <v>0</v>
      </c>
      <c r="K181">
        <v>0</v>
      </c>
      <c r="L181" t="s">
        <v>143</v>
      </c>
      <c r="M181">
        <v>31.123999999999999</v>
      </c>
      <c r="N181">
        <v>1</v>
      </c>
      <c r="O181">
        <v>0.9</v>
      </c>
      <c r="P181" t="s">
        <v>115</v>
      </c>
      <c r="Q181">
        <v>0.9</v>
      </c>
      <c r="R181" t="s">
        <v>144</v>
      </c>
    </row>
    <row r="182" spans="1:18" x14ac:dyDescent="0.25">
      <c r="A182" t="s">
        <v>426</v>
      </c>
      <c r="B182" s="2">
        <v>45470</v>
      </c>
      <c r="C182" t="s">
        <v>91</v>
      </c>
      <c r="D182" t="s">
        <v>27</v>
      </c>
      <c r="E182" t="s">
        <v>142</v>
      </c>
      <c r="F182">
        <v>0.871</v>
      </c>
      <c r="G182">
        <v>0</v>
      </c>
      <c r="H182">
        <v>0</v>
      </c>
      <c r="I182">
        <v>20</v>
      </c>
      <c r="J182">
        <v>0</v>
      </c>
      <c r="K182">
        <v>0</v>
      </c>
      <c r="L182" t="s">
        <v>143</v>
      </c>
      <c r="M182">
        <v>20</v>
      </c>
      <c r="N182">
        <v>1</v>
      </c>
      <c r="O182">
        <v>0.9</v>
      </c>
      <c r="P182" t="s">
        <v>115</v>
      </c>
      <c r="Q182">
        <v>0.9</v>
      </c>
      <c r="R182" t="s">
        <v>144</v>
      </c>
    </row>
    <row r="183" spans="1:18" x14ac:dyDescent="0.25">
      <c r="A183" t="s">
        <v>427</v>
      </c>
      <c r="B183" s="2">
        <v>45470</v>
      </c>
      <c r="C183" t="s">
        <v>91</v>
      </c>
      <c r="D183" t="s">
        <v>27</v>
      </c>
      <c r="E183" t="s">
        <v>142</v>
      </c>
      <c r="F183">
        <v>4.9950000000000001</v>
      </c>
      <c r="G183">
        <v>0</v>
      </c>
      <c r="H183">
        <v>0</v>
      </c>
      <c r="I183">
        <v>20</v>
      </c>
      <c r="J183">
        <v>0</v>
      </c>
      <c r="K183">
        <v>0</v>
      </c>
      <c r="L183" t="s">
        <v>143</v>
      </c>
      <c r="M183">
        <v>20</v>
      </c>
      <c r="N183">
        <v>1</v>
      </c>
      <c r="O183">
        <v>0.9</v>
      </c>
      <c r="P183" t="s">
        <v>115</v>
      </c>
      <c r="Q183">
        <v>0.9</v>
      </c>
      <c r="R183" t="s">
        <v>144</v>
      </c>
    </row>
    <row r="184" spans="1:18" x14ac:dyDescent="0.25">
      <c r="A184" t="s">
        <v>428</v>
      </c>
      <c r="B184" s="2">
        <v>45470</v>
      </c>
      <c r="C184" t="s">
        <v>91</v>
      </c>
      <c r="D184" t="s">
        <v>27</v>
      </c>
      <c r="E184" t="s">
        <v>142</v>
      </c>
      <c r="F184">
        <v>5.78</v>
      </c>
      <c r="G184">
        <v>0</v>
      </c>
      <c r="H184">
        <v>0</v>
      </c>
      <c r="I184">
        <v>5</v>
      </c>
      <c r="J184">
        <v>0</v>
      </c>
      <c r="K184">
        <v>0</v>
      </c>
      <c r="L184" t="s">
        <v>370</v>
      </c>
      <c r="M184">
        <v>5</v>
      </c>
      <c r="N184">
        <v>0</v>
      </c>
      <c r="O184">
        <v>0.9</v>
      </c>
      <c r="P184" t="s">
        <v>115</v>
      </c>
      <c r="Q184">
        <v>0</v>
      </c>
      <c r="R184" t="s">
        <v>144</v>
      </c>
    </row>
    <row r="185" spans="1:18" x14ac:dyDescent="0.25">
      <c r="A185" t="s">
        <v>429</v>
      </c>
      <c r="B185" s="2">
        <v>45470</v>
      </c>
      <c r="C185" t="s">
        <v>91</v>
      </c>
      <c r="D185" t="s">
        <v>27</v>
      </c>
      <c r="E185" t="s">
        <v>142</v>
      </c>
      <c r="F185">
        <v>10</v>
      </c>
      <c r="G185">
        <v>2.0609999999999999</v>
      </c>
      <c r="H185">
        <v>3.0914999999999999</v>
      </c>
      <c r="I185">
        <v>20</v>
      </c>
      <c r="J185">
        <v>0</v>
      </c>
      <c r="K185">
        <v>0</v>
      </c>
      <c r="L185" t="s">
        <v>143</v>
      </c>
      <c r="M185">
        <v>23.0915</v>
      </c>
      <c r="N185">
        <v>1</v>
      </c>
      <c r="O185">
        <v>0.9</v>
      </c>
      <c r="P185" t="s">
        <v>115</v>
      </c>
      <c r="Q185">
        <v>0.9</v>
      </c>
      <c r="R185" t="s">
        <v>144</v>
      </c>
    </row>
    <row r="186" spans="1:18" x14ac:dyDescent="0.25">
      <c r="A186" t="s">
        <v>430</v>
      </c>
      <c r="B186" s="2">
        <v>45470</v>
      </c>
      <c r="C186" t="s">
        <v>91</v>
      </c>
      <c r="D186" t="s">
        <v>27</v>
      </c>
      <c r="E186" t="s">
        <v>142</v>
      </c>
      <c r="F186">
        <v>3.544</v>
      </c>
      <c r="G186">
        <v>0</v>
      </c>
      <c r="H186">
        <v>0</v>
      </c>
      <c r="I186">
        <v>20</v>
      </c>
      <c r="J186">
        <v>0</v>
      </c>
      <c r="K186">
        <v>0</v>
      </c>
      <c r="L186" t="s">
        <v>143</v>
      </c>
      <c r="M186">
        <v>20</v>
      </c>
      <c r="N186">
        <v>1</v>
      </c>
      <c r="O186">
        <v>0.9</v>
      </c>
      <c r="P186" t="s">
        <v>115</v>
      </c>
      <c r="Q186">
        <v>0.9</v>
      </c>
      <c r="R186" t="s">
        <v>144</v>
      </c>
    </row>
    <row r="187" spans="1:18" x14ac:dyDescent="0.25">
      <c r="A187" t="s">
        <v>431</v>
      </c>
      <c r="B187" s="2">
        <v>45470</v>
      </c>
      <c r="C187" t="s">
        <v>91</v>
      </c>
      <c r="D187" t="s">
        <v>27</v>
      </c>
      <c r="E187" t="s">
        <v>142</v>
      </c>
      <c r="F187">
        <v>6.9640000000000004</v>
      </c>
      <c r="G187">
        <v>0</v>
      </c>
      <c r="H187">
        <v>0</v>
      </c>
      <c r="I187">
        <v>20</v>
      </c>
      <c r="J187">
        <v>0</v>
      </c>
      <c r="K187">
        <v>0</v>
      </c>
      <c r="L187" t="s">
        <v>143</v>
      </c>
      <c r="M187">
        <v>20</v>
      </c>
      <c r="N187">
        <v>1</v>
      </c>
      <c r="O187">
        <v>0.9</v>
      </c>
      <c r="P187" t="s">
        <v>115</v>
      </c>
      <c r="Q187">
        <v>0.9</v>
      </c>
      <c r="R187" t="s">
        <v>144</v>
      </c>
    </row>
    <row r="188" spans="1:18" x14ac:dyDescent="0.25">
      <c r="A188" t="s">
        <v>432</v>
      </c>
      <c r="B188" s="2">
        <v>45470</v>
      </c>
      <c r="C188" t="s">
        <v>91</v>
      </c>
      <c r="D188" t="s">
        <v>27</v>
      </c>
      <c r="E188" t="s">
        <v>142</v>
      </c>
      <c r="F188">
        <v>6.0149999999999997</v>
      </c>
      <c r="G188">
        <v>0</v>
      </c>
      <c r="H188">
        <v>0</v>
      </c>
      <c r="I188">
        <v>20</v>
      </c>
      <c r="J188">
        <v>0</v>
      </c>
      <c r="K188">
        <v>0</v>
      </c>
      <c r="L188" t="s">
        <v>143</v>
      </c>
      <c r="M188">
        <v>20</v>
      </c>
      <c r="N188">
        <v>1</v>
      </c>
      <c r="O188">
        <v>0.9</v>
      </c>
      <c r="P188" t="s">
        <v>115</v>
      </c>
      <c r="Q188">
        <v>0.9</v>
      </c>
      <c r="R188" t="s">
        <v>144</v>
      </c>
    </row>
    <row r="189" spans="1:18" x14ac:dyDescent="0.25">
      <c r="A189" t="s">
        <v>433</v>
      </c>
      <c r="B189" s="2">
        <v>45470</v>
      </c>
      <c r="C189" t="s">
        <v>91</v>
      </c>
      <c r="D189" t="s">
        <v>27</v>
      </c>
      <c r="E189" t="s">
        <v>142</v>
      </c>
      <c r="F189">
        <v>6.1580000000000004</v>
      </c>
      <c r="G189">
        <v>0</v>
      </c>
      <c r="H189">
        <v>0</v>
      </c>
      <c r="I189">
        <v>20</v>
      </c>
      <c r="J189">
        <v>0</v>
      </c>
      <c r="K189">
        <v>0</v>
      </c>
      <c r="L189" t="s">
        <v>434</v>
      </c>
      <c r="M189">
        <v>20</v>
      </c>
      <c r="N189">
        <v>1</v>
      </c>
      <c r="O189">
        <v>0.9</v>
      </c>
      <c r="P189" t="s">
        <v>115</v>
      </c>
      <c r="Q189">
        <v>0.9</v>
      </c>
      <c r="R189" t="s">
        <v>144</v>
      </c>
    </row>
    <row r="190" spans="1:18" x14ac:dyDescent="0.25">
      <c r="A190" t="s">
        <v>435</v>
      </c>
      <c r="B190" s="2">
        <v>45470</v>
      </c>
      <c r="C190" t="s">
        <v>91</v>
      </c>
      <c r="D190" t="s">
        <v>27</v>
      </c>
      <c r="E190" t="s">
        <v>142</v>
      </c>
      <c r="F190">
        <v>7.6909999999999998</v>
      </c>
      <c r="G190">
        <v>0</v>
      </c>
      <c r="H190">
        <v>0</v>
      </c>
      <c r="I190">
        <v>20</v>
      </c>
      <c r="J190">
        <v>0</v>
      </c>
      <c r="K190">
        <v>0</v>
      </c>
      <c r="L190" t="s">
        <v>436</v>
      </c>
      <c r="M190">
        <v>20</v>
      </c>
      <c r="N190">
        <v>1</v>
      </c>
      <c r="O190">
        <v>0.9</v>
      </c>
      <c r="P190" t="s">
        <v>115</v>
      </c>
      <c r="Q190">
        <v>0.9</v>
      </c>
      <c r="R190" t="s">
        <v>144</v>
      </c>
    </row>
    <row r="191" spans="1:18" x14ac:dyDescent="0.25">
      <c r="A191" t="s">
        <v>437</v>
      </c>
      <c r="B191" s="2">
        <v>45470</v>
      </c>
      <c r="C191" t="s">
        <v>91</v>
      </c>
      <c r="D191" t="s">
        <v>27</v>
      </c>
      <c r="E191" t="s">
        <v>142</v>
      </c>
      <c r="F191">
        <v>1.155</v>
      </c>
      <c r="G191">
        <v>0</v>
      </c>
      <c r="H191">
        <v>0</v>
      </c>
      <c r="I191">
        <v>20</v>
      </c>
      <c r="J191">
        <v>0</v>
      </c>
      <c r="K191">
        <v>0</v>
      </c>
      <c r="L191" t="s">
        <v>143</v>
      </c>
      <c r="M191">
        <v>20</v>
      </c>
      <c r="N191">
        <v>1</v>
      </c>
      <c r="O191">
        <v>0.9</v>
      </c>
      <c r="P191" t="s">
        <v>115</v>
      </c>
      <c r="Q191">
        <v>0.9</v>
      </c>
      <c r="R191" t="s">
        <v>144</v>
      </c>
    </row>
    <row r="192" spans="1:18" x14ac:dyDescent="0.25">
      <c r="A192" t="s">
        <v>438</v>
      </c>
      <c r="B192" s="2">
        <v>45471</v>
      </c>
      <c r="C192" t="s">
        <v>91</v>
      </c>
      <c r="D192" t="s">
        <v>27</v>
      </c>
      <c r="E192" t="s">
        <v>142</v>
      </c>
      <c r="F192">
        <v>9.7889999999999997</v>
      </c>
      <c r="G192">
        <v>0</v>
      </c>
      <c r="H192">
        <v>0</v>
      </c>
      <c r="I192">
        <v>5</v>
      </c>
      <c r="J192">
        <v>0</v>
      </c>
      <c r="K192">
        <v>0</v>
      </c>
      <c r="L192" t="s">
        <v>439</v>
      </c>
      <c r="M192">
        <v>5</v>
      </c>
      <c r="N192">
        <v>0</v>
      </c>
      <c r="O192">
        <v>0.9</v>
      </c>
      <c r="P192" t="s">
        <v>115</v>
      </c>
      <c r="Q192">
        <v>0</v>
      </c>
      <c r="R192" t="s">
        <v>144</v>
      </c>
    </row>
    <row r="193" spans="1:18" x14ac:dyDescent="0.25">
      <c r="A193" t="s">
        <v>440</v>
      </c>
      <c r="B193" s="2">
        <v>45471</v>
      </c>
      <c r="C193" t="s">
        <v>91</v>
      </c>
      <c r="D193" t="s">
        <v>27</v>
      </c>
      <c r="E193" t="s">
        <v>142</v>
      </c>
      <c r="F193">
        <v>9.4339999999999993</v>
      </c>
      <c r="G193">
        <v>0</v>
      </c>
      <c r="H193">
        <v>0</v>
      </c>
      <c r="I193">
        <v>20</v>
      </c>
      <c r="J193">
        <v>0</v>
      </c>
      <c r="K193">
        <v>0</v>
      </c>
      <c r="L193" t="s">
        <v>441</v>
      </c>
      <c r="M193">
        <v>20</v>
      </c>
      <c r="N193">
        <v>1</v>
      </c>
      <c r="O193">
        <v>0.9</v>
      </c>
      <c r="P193" t="s">
        <v>115</v>
      </c>
      <c r="Q193">
        <v>0.9</v>
      </c>
      <c r="R193" t="s">
        <v>144</v>
      </c>
    </row>
    <row r="194" spans="1:18" x14ac:dyDescent="0.25">
      <c r="A194" t="s">
        <v>442</v>
      </c>
      <c r="B194" s="2">
        <v>45471</v>
      </c>
      <c r="C194" t="s">
        <v>91</v>
      </c>
      <c r="D194" t="s">
        <v>27</v>
      </c>
      <c r="E194" t="s">
        <v>142</v>
      </c>
      <c r="F194">
        <v>10</v>
      </c>
      <c r="G194">
        <v>10.144</v>
      </c>
      <c r="H194">
        <v>15.215999999999999</v>
      </c>
      <c r="I194">
        <v>20</v>
      </c>
      <c r="J194">
        <v>0</v>
      </c>
      <c r="K194">
        <v>0</v>
      </c>
      <c r="L194" t="s">
        <v>143</v>
      </c>
      <c r="M194">
        <v>35.216000000000001</v>
      </c>
      <c r="N194">
        <v>1</v>
      </c>
      <c r="O194">
        <v>0.9</v>
      </c>
      <c r="P194" t="s">
        <v>115</v>
      </c>
      <c r="Q194">
        <v>0.9</v>
      </c>
      <c r="R194" t="s">
        <v>144</v>
      </c>
    </row>
    <row r="195" spans="1:18" x14ac:dyDescent="0.25">
      <c r="A195" t="s">
        <v>443</v>
      </c>
      <c r="B195" s="2">
        <v>45471</v>
      </c>
      <c r="C195" t="s">
        <v>91</v>
      </c>
      <c r="D195" t="s">
        <v>27</v>
      </c>
      <c r="E195" t="s">
        <v>142</v>
      </c>
      <c r="F195">
        <v>1.4179999999999999</v>
      </c>
      <c r="G195">
        <v>0</v>
      </c>
      <c r="H195">
        <v>0</v>
      </c>
      <c r="I195">
        <v>20</v>
      </c>
      <c r="J195">
        <v>0</v>
      </c>
      <c r="K195">
        <v>0</v>
      </c>
      <c r="L195" t="s">
        <v>143</v>
      </c>
      <c r="M195">
        <v>20</v>
      </c>
      <c r="N195">
        <v>1</v>
      </c>
      <c r="O195">
        <v>0.9</v>
      </c>
      <c r="P195" t="s">
        <v>115</v>
      </c>
      <c r="Q195">
        <v>0.9</v>
      </c>
      <c r="R195" t="s">
        <v>144</v>
      </c>
    </row>
    <row r="196" spans="1:18" x14ac:dyDescent="0.25">
      <c r="A196" t="s">
        <v>444</v>
      </c>
      <c r="B196" s="2">
        <v>45471</v>
      </c>
      <c r="C196" t="s">
        <v>91</v>
      </c>
      <c r="D196" t="s">
        <v>27</v>
      </c>
      <c r="E196" t="s">
        <v>142</v>
      </c>
      <c r="F196">
        <v>10</v>
      </c>
      <c r="G196">
        <v>2.1320000000000001</v>
      </c>
      <c r="H196">
        <v>3.198</v>
      </c>
      <c r="I196">
        <v>20</v>
      </c>
      <c r="J196">
        <v>0</v>
      </c>
      <c r="K196">
        <v>0</v>
      </c>
      <c r="L196" t="s">
        <v>143</v>
      </c>
      <c r="M196">
        <v>23.198</v>
      </c>
      <c r="N196">
        <v>1</v>
      </c>
      <c r="O196">
        <v>0.9</v>
      </c>
      <c r="P196" t="s">
        <v>115</v>
      </c>
      <c r="Q196">
        <v>0.9</v>
      </c>
      <c r="R196" t="s">
        <v>144</v>
      </c>
    </row>
    <row r="197" spans="1:18" x14ac:dyDescent="0.25">
      <c r="A197" t="s">
        <v>445</v>
      </c>
      <c r="B197" s="2">
        <v>45471</v>
      </c>
      <c r="C197" t="s">
        <v>91</v>
      </c>
      <c r="D197" t="s">
        <v>27</v>
      </c>
      <c r="E197" t="s">
        <v>142</v>
      </c>
      <c r="F197">
        <v>1.5529999999999999</v>
      </c>
      <c r="G197">
        <v>0</v>
      </c>
      <c r="H197">
        <v>0</v>
      </c>
      <c r="I197">
        <v>20</v>
      </c>
      <c r="J197">
        <v>0</v>
      </c>
      <c r="K197">
        <v>0</v>
      </c>
      <c r="L197" t="s">
        <v>143</v>
      </c>
      <c r="M197">
        <v>20</v>
      </c>
      <c r="N197">
        <v>1</v>
      </c>
      <c r="O197">
        <v>0.9</v>
      </c>
      <c r="P197" t="s">
        <v>115</v>
      </c>
      <c r="Q197">
        <v>0.9</v>
      </c>
      <c r="R197" t="s">
        <v>144</v>
      </c>
    </row>
    <row r="198" spans="1:18" x14ac:dyDescent="0.25">
      <c r="A198" t="s">
        <v>446</v>
      </c>
      <c r="B198" s="2">
        <v>45471</v>
      </c>
      <c r="C198" t="s">
        <v>91</v>
      </c>
      <c r="D198" t="s">
        <v>27</v>
      </c>
      <c r="E198" t="s">
        <v>142</v>
      </c>
      <c r="F198">
        <v>5.78</v>
      </c>
      <c r="G198">
        <v>0</v>
      </c>
      <c r="H198">
        <v>0</v>
      </c>
      <c r="I198">
        <v>5</v>
      </c>
      <c r="J198">
        <v>0</v>
      </c>
      <c r="K198">
        <v>0</v>
      </c>
      <c r="L198" t="s">
        <v>447</v>
      </c>
      <c r="M198">
        <v>5</v>
      </c>
      <c r="N198">
        <v>0</v>
      </c>
      <c r="O198">
        <v>0.9</v>
      </c>
      <c r="P198" t="s">
        <v>115</v>
      </c>
      <c r="Q198">
        <v>0</v>
      </c>
      <c r="R198" t="s">
        <v>144</v>
      </c>
    </row>
    <row r="199" spans="1:18" x14ac:dyDescent="0.25">
      <c r="A199" t="s">
        <v>448</v>
      </c>
      <c r="B199" s="2">
        <v>45471</v>
      </c>
      <c r="C199" t="s">
        <v>91</v>
      </c>
      <c r="D199" t="s">
        <v>27</v>
      </c>
      <c r="E199" t="s">
        <v>142</v>
      </c>
      <c r="F199">
        <v>3</v>
      </c>
      <c r="G199">
        <v>0</v>
      </c>
      <c r="H199">
        <v>0</v>
      </c>
      <c r="I199">
        <v>20</v>
      </c>
      <c r="J199">
        <v>0</v>
      </c>
      <c r="K199">
        <v>0</v>
      </c>
      <c r="L199" t="s">
        <v>449</v>
      </c>
      <c r="M199">
        <v>20</v>
      </c>
      <c r="N199">
        <v>1</v>
      </c>
      <c r="O199">
        <v>0.9</v>
      </c>
      <c r="P199" t="s">
        <v>115</v>
      </c>
      <c r="Q199">
        <v>0.9</v>
      </c>
      <c r="R199" t="s">
        <v>144</v>
      </c>
    </row>
    <row r="200" spans="1:18" x14ac:dyDescent="0.25">
      <c r="A200" t="s">
        <v>450</v>
      </c>
      <c r="B200" s="2">
        <v>45471</v>
      </c>
      <c r="C200" t="s">
        <v>91</v>
      </c>
      <c r="D200" t="s">
        <v>27</v>
      </c>
      <c r="E200" t="s">
        <v>142</v>
      </c>
      <c r="F200">
        <v>1.022</v>
      </c>
      <c r="G200">
        <v>0</v>
      </c>
      <c r="H200">
        <v>0</v>
      </c>
      <c r="I200">
        <v>5</v>
      </c>
      <c r="J200">
        <v>0</v>
      </c>
      <c r="K200">
        <v>0</v>
      </c>
      <c r="L200" t="s">
        <v>451</v>
      </c>
      <c r="M200">
        <v>5</v>
      </c>
      <c r="N200">
        <v>0</v>
      </c>
      <c r="O200">
        <v>0.9</v>
      </c>
      <c r="P200" t="s">
        <v>115</v>
      </c>
      <c r="Q200">
        <v>0</v>
      </c>
      <c r="R200" t="s">
        <v>144</v>
      </c>
    </row>
    <row r="201" spans="1:18" x14ac:dyDescent="0.25">
      <c r="A201" t="s">
        <v>452</v>
      </c>
      <c r="B201" s="2">
        <v>45471</v>
      </c>
      <c r="C201" t="s">
        <v>91</v>
      </c>
      <c r="D201" t="s">
        <v>27</v>
      </c>
      <c r="E201" t="s">
        <v>142</v>
      </c>
      <c r="F201">
        <v>2.9620000000000002</v>
      </c>
      <c r="G201">
        <v>0</v>
      </c>
      <c r="H201">
        <v>0</v>
      </c>
      <c r="I201">
        <v>20</v>
      </c>
      <c r="J201">
        <v>0</v>
      </c>
      <c r="K201">
        <v>0</v>
      </c>
      <c r="L201" t="s">
        <v>453</v>
      </c>
      <c r="M201">
        <v>20</v>
      </c>
      <c r="N201">
        <v>1</v>
      </c>
      <c r="O201">
        <v>0.9</v>
      </c>
      <c r="P201" t="s">
        <v>115</v>
      </c>
      <c r="Q201">
        <v>0.9</v>
      </c>
      <c r="R201" t="s">
        <v>144</v>
      </c>
    </row>
    <row r="202" spans="1:18" x14ac:dyDescent="0.25">
      <c r="A202" t="s">
        <v>454</v>
      </c>
      <c r="B202" s="2">
        <v>45471</v>
      </c>
      <c r="C202" t="s">
        <v>91</v>
      </c>
      <c r="D202" t="s">
        <v>27</v>
      </c>
      <c r="E202" t="s">
        <v>142</v>
      </c>
      <c r="F202">
        <v>5.59</v>
      </c>
      <c r="G202">
        <v>0</v>
      </c>
      <c r="H202">
        <v>0</v>
      </c>
      <c r="I202">
        <v>5</v>
      </c>
      <c r="J202">
        <v>0</v>
      </c>
      <c r="K202">
        <v>0</v>
      </c>
      <c r="L202" t="s">
        <v>455</v>
      </c>
      <c r="M202">
        <v>5</v>
      </c>
      <c r="N202">
        <v>0</v>
      </c>
      <c r="O202">
        <v>0.9</v>
      </c>
      <c r="P202" t="s">
        <v>115</v>
      </c>
      <c r="Q202">
        <v>0</v>
      </c>
      <c r="R202" t="s">
        <v>144</v>
      </c>
    </row>
    <row r="203" spans="1:18" x14ac:dyDescent="0.25">
      <c r="A203" t="s">
        <v>146</v>
      </c>
      <c r="B203" s="2">
        <v>45460</v>
      </c>
      <c r="C203" t="s">
        <v>28</v>
      </c>
      <c r="D203" t="s">
        <v>146</v>
      </c>
      <c r="I203">
        <v>0</v>
      </c>
      <c r="J203">
        <v>33.1</v>
      </c>
      <c r="K203">
        <v>226.18</v>
      </c>
      <c r="L203" t="s">
        <v>456</v>
      </c>
      <c r="M203">
        <v>0</v>
      </c>
      <c r="N203">
        <v>0</v>
      </c>
      <c r="O203">
        <v>0.9</v>
      </c>
      <c r="P203" t="s">
        <v>114</v>
      </c>
      <c r="Q203">
        <v>0</v>
      </c>
      <c r="R203" t="s">
        <v>135</v>
      </c>
    </row>
    <row r="204" spans="1:18" x14ac:dyDescent="0.25">
      <c r="A204" t="s">
        <v>130</v>
      </c>
      <c r="B204" s="2">
        <v>45460</v>
      </c>
      <c r="C204" t="s">
        <v>28</v>
      </c>
      <c r="D204" t="s">
        <v>130</v>
      </c>
      <c r="I204">
        <v>0</v>
      </c>
      <c r="J204">
        <v>33.1</v>
      </c>
      <c r="K204">
        <v>312.79000000000002</v>
      </c>
      <c r="L204" t="s">
        <v>457</v>
      </c>
      <c r="M204">
        <v>0</v>
      </c>
      <c r="N204">
        <v>0</v>
      </c>
      <c r="O204">
        <v>0.9</v>
      </c>
      <c r="P204" t="s">
        <v>114</v>
      </c>
      <c r="Q204">
        <v>0</v>
      </c>
      <c r="R204" t="s">
        <v>135</v>
      </c>
    </row>
    <row r="205" spans="1:18" x14ac:dyDescent="0.25">
      <c r="A205" t="s">
        <v>154</v>
      </c>
      <c r="B205" s="2">
        <v>45460</v>
      </c>
      <c r="C205" t="s">
        <v>28</v>
      </c>
      <c r="D205" t="s">
        <v>154</v>
      </c>
      <c r="I205">
        <v>0</v>
      </c>
      <c r="J205">
        <v>33.1</v>
      </c>
      <c r="K205">
        <v>306.73</v>
      </c>
      <c r="L205" t="s">
        <v>458</v>
      </c>
      <c r="M205">
        <v>0</v>
      </c>
      <c r="N205">
        <v>0</v>
      </c>
      <c r="O205">
        <v>0.9</v>
      </c>
      <c r="P205" t="s">
        <v>114</v>
      </c>
      <c r="Q205">
        <v>0</v>
      </c>
      <c r="R205" t="s">
        <v>135</v>
      </c>
    </row>
    <row r="206" spans="1:18" x14ac:dyDescent="0.25">
      <c r="A206" t="s">
        <v>155</v>
      </c>
      <c r="B206" s="2">
        <v>45460</v>
      </c>
      <c r="C206" t="s">
        <v>28</v>
      </c>
      <c r="D206" t="s">
        <v>155</v>
      </c>
      <c r="I206">
        <v>0</v>
      </c>
      <c r="J206">
        <v>33.1</v>
      </c>
      <c r="K206">
        <v>297.89999999999998</v>
      </c>
      <c r="L206" t="s">
        <v>459</v>
      </c>
      <c r="M206">
        <v>0</v>
      </c>
      <c r="N206">
        <v>0</v>
      </c>
      <c r="O206">
        <v>0.9</v>
      </c>
      <c r="P206" t="s">
        <v>114</v>
      </c>
      <c r="Q206">
        <v>0</v>
      </c>
      <c r="R206" t="s">
        <v>135</v>
      </c>
    </row>
    <row r="207" spans="1:18" x14ac:dyDescent="0.25">
      <c r="A207" t="s">
        <v>146</v>
      </c>
      <c r="B207" s="2">
        <v>45461</v>
      </c>
      <c r="C207" t="s">
        <v>28</v>
      </c>
      <c r="D207" t="s">
        <v>146</v>
      </c>
      <c r="I207">
        <v>0</v>
      </c>
      <c r="J207">
        <v>33.1</v>
      </c>
      <c r="K207">
        <v>261.49</v>
      </c>
      <c r="L207" t="s">
        <v>460</v>
      </c>
      <c r="M207">
        <v>0</v>
      </c>
      <c r="N207">
        <v>0</v>
      </c>
      <c r="O207">
        <v>0.9</v>
      </c>
      <c r="P207" t="s">
        <v>114</v>
      </c>
      <c r="Q207">
        <v>0</v>
      </c>
      <c r="R207" t="s">
        <v>135</v>
      </c>
    </row>
    <row r="208" spans="1:18" x14ac:dyDescent="0.25">
      <c r="A208" t="s">
        <v>130</v>
      </c>
      <c r="B208" s="2">
        <v>45461</v>
      </c>
      <c r="C208" t="s">
        <v>28</v>
      </c>
      <c r="D208" t="s">
        <v>130</v>
      </c>
      <c r="I208">
        <v>0</v>
      </c>
      <c r="J208">
        <v>33.1</v>
      </c>
      <c r="K208">
        <v>282.45</v>
      </c>
      <c r="L208" t="s">
        <v>461</v>
      </c>
      <c r="M208">
        <v>0</v>
      </c>
      <c r="N208">
        <v>0</v>
      </c>
      <c r="O208">
        <v>0.9</v>
      </c>
      <c r="P208" t="s">
        <v>114</v>
      </c>
      <c r="Q208">
        <v>0</v>
      </c>
      <c r="R208" t="s">
        <v>135</v>
      </c>
    </row>
    <row r="209" spans="1:18" x14ac:dyDescent="0.25">
      <c r="A209" t="s">
        <v>154</v>
      </c>
      <c r="B209" s="2">
        <v>45461</v>
      </c>
      <c r="C209" t="s">
        <v>28</v>
      </c>
      <c r="D209" t="s">
        <v>154</v>
      </c>
      <c r="I209">
        <v>0</v>
      </c>
      <c r="J209">
        <v>33.1</v>
      </c>
      <c r="K209">
        <v>276.94</v>
      </c>
      <c r="L209" t="s">
        <v>462</v>
      </c>
      <c r="M209">
        <v>0</v>
      </c>
      <c r="N209">
        <v>0</v>
      </c>
      <c r="O209">
        <v>0.9</v>
      </c>
      <c r="P209" t="s">
        <v>114</v>
      </c>
      <c r="Q209">
        <v>0</v>
      </c>
      <c r="R209" t="s">
        <v>135</v>
      </c>
    </row>
    <row r="210" spans="1:18" x14ac:dyDescent="0.25">
      <c r="A210" t="s">
        <v>155</v>
      </c>
      <c r="B210" s="2">
        <v>45461</v>
      </c>
      <c r="C210" t="s">
        <v>28</v>
      </c>
      <c r="D210" t="s">
        <v>155</v>
      </c>
      <c r="I210">
        <v>0</v>
      </c>
      <c r="J210">
        <v>33.1</v>
      </c>
      <c r="K210">
        <v>285.20999999999998</v>
      </c>
      <c r="L210" t="s">
        <v>463</v>
      </c>
      <c r="M210">
        <v>0</v>
      </c>
      <c r="N210">
        <v>0</v>
      </c>
      <c r="O210">
        <v>0.9</v>
      </c>
      <c r="P210" t="s">
        <v>114</v>
      </c>
      <c r="Q210">
        <v>0</v>
      </c>
      <c r="R210" t="s">
        <v>135</v>
      </c>
    </row>
    <row r="211" spans="1:18" x14ac:dyDescent="0.25">
      <c r="A211" t="s">
        <v>146</v>
      </c>
      <c r="B211" s="2">
        <v>45462</v>
      </c>
      <c r="C211" t="s">
        <v>28</v>
      </c>
      <c r="D211" t="s">
        <v>146</v>
      </c>
      <c r="I211">
        <v>0</v>
      </c>
      <c r="J211">
        <v>33.1</v>
      </c>
      <c r="K211">
        <v>255.97</v>
      </c>
      <c r="L211" t="s">
        <v>464</v>
      </c>
      <c r="M211">
        <v>0</v>
      </c>
      <c r="N211">
        <v>0</v>
      </c>
      <c r="O211">
        <v>0.9</v>
      </c>
      <c r="P211" t="s">
        <v>114</v>
      </c>
      <c r="Q211">
        <v>0</v>
      </c>
      <c r="R211" t="s">
        <v>135</v>
      </c>
    </row>
    <row r="212" spans="1:18" x14ac:dyDescent="0.25">
      <c r="A212" t="s">
        <v>130</v>
      </c>
      <c r="B212" s="2">
        <v>45462</v>
      </c>
      <c r="C212" t="s">
        <v>28</v>
      </c>
      <c r="D212" t="s">
        <v>130</v>
      </c>
      <c r="I212">
        <v>0</v>
      </c>
      <c r="J212">
        <v>33.1</v>
      </c>
      <c r="K212">
        <v>105.92</v>
      </c>
      <c r="L212" t="s">
        <v>465</v>
      </c>
      <c r="M212">
        <v>0</v>
      </c>
      <c r="N212">
        <v>0</v>
      </c>
      <c r="O212">
        <v>0.9</v>
      </c>
      <c r="P212" t="s">
        <v>114</v>
      </c>
      <c r="Q212">
        <v>0</v>
      </c>
      <c r="R212" t="s">
        <v>135</v>
      </c>
    </row>
    <row r="213" spans="1:18" x14ac:dyDescent="0.25">
      <c r="A213" t="s">
        <v>154</v>
      </c>
      <c r="B213" s="2">
        <v>45462</v>
      </c>
      <c r="C213" t="s">
        <v>28</v>
      </c>
      <c r="D213" t="s">
        <v>154</v>
      </c>
      <c r="I213">
        <v>0</v>
      </c>
      <c r="J213">
        <v>33.1</v>
      </c>
      <c r="K213">
        <v>311.69</v>
      </c>
      <c r="L213" t="s">
        <v>466</v>
      </c>
      <c r="M213">
        <v>0</v>
      </c>
      <c r="N213">
        <v>0</v>
      </c>
      <c r="O213">
        <v>0.9</v>
      </c>
      <c r="P213" t="s">
        <v>114</v>
      </c>
      <c r="Q213">
        <v>0</v>
      </c>
      <c r="R213" t="s">
        <v>135</v>
      </c>
    </row>
    <row r="214" spans="1:18" x14ac:dyDescent="0.25">
      <c r="A214" t="s">
        <v>155</v>
      </c>
      <c r="B214" s="2">
        <v>45462</v>
      </c>
      <c r="C214" t="s">
        <v>28</v>
      </c>
      <c r="D214" t="s">
        <v>155</v>
      </c>
      <c r="I214">
        <v>0</v>
      </c>
      <c r="J214">
        <v>33.1</v>
      </c>
      <c r="K214">
        <v>259.83</v>
      </c>
      <c r="L214" t="s">
        <v>467</v>
      </c>
      <c r="M214">
        <v>0</v>
      </c>
      <c r="N214">
        <v>0</v>
      </c>
      <c r="O214">
        <v>0.9</v>
      </c>
      <c r="P214" t="s">
        <v>114</v>
      </c>
      <c r="Q214">
        <v>0</v>
      </c>
      <c r="R214" t="s">
        <v>135</v>
      </c>
    </row>
    <row r="215" spans="1:18" x14ac:dyDescent="0.25">
      <c r="A215" t="s">
        <v>146</v>
      </c>
      <c r="B215" s="2">
        <v>45463</v>
      </c>
      <c r="C215" t="s">
        <v>28</v>
      </c>
      <c r="D215" t="s">
        <v>146</v>
      </c>
      <c r="I215">
        <v>0</v>
      </c>
      <c r="J215">
        <v>33.1</v>
      </c>
      <c r="K215">
        <v>143.97999999999999</v>
      </c>
      <c r="L215" t="s">
        <v>468</v>
      </c>
      <c r="M215">
        <v>0</v>
      </c>
      <c r="N215">
        <v>0</v>
      </c>
      <c r="O215">
        <v>0.9</v>
      </c>
      <c r="P215" t="s">
        <v>114</v>
      </c>
      <c r="Q215">
        <v>0</v>
      </c>
      <c r="R215" t="s">
        <v>135</v>
      </c>
    </row>
    <row r="216" spans="1:18" x14ac:dyDescent="0.25">
      <c r="A216" t="s">
        <v>130</v>
      </c>
      <c r="B216" s="2">
        <v>45463</v>
      </c>
      <c r="C216" t="s">
        <v>28</v>
      </c>
      <c r="D216" t="s">
        <v>130</v>
      </c>
      <c r="I216">
        <v>0</v>
      </c>
      <c r="J216">
        <v>33.1</v>
      </c>
      <c r="K216">
        <v>91.02</v>
      </c>
      <c r="L216" t="s">
        <v>469</v>
      </c>
      <c r="M216">
        <v>0</v>
      </c>
      <c r="N216">
        <v>0</v>
      </c>
      <c r="O216">
        <v>0.9</v>
      </c>
      <c r="P216" t="s">
        <v>114</v>
      </c>
      <c r="Q216">
        <v>0</v>
      </c>
      <c r="R216" t="s">
        <v>135</v>
      </c>
    </row>
    <row r="217" spans="1:18" x14ac:dyDescent="0.25">
      <c r="A217" t="s">
        <v>154</v>
      </c>
      <c r="B217" s="2">
        <v>45463</v>
      </c>
      <c r="C217" t="s">
        <v>28</v>
      </c>
      <c r="D217" t="s">
        <v>154</v>
      </c>
      <c r="I217">
        <v>0</v>
      </c>
      <c r="J217">
        <v>33.1</v>
      </c>
      <c r="K217">
        <v>296.25</v>
      </c>
      <c r="L217" t="s">
        <v>470</v>
      </c>
      <c r="M217">
        <v>0</v>
      </c>
      <c r="N217">
        <v>0</v>
      </c>
      <c r="O217">
        <v>0.9</v>
      </c>
      <c r="P217" t="s">
        <v>114</v>
      </c>
      <c r="Q217">
        <v>0</v>
      </c>
      <c r="R217" t="s">
        <v>135</v>
      </c>
    </row>
    <row r="218" spans="1:18" x14ac:dyDescent="0.25">
      <c r="A218" t="s">
        <v>155</v>
      </c>
      <c r="B218" s="2">
        <v>45463</v>
      </c>
      <c r="C218" t="s">
        <v>28</v>
      </c>
      <c r="D218" t="s">
        <v>155</v>
      </c>
      <c r="I218">
        <v>0</v>
      </c>
      <c r="J218">
        <v>33.1</v>
      </c>
      <c r="K218">
        <v>274.73</v>
      </c>
      <c r="L218" t="s">
        <v>471</v>
      </c>
      <c r="M218">
        <v>0</v>
      </c>
      <c r="N218">
        <v>0</v>
      </c>
      <c r="O218">
        <v>0.9</v>
      </c>
      <c r="P218" t="s">
        <v>114</v>
      </c>
      <c r="Q218">
        <v>0</v>
      </c>
      <c r="R218" t="s">
        <v>135</v>
      </c>
    </row>
    <row r="219" spans="1:18" x14ac:dyDescent="0.25">
      <c r="A219" t="s">
        <v>146</v>
      </c>
      <c r="B219" s="2">
        <v>45464</v>
      </c>
      <c r="C219" t="s">
        <v>28</v>
      </c>
      <c r="D219" t="s">
        <v>146</v>
      </c>
      <c r="I219">
        <v>0</v>
      </c>
      <c r="J219">
        <v>33.1</v>
      </c>
      <c r="K219">
        <v>219.56</v>
      </c>
      <c r="L219" t="s">
        <v>472</v>
      </c>
      <c r="M219">
        <v>0</v>
      </c>
      <c r="N219">
        <v>0</v>
      </c>
      <c r="O219">
        <v>0.9</v>
      </c>
      <c r="P219" t="s">
        <v>114</v>
      </c>
      <c r="Q219">
        <v>0</v>
      </c>
      <c r="R219" t="s">
        <v>135</v>
      </c>
    </row>
    <row r="220" spans="1:18" x14ac:dyDescent="0.25">
      <c r="A220" t="s">
        <v>130</v>
      </c>
      <c r="B220" s="2">
        <v>45464</v>
      </c>
      <c r="C220" t="s">
        <v>28</v>
      </c>
      <c r="D220" t="s">
        <v>130</v>
      </c>
      <c r="I220">
        <v>0</v>
      </c>
      <c r="J220">
        <v>33.1</v>
      </c>
      <c r="K220">
        <v>166.6</v>
      </c>
      <c r="L220" t="s">
        <v>473</v>
      </c>
      <c r="M220">
        <v>0</v>
      </c>
      <c r="N220">
        <v>0</v>
      </c>
      <c r="O220">
        <v>0.9</v>
      </c>
      <c r="P220" t="s">
        <v>114</v>
      </c>
      <c r="Q220">
        <v>0</v>
      </c>
      <c r="R220" t="s">
        <v>135</v>
      </c>
    </row>
    <row r="221" spans="1:18" x14ac:dyDescent="0.25">
      <c r="A221" t="s">
        <v>154</v>
      </c>
      <c r="B221" s="2">
        <v>45464</v>
      </c>
      <c r="C221" t="s">
        <v>28</v>
      </c>
      <c r="D221" t="s">
        <v>154</v>
      </c>
      <c r="I221">
        <v>0</v>
      </c>
      <c r="J221">
        <v>33.1</v>
      </c>
      <c r="K221">
        <v>322.72000000000003</v>
      </c>
      <c r="L221" t="s">
        <v>474</v>
      </c>
      <c r="M221">
        <v>0</v>
      </c>
      <c r="N221">
        <v>0</v>
      </c>
      <c r="O221">
        <v>0.9</v>
      </c>
      <c r="P221" t="s">
        <v>114</v>
      </c>
      <c r="Q221">
        <v>0</v>
      </c>
      <c r="R221" t="s">
        <v>135</v>
      </c>
    </row>
    <row r="222" spans="1:18" x14ac:dyDescent="0.25">
      <c r="A222" t="s">
        <v>155</v>
      </c>
      <c r="B222" s="2">
        <v>45464</v>
      </c>
      <c r="C222" t="s">
        <v>28</v>
      </c>
      <c r="D222" t="s">
        <v>155</v>
      </c>
      <c r="I222">
        <v>0</v>
      </c>
      <c r="J222">
        <v>33.1</v>
      </c>
      <c r="K222">
        <v>251.01</v>
      </c>
      <c r="L222" t="s">
        <v>475</v>
      </c>
      <c r="M222">
        <v>0</v>
      </c>
      <c r="N222">
        <v>0</v>
      </c>
      <c r="O222">
        <v>0.9</v>
      </c>
      <c r="P222" t="s">
        <v>114</v>
      </c>
      <c r="Q222">
        <v>0</v>
      </c>
      <c r="R222" t="s">
        <v>135</v>
      </c>
    </row>
    <row r="223" spans="1:18" x14ac:dyDescent="0.25">
      <c r="A223" t="s">
        <v>146</v>
      </c>
      <c r="B223" s="2">
        <v>45465</v>
      </c>
      <c r="C223" t="s">
        <v>28</v>
      </c>
      <c r="D223" t="s">
        <v>146</v>
      </c>
      <c r="I223">
        <v>0</v>
      </c>
      <c r="J223">
        <v>33.1</v>
      </c>
      <c r="K223">
        <v>184.81</v>
      </c>
      <c r="L223" t="s">
        <v>476</v>
      </c>
      <c r="M223">
        <v>0</v>
      </c>
      <c r="N223">
        <v>0</v>
      </c>
      <c r="O223">
        <v>0.9</v>
      </c>
      <c r="P223" t="s">
        <v>114</v>
      </c>
      <c r="Q223">
        <v>0</v>
      </c>
      <c r="R223" t="s">
        <v>135</v>
      </c>
    </row>
    <row r="224" spans="1:18" x14ac:dyDescent="0.25">
      <c r="A224" t="s">
        <v>130</v>
      </c>
      <c r="B224" s="2">
        <v>45465</v>
      </c>
      <c r="C224" t="s">
        <v>28</v>
      </c>
      <c r="D224" t="s">
        <v>130</v>
      </c>
      <c r="I224">
        <v>0</v>
      </c>
      <c r="J224">
        <v>33.1</v>
      </c>
      <c r="K224">
        <v>199.7</v>
      </c>
      <c r="L224" t="s">
        <v>477</v>
      </c>
      <c r="M224">
        <v>0</v>
      </c>
      <c r="N224">
        <v>0</v>
      </c>
      <c r="O224">
        <v>0.9</v>
      </c>
      <c r="P224" t="s">
        <v>114</v>
      </c>
      <c r="Q224">
        <v>0</v>
      </c>
      <c r="R224" t="s">
        <v>135</v>
      </c>
    </row>
    <row r="225" spans="1:18" x14ac:dyDescent="0.25">
      <c r="A225" t="s">
        <v>155</v>
      </c>
      <c r="B225" s="2">
        <v>45465</v>
      </c>
      <c r="C225" t="s">
        <v>28</v>
      </c>
      <c r="D225" t="s">
        <v>155</v>
      </c>
      <c r="I225">
        <v>0</v>
      </c>
      <c r="J225">
        <v>33.1</v>
      </c>
      <c r="K225">
        <v>238.87</v>
      </c>
      <c r="L225" t="s">
        <v>478</v>
      </c>
      <c r="M225">
        <v>0</v>
      </c>
      <c r="N225">
        <v>0</v>
      </c>
      <c r="O225">
        <v>0.9</v>
      </c>
      <c r="P225" t="s">
        <v>114</v>
      </c>
      <c r="Q225">
        <v>0</v>
      </c>
      <c r="R225" t="s">
        <v>135</v>
      </c>
    </row>
    <row r="226" spans="1:18" x14ac:dyDescent="0.25">
      <c r="A226" t="s">
        <v>154</v>
      </c>
      <c r="B226" s="2">
        <v>45467</v>
      </c>
      <c r="C226" t="s">
        <v>28</v>
      </c>
      <c r="D226" t="s">
        <v>154</v>
      </c>
      <c r="I226">
        <v>0</v>
      </c>
      <c r="J226">
        <v>33.1</v>
      </c>
      <c r="K226">
        <v>272.52</v>
      </c>
      <c r="L226" t="s">
        <v>479</v>
      </c>
      <c r="M226">
        <v>0</v>
      </c>
      <c r="N226">
        <v>0</v>
      </c>
      <c r="O226">
        <v>0.9</v>
      </c>
      <c r="P226" t="s">
        <v>115</v>
      </c>
      <c r="Q226">
        <v>0</v>
      </c>
      <c r="R226" t="s">
        <v>135</v>
      </c>
    </row>
    <row r="227" spans="1:18" x14ac:dyDescent="0.25">
      <c r="A227" t="s">
        <v>155</v>
      </c>
      <c r="B227" s="2">
        <v>45467</v>
      </c>
      <c r="C227" t="s">
        <v>28</v>
      </c>
      <c r="D227" t="s">
        <v>155</v>
      </c>
      <c r="I227">
        <v>0</v>
      </c>
      <c r="J227">
        <v>33.1</v>
      </c>
      <c r="K227">
        <v>281.35000000000002</v>
      </c>
      <c r="L227" t="s">
        <v>480</v>
      </c>
      <c r="M227">
        <v>0</v>
      </c>
      <c r="N227">
        <v>0</v>
      </c>
      <c r="O227">
        <v>0.9</v>
      </c>
      <c r="P227" t="s">
        <v>115</v>
      </c>
      <c r="Q227">
        <v>0</v>
      </c>
      <c r="R227" t="s">
        <v>135</v>
      </c>
    </row>
    <row r="228" spans="1:18" x14ac:dyDescent="0.25">
      <c r="A228" t="s">
        <v>154</v>
      </c>
      <c r="B228" s="2">
        <v>45468</v>
      </c>
      <c r="C228" t="s">
        <v>28</v>
      </c>
      <c r="D228" t="s">
        <v>154</v>
      </c>
      <c r="I228">
        <v>0</v>
      </c>
      <c r="J228">
        <v>33.1</v>
      </c>
      <c r="K228">
        <v>271.42</v>
      </c>
      <c r="L228" t="s">
        <v>481</v>
      </c>
      <c r="M228">
        <v>0</v>
      </c>
      <c r="N228">
        <v>0</v>
      </c>
      <c r="O228">
        <v>0.9</v>
      </c>
      <c r="P228" t="s">
        <v>115</v>
      </c>
      <c r="Q228">
        <v>0</v>
      </c>
      <c r="R228" t="s">
        <v>135</v>
      </c>
    </row>
    <row r="229" spans="1:18" x14ac:dyDescent="0.25">
      <c r="A229" t="s">
        <v>155</v>
      </c>
      <c r="B229" s="2">
        <v>45468</v>
      </c>
      <c r="C229" t="s">
        <v>28</v>
      </c>
      <c r="D229" t="s">
        <v>155</v>
      </c>
      <c r="I229">
        <v>0</v>
      </c>
      <c r="J229">
        <v>33.1</v>
      </c>
      <c r="K229">
        <v>199.7</v>
      </c>
      <c r="L229" t="s">
        <v>482</v>
      </c>
      <c r="M229">
        <v>0</v>
      </c>
      <c r="N229">
        <v>0</v>
      </c>
      <c r="O229">
        <v>0.9</v>
      </c>
      <c r="P229" t="s">
        <v>115</v>
      </c>
      <c r="Q229">
        <v>0</v>
      </c>
      <c r="R229" t="s">
        <v>135</v>
      </c>
    </row>
    <row r="230" spans="1:18" x14ac:dyDescent="0.25">
      <c r="A230" t="s">
        <v>154</v>
      </c>
      <c r="B230" s="2">
        <v>45469</v>
      </c>
      <c r="C230" t="s">
        <v>28</v>
      </c>
      <c r="D230" t="s">
        <v>154</v>
      </c>
      <c r="I230">
        <v>0</v>
      </c>
      <c r="J230">
        <v>33.1</v>
      </c>
      <c r="K230">
        <v>316.66000000000003</v>
      </c>
      <c r="L230" t="s">
        <v>483</v>
      </c>
      <c r="M230">
        <v>0</v>
      </c>
      <c r="N230">
        <v>0</v>
      </c>
      <c r="O230">
        <v>0.9</v>
      </c>
      <c r="P230" t="s">
        <v>115</v>
      </c>
      <c r="Q230">
        <v>0</v>
      </c>
      <c r="R230" t="s">
        <v>135</v>
      </c>
    </row>
    <row r="231" spans="1:18" x14ac:dyDescent="0.25">
      <c r="A231" t="s">
        <v>155</v>
      </c>
      <c r="B231" s="2">
        <v>45469</v>
      </c>
      <c r="C231" t="s">
        <v>28</v>
      </c>
      <c r="D231" t="s">
        <v>155</v>
      </c>
      <c r="I231">
        <v>0</v>
      </c>
      <c r="J231">
        <v>33.1</v>
      </c>
      <c r="K231">
        <v>258.18</v>
      </c>
      <c r="L231" t="s">
        <v>484</v>
      </c>
      <c r="M231">
        <v>0</v>
      </c>
      <c r="N231">
        <v>0</v>
      </c>
      <c r="O231">
        <v>0.9</v>
      </c>
      <c r="P231" t="s">
        <v>115</v>
      </c>
      <c r="Q231">
        <v>0</v>
      </c>
      <c r="R231" t="s">
        <v>135</v>
      </c>
    </row>
    <row r="232" spans="1:18" x14ac:dyDescent="0.25">
      <c r="A232" t="s">
        <v>154</v>
      </c>
      <c r="B232" s="2">
        <v>45470</v>
      </c>
      <c r="C232" t="s">
        <v>28</v>
      </c>
      <c r="D232" t="s">
        <v>154</v>
      </c>
      <c r="I232">
        <v>0</v>
      </c>
      <c r="J232">
        <v>33.1</v>
      </c>
      <c r="K232">
        <v>347</v>
      </c>
      <c r="L232" t="s">
        <v>485</v>
      </c>
      <c r="M232">
        <v>0</v>
      </c>
      <c r="N232">
        <v>0</v>
      </c>
      <c r="O232">
        <v>0.9</v>
      </c>
      <c r="P232" t="s">
        <v>115</v>
      </c>
      <c r="Q232">
        <v>0</v>
      </c>
      <c r="R232" t="s">
        <v>135</v>
      </c>
    </row>
    <row r="233" spans="1:18" x14ac:dyDescent="0.25">
      <c r="A233" t="s">
        <v>155</v>
      </c>
      <c r="B233" s="2">
        <v>45470</v>
      </c>
      <c r="C233" t="s">
        <v>28</v>
      </c>
      <c r="D233" t="s">
        <v>155</v>
      </c>
      <c r="I233">
        <v>0</v>
      </c>
      <c r="J233">
        <v>33.1</v>
      </c>
      <c r="K233">
        <v>260.94</v>
      </c>
      <c r="L233" t="s">
        <v>486</v>
      </c>
      <c r="M233">
        <v>0</v>
      </c>
      <c r="N233">
        <v>0</v>
      </c>
      <c r="O233">
        <v>0.9</v>
      </c>
      <c r="P233" t="s">
        <v>115</v>
      </c>
      <c r="Q233">
        <v>0</v>
      </c>
      <c r="R233" t="s">
        <v>135</v>
      </c>
    </row>
    <row r="234" spans="1:18" x14ac:dyDescent="0.25">
      <c r="A234" t="s">
        <v>154</v>
      </c>
      <c r="B234" s="2">
        <v>45471</v>
      </c>
      <c r="C234" t="s">
        <v>28</v>
      </c>
      <c r="D234" t="s">
        <v>154</v>
      </c>
      <c r="I234">
        <v>0</v>
      </c>
      <c r="J234">
        <v>33.1</v>
      </c>
      <c r="K234">
        <v>287.97000000000003</v>
      </c>
      <c r="L234" t="s">
        <v>487</v>
      </c>
      <c r="M234">
        <v>0</v>
      </c>
      <c r="N234">
        <v>0</v>
      </c>
      <c r="O234">
        <v>0.9</v>
      </c>
      <c r="P234" t="s">
        <v>115</v>
      </c>
      <c r="Q234">
        <v>0</v>
      </c>
      <c r="R234" t="s">
        <v>135</v>
      </c>
    </row>
    <row r="235" spans="1:18" x14ac:dyDescent="0.25">
      <c r="A235" t="s">
        <v>155</v>
      </c>
      <c r="B235" s="2">
        <v>45471</v>
      </c>
      <c r="C235" t="s">
        <v>28</v>
      </c>
      <c r="D235" t="s">
        <v>155</v>
      </c>
      <c r="I235">
        <v>0</v>
      </c>
      <c r="J235">
        <v>33.1</v>
      </c>
      <c r="K235">
        <v>280.25</v>
      </c>
      <c r="L235" t="s">
        <v>488</v>
      </c>
      <c r="M235">
        <v>0</v>
      </c>
      <c r="N235">
        <v>0</v>
      </c>
      <c r="O235">
        <v>0.9</v>
      </c>
      <c r="P235" t="s">
        <v>115</v>
      </c>
      <c r="Q235">
        <v>0</v>
      </c>
      <c r="R235" t="s">
        <v>135</v>
      </c>
    </row>
    <row r="236" spans="1:18" x14ac:dyDescent="0.25">
      <c r="A236" t="s">
        <v>155</v>
      </c>
      <c r="B236" s="2">
        <v>45472</v>
      </c>
      <c r="C236" t="s">
        <v>28</v>
      </c>
      <c r="D236" t="s">
        <v>155</v>
      </c>
      <c r="I236">
        <v>0</v>
      </c>
      <c r="J236">
        <v>33.1</v>
      </c>
      <c r="K236">
        <v>250.46</v>
      </c>
      <c r="L236" t="s">
        <v>489</v>
      </c>
      <c r="M236">
        <v>0</v>
      </c>
      <c r="N236">
        <v>0</v>
      </c>
      <c r="O236">
        <v>0.9</v>
      </c>
      <c r="P236" t="s">
        <v>115</v>
      </c>
      <c r="Q236">
        <v>0</v>
      </c>
      <c r="R236" t="s">
        <v>135</v>
      </c>
    </row>
    <row r="237" spans="1:18" x14ac:dyDescent="0.25">
      <c r="A237" t="s">
        <v>490</v>
      </c>
      <c r="B237" s="2">
        <v>45460</v>
      </c>
      <c r="C237" t="s">
        <v>147</v>
      </c>
      <c r="D237" t="s">
        <v>148</v>
      </c>
      <c r="E237" t="s">
        <v>142</v>
      </c>
      <c r="F237">
        <v>7.601</v>
      </c>
      <c r="G237">
        <v>0</v>
      </c>
      <c r="H237">
        <v>0</v>
      </c>
      <c r="I237">
        <v>5</v>
      </c>
      <c r="J237">
        <v>0</v>
      </c>
      <c r="K237">
        <v>0</v>
      </c>
      <c r="L237" t="s">
        <v>491</v>
      </c>
      <c r="M237">
        <v>5</v>
      </c>
      <c r="N237">
        <v>0</v>
      </c>
      <c r="O237">
        <v>0.9</v>
      </c>
      <c r="P237" t="s">
        <v>114</v>
      </c>
      <c r="Q237">
        <v>0</v>
      </c>
      <c r="R237" t="s">
        <v>144</v>
      </c>
    </row>
    <row r="238" spans="1:18" x14ac:dyDescent="0.25">
      <c r="A238" t="s">
        <v>492</v>
      </c>
      <c r="B238" s="2">
        <v>45460</v>
      </c>
      <c r="C238" t="s">
        <v>147</v>
      </c>
      <c r="D238" t="s">
        <v>148</v>
      </c>
      <c r="E238" t="s">
        <v>142</v>
      </c>
      <c r="F238">
        <v>4.0979999999999999</v>
      </c>
      <c r="G238">
        <v>0</v>
      </c>
      <c r="H238">
        <v>0</v>
      </c>
      <c r="I238">
        <v>20</v>
      </c>
      <c r="J238">
        <v>0</v>
      </c>
      <c r="K238">
        <v>0</v>
      </c>
      <c r="L238" t="s">
        <v>143</v>
      </c>
      <c r="M238">
        <v>20</v>
      </c>
      <c r="N238">
        <v>1</v>
      </c>
      <c r="O238">
        <v>0.9</v>
      </c>
      <c r="P238" t="s">
        <v>114</v>
      </c>
      <c r="Q238">
        <v>0.9</v>
      </c>
      <c r="R238" t="s">
        <v>144</v>
      </c>
    </row>
    <row r="239" spans="1:18" x14ac:dyDescent="0.25">
      <c r="A239" t="s">
        <v>493</v>
      </c>
      <c r="B239" s="2">
        <v>45460</v>
      </c>
      <c r="C239" t="s">
        <v>147</v>
      </c>
      <c r="D239" t="s">
        <v>148</v>
      </c>
      <c r="E239" t="s">
        <v>142</v>
      </c>
      <c r="F239">
        <v>0.28899999999999998</v>
      </c>
      <c r="G239">
        <v>0</v>
      </c>
      <c r="H239">
        <v>0</v>
      </c>
      <c r="I239">
        <v>5</v>
      </c>
      <c r="J239">
        <v>0</v>
      </c>
      <c r="K239">
        <v>0</v>
      </c>
      <c r="L239" t="s">
        <v>494</v>
      </c>
      <c r="M239">
        <v>5</v>
      </c>
      <c r="N239">
        <v>0</v>
      </c>
      <c r="O239">
        <v>0.9</v>
      </c>
      <c r="P239" t="s">
        <v>114</v>
      </c>
      <c r="Q239">
        <v>0</v>
      </c>
      <c r="R239" t="s">
        <v>144</v>
      </c>
    </row>
    <row r="240" spans="1:18" x14ac:dyDescent="0.25">
      <c r="A240" t="s">
        <v>495</v>
      </c>
      <c r="B240" s="2">
        <v>45460</v>
      </c>
      <c r="C240" t="s">
        <v>147</v>
      </c>
      <c r="D240" t="s">
        <v>148</v>
      </c>
      <c r="E240" t="s">
        <v>142</v>
      </c>
      <c r="F240">
        <v>6.1740000000000004</v>
      </c>
      <c r="G240">
        <v>0</v>
      </c>
      <c r="H240">
        <v>0</v>
      </c>
      <c r="I240">
        <v>5</v>
      </c>
      <c r="J240">
        <v>0</v>
      </c>
      <c r="K240">
        <v>0</v>
      </c>
      <c r="L240" t="s">
        <v>496</v>
      </c>
      <c r="M240">
        <v>5</v>
      </c>
      <c r="N240">
        <v>0</v>
      </c>
      <c r="O240">
        <v>0.9</v>
      </c>
      <c r="P240" t="s">
        <v>114</v>
      </c>
      <c r="Q240">
        <v>0</v>
      </c>
      <c r="R240" t="s">
        <v>144</v>
      </c>
    </row>
    <row r="241" spans="1:18" x14ac:dyDescent="0.25">
      <c r="A241" t="s">
        <v>497</v>
      </c>
      <c r="B241" s="2">
        <v>45460</v>
      </c>
      <c r="C241" t="s">
        <v>147</v>
      </c>
      <c r="D241" t="s">
        <v>148</v>
      </c>
      <c r="E241" t="s">
        <v>142</v>
      </c>
      <c r="F241">
        <v>9.1769999999999996</v>
      </c>
      <c r="G241">
        <v>0</v>
      </c>
      <c r="H241">
        <v>0</v>
      </c>
      <c r="I241">
        <v>20</v>
      </c>
      <c r="J241">
        <v>0</v>
      </c>
      <c r="K241">
        <v>0</v>
      </c>
      <c r="L241" t="s">
        <v>498</v>
      </c>
      <c r="M241">
        <v>20</v>
      </c>
      <c r="N241">
        <v>1</v>
      </c>
      <c r="O241">
        <v>0.9</v>
      </c>
      <c r="P241" t="s">
        <v>114</v>
      </c>
      <c r="Q241">
        <v>0.9</v>
      </c>
      <c r="R241" t="s">
        <v>144</v>
      </c>
    </row>
    <row r="242" spans="1:18" x14ac:dyDescent="0.25">
      <c r="A242" t="s">
        <v>499</v>
      </c>
      <c r="B242" s="2">
        <v>45460</v>
      </c>
      <c r="C242" t="s">
        <v>147</v>
      </c>
      <c r="D242" t="s">
        <v>148</v>
      </c>
      <c r="E242" t="s">
        <v>142</v>
      </c>
      <c r="F242">
        <v>1.663</v>
      </c>
      <c r="G242">
        <v>0</v>
      </c>
      <c r="H242">
        <v>0</v>
      </c>
      <c r="I242">
        <v>20</v>
      </c>
      <c r="J242">
        <v>0</v>
      </c>
      <c r="K242">
        <v>0</v>
      </c>
      <c r="L242" t="s">
        <v>143</v>
      </c>
      <c r="M242">
        <v>20</v>
      </c>
      <c r="N242">
        <v>1</v>
      </c>
      <c r="O242">
        <v>0.9</v>
      </c>
      <c r="P242" t="s">
        <v>114</v>
      </c>
      <c r="Q242">
        <v>0.9</v>
      </c>
      <c r="R242" t="s">
        <v>144</v>
      </c>
    </row>
    <row r="243" spans="1:18" x14ac:dyDescent="0.25">
      <c r="A243" t="s">
        <v>500</v>
      </c>
      <c r="B243" s="2">
        <v>45460</v>
      </c>
      <c r="C243" t="s">
        <v>147</v>
      </c>
      <c r="D243" t="s">
        <v>148</v>
      </c>
      <c r="E243" t="s">
        <v>142</v>
      </c>
      <c r="F243">
        <v>1.921</v>
      </c>
      <c r="G243">
        <v>0</v>
      </c>
      <c r="H243">
        <v>0</v>
      </c>
      <c r="I243">
        <v>20</v>
      </c>
      <c r="J243">
        <v>0</v>
      </c>
      <c r="K243">
        <v>0</v>
      </c>
      <c r="L243" t="s">
        <v>501</v>
      </c>
      <c r="M243">
        <v>20</v>
      </c>
      <c r="N243">
        <v>1</v>
      </c>
      <c r="O243">
        <v>0.9</v>
      </c>
      <c r="P243" t="s">
        <v>114</v>
      </c>
      <c r="Q243">
        <v>0.9</v>
      </c>
      <c r="R243" t="s">
        <v>144</v>
      </c>
    </row>
    <row r="244" spans="1:18" x14ac:dyDescent="0.25">
      <c r="A244" t="s">
        <v>502</v>
      </c>
      <c r="B244" s="2">
        <v>45460</v>
      </c>
      <c r="C244" t="s">
        <v>147</v>
      </c>
      <c r="D244" t="s">
        <v>148</v>
      </c>
      <c r="E244" t="s">
        <v>142</v>
      </c>
      <c r="F244">
        <v>10</v>
      </c>
      <c r="G244">
        <v>1.4770000000000001</v>
      </c>
      <c r="H244">
        <v>2.2155</v>
      </c>
      <c r="I244">
        <v>20</v>
      </c>
      <c r="J244">
        <v>0</v>
      </c>
      <c r="K244">
        <v>0</v>
      </c>
      <c r="L244" t="s">
        <v>143</v>
      </c>
      <c r="M244">
        <v>22.215499999999999</v>
      </c>
      <c r="N244">
        <v>1</v>
      </c>
      <c r="O244">
        <v>0.9</v>
      </c>
      <c r="P244" t="s">
        <v>114</v>
      </c>
      <c r="Q244">
        <v>0.9</v>
      </c>
      <c r="R244" t="s">
        <v>144</v>
      </c>
    </row>
    <row r="245" spans="1:18" x14ac:dyDescent="0.25">
      <c r="A245" t="s">
        <v>503</v>
      </c>
      <c r="B245" s="2">
        <v>45460</v>
      </c>
      <c r="C245" t="s">
        <v>147</v>
      </c>
      <c r="D245" t="s">
        <v>148</v>
      </c>
      <c r="E245" t="s">
        <v>142</v>
      </c>
      <c r="F245">
        <v>10</v>
      </c>
      <c r="G245">
        <v>13.096</v>
      </c>
      <c r="H245">
        <v>19.643999999999998</v>
      </c>
      <c r="I245">
        <v>20</v>
      </c>
      <c r="J245">
        <v>0</v>
      </c>
      <c r="K245">
        <v>0</v>
      </c>
      <c r="L245" t="s">
        <v>143</v>
      </c>
      <c r="M245">
        <v>39.643999999999998</v>
      </c>
      <c r="N245">
        <v>1</v>
      </c>
      <c r="O245">
        <v>0.9</v>
      </c>
      <c r="P245" t="s">
        <v>114</v>
      </c>
      <c r="Q245">
        <v>0.9</v>
      </c>
      <c r="R245" t="s">
        <v>144</v>
      </c>
    </row>
    <row r="246" spans="1:18" x14ac:dyDescent="0.25">
      <c r="A246" t="s">
        <v>504</v>
      </c>
      <c r="B246" s="2">
        <v>45461</v>
      </c>
      <c r="C246" t="s">
        <v>147</v>
      </c>
      <c r="D246" t="s">
        <v>148</v>
      </c>
      <c r="E246" t="s">
        <v>142</v>
      </c>
      <c r="F246">
        <v>10</v>
      </c>
      <c r="G246">
        <v>2.5819999999999999</v>
      </c>
      <c r="H246">
        <v>3.8730000000000002</v>
      </c>
      <c r="I246">
        <v>20</v>
      </c>
      <c r="J246">
        <v>0</v>
      </c>
      <c r="K246">
        <v>0</v>
      </c>
      <c r="L246" t="s">
        <v>143</v>
      </c>
      <c r="M246">
        <v>23.873000000000001</v>
      </c>
      <c r="N246">
        <v>1</v>
      </c>
      <c r="O246">
        <v>0.9</v>
      </c>
      <c r="P246" t="s">
        <v>114</v>
      </c>
      <c r="Q246">
        <v>0.9</v>
      </c>
      <c r="R246" t="s">
        <v>144</v>
      </c>
    </row>
    <row r="247" spans="1:18" x14ac:dyDescent="0.25">
      <c r="A247" t="s">
        <v>505</v>
      </c>
      <c r="B247" s="2">
        <v>45461</v>
      </c>
      <c r="C247" t="s">
        <v>147</v>
      </c>
      <c r="D247" t="s">
        <v>148</v>
      </c>
      <c r="E247" t="s">
        <v>142</v>
      </c>
      <c r="F247">
        <v>2.4769999999999999</v>
      </c>
      <c r="G247">
        <v>0</v>
      </c>
      <c r="H247">
        <v>0</v>
      </c>
      <c r="I247">
        <v>20</v>
      </c>
      <c r="J247">
        <v>0</v>
      </c>
      <c r="K247">
        <v>0</v>
      </c>
      <c r="L247" t="s">
        <v>143</v>
      </c>
      <c r="M247">
        <v>20</v>
      </c>
      <c r="N247">
        <v>1</v>
      </c>
      <c r="O247">
        <v>0.9</v>
      </c>
      <c r="P247" t="s">
        <v>114</v>
      </c>
      <c r="Q247">
        <v>0.9</v>
      </c>
      <c r="R247" t="s">
        <v>144</v>
      </c>
    </row>
    <row r="248" spans="1:18" x14ac:dyDescent="0.25">
      <c r="A248" t="s">
        <v>506</v>
      </c>
      <c r="B248" s="2">
        <v>45461</v>
      </c>
      <c r="C248" t="s">
        <v>147</v>
      </c>
      <c r="D248" t="s">
        <v>148</v>
      </c>
      <c r="E248" t="s">
        <v>142</v>
      </c>
      <c r="F248">
        <v>2.5150000000000001</v>
      </c>
      <c r="G248">
        <v>0</v>
      </c>
      <c r="H248">
        <v>0</v>
      </c>
      <c r="I248">
        <v>20</v>
      </c>
      <c r="J248">
        <v>0</v>
      </c>
      <c r="K248">
        <v>0</v>
      </c>
      <c r="L248" t="s">
        <v>143</v>
      </c>
      <c r="M248">
        <v>20</v>
      </c>
      <c r="N248">
        <v>1</v>
      </c>
      <c r="O248">
        <v>0.9</v>
      </c>
      <c r="P248" t="s">
        <v>114</v>
      </c>
      <c r="Q248">
        <v>0.9</v>
      </c>
      <c r="R248" t="s">
        <v>144</v>
      </c>
    </row>
    <row r="249" spans="1:18" x14ac:dyDescent="0.25">
      <c r="A249" t="s">
        <v>507</v>
      </c>
      <c r="B249" s="2">
        <v>45461</v>
      </c>
      <c r="C249" t="s">
        <v>147</v>
      </c>
      <c r="D249" t="s">
        <v>148</v>
      </c>
      <c r="E249" t="s">
        <v>142</v>
      </c>
      <c r="F249">
        <v>10</v>
      </c>
      <c r="G249">
        <v>5.4619999999999997</v>
      </c>
      <c r="H249">
        <v>8.1929999999999996</v>
      </c>
      <c r="I249">
        <v>20</v>
      </c>
      <c r="J249">
        <v>0</v>
      </c>
      <c r="K249">
        <v>0</v>
      </c>
      <c r="L249" t="s">
        <v>143</v>
      </c>
      <c r="M249">
        <v>28.193000000000001</v>
      </c>
      <c r="N249">
        <v>1</v>
      </c>
      <c r="O249">
        <v>0.9</v>
      </c>
      <c r="P249" t="s">
        <v>114</v>
      </c>
      <c r="Q249">
        <v>0.9</v>
      </c>
      <c r="R249" t="s">
        <v>144</v>
      </c>
    </row>
    <row r="250" spans="1:18" x14ac:dyDescent="0.25">
      <c r="A250" t="s">
        <v>508</v>
      </c>
      <c r="B250" s="2">
        <v>45461</v>
      </c>
      <c r="C250" t="s">
        <v>147</v>
      </c>
      <c r="D250" t="s">
        <v>148</v>
      </c>
      <c r="E250" t="s">
        <v>142</v>
      </c>
      <c r="F250">
        <v>9.69</v>
      </c>
      <c r="G250">
        <v>0</v>
      </c>
      <c r="H250">
        <v>0</v>
      </c>
      <c r="I250">
        <v>20</v>
      </c>
      <c r="J250">
        <v>0</v>
      </c>
      <c r="K250">
        <v>0</v>
      </c>
      <c r="L250" t="s">
        <v>339</v>
      </c>
      <c r="M250">
        <v>20</v>
      </c>
      <c r="N250">
        <v>1</v>
      </c>
      <c r="O250">
        <v>0.9</v>
      </c>
      <c r="P250" t="s">
        <v>114</v>
      </c>
      <c r="Q250">
        <v>0.9</v>
      </c>
      <c r="R250" t="s">
        <v>144</v>
      </c>
    </row>
    <row r="251" spans="1:18" x14ac:dyDescent="0.25">
      <c r="A251" t="s">
        <v>509</v>
      </c>
      <c r="B251" s="2">
        <v>45461</v>
      </c>
      <c r="C251" t="s">
        <v>147</v>
      </c>
      <c r="D251" t="s">
        <v>148</v>
      </c>
      <c r="E251" t="s">
        <v>142</v>
      </c>
      <c r="F251">
        <v>10</v>
      </c>
      <c r="G251">
        <v>3.073</v>
      </c>
      <c r="H251">
        <v>4.6094999999999997</v>
      </c>
      <c r="I251">
        <v>20</v>
      </c>
      <c r="J251">
        <v>0</v>
      </c>
      <c r="K251">
        <v>0</v>
      </c>
      <c r="L251" t="s">
        <v>510</v>
      </c>
      <c r="M251">
        <v>24.609500000000001</v>
      </c>
      <c r="N251">
        <v>1</v>
      </c>
      <c r="O251">
        <v>0.9</v>
      </c>
      <c r="P251" t="s">
        <v>114</v>
      </c>
      <c r="Q251">
        <v>0.9</v>
      </c>
      <c r="R251" t="s">
        <v>144</v>
      </c>
    </row>
    <row r="252" spans="1:18" x14ac:dyDescent="0.25">
      <c r="A252" t="s">
        <v>511</v>
      </c>
      <c r="B252" s="2">
        <v>45461</v>
      </c>
      <c r="C252" t="s">
        <v>147</v>
      </c>
      <c r="D252" t="s">
        <v>148</v>
      </c>
      <c r="E252" t="s">
        <v>142</v>
      </c>
      <c r="F252">
        <v>5.5</v>
      </c>
      <c r="G252">
        <v>0</v>
      </c>
      <c r="H252">
        <v>0</v>
      </c>
      <c r="I252">
        <v>20</v>
      </c>
      <c r="J252">
        <v>0</v>
      </c>
      <c r="K252">
        <v>0</v>
      </c>
      <c r="L252" t="s">
        <v>143</v>
      </c>
      <c r="M252">
        <v>20</v>
      </c>
      <c r="N252">
        <v>1</v>
      </c>
      <c r="O252">
        <v>0.9</v>
      </c>
      <c r="P252" t="s">
        <v>114</v>
      </c>
      <c r="Q252">
        <v>0.9</v>
      </c>
      <c r="R252" t="s">
        <v>144</v>
      </c>
    </row>
    <row r="253" spans="1:18" x14ac:dyDescent="0.25">
      <c r="A253" t="s">
        <v>512</v>
      </c>
      <c r="B253" s="2">
        <v>45461</v>
      </c>
      <c r="C253" t="s">
        <v>147</v>
      </c>
      <c r="D253" t="s">
        <v>148</v>
      </c>
      <c r="E253" t="s">
        <v>142</v>
      </c>
      <c r="F253">
        <v>7.1820000000000004</v>
      </c>
      <c r="G253">
        <v>0</v>
      </c>
      <c r="H253">
        <v>0</v>
      </c>
      <c r="I253">
        <v>20</v>
      </c>
      <c r="J253">
        <v>0</v>
      </c>
      <c r="K253">
        <v>0</v>
      </c>
      <c r="L253" t="s">
        <v>513</v>
      </c>
      <c r="M253">
        <v>20</v>
      </c>
      <c r="N253">
        <v>1</v>
      </c>
      <c r="O253">
        <v>0.9</v>
      </c>
      <c r="P253" t="s">
        <v>114</v>
      </c>
      <c r="Q253">
        <v>0.9</v>
      </c>
      <c r="R253" t="s">
        <v>144</v>
      </c>
    </row>
    <row r="254" spans="1:18" x14ac:dyDescent="0.25">
      <c r="A254" t="s">
        <v>514</v>
      </c>
      <c r="B254" s="2">
        <v>45461</v>
      </c>
      <c r="C254" t="s">
        <v>147</v>
      </c>
      <c r="D254" t="s">
        <v>148</v>
      </c>
      <c r="E254" t="s">
        <v>142</v>
      </c>
      <c r="F254">
        <v>1.1299999999999999</v>
      </c>
      <c r="G254">
        <v>0</v>
      </c>
      <c r="H254">
        <v>0</v>
      </c>
      <c r="I254">
        <v>20</v>
      </c>
      <c r="J254">
        <v>0</v>
      </c>
      <c r="K254">
        <v>0</v>
      </c>
      <c r="L254" t="s">
        <v>143</v>
      </c>
      <c r="M254">
        <v>20</v>
      </c>
      <c r="N254">
        <v>1</v>
      </c>
      <c r="O254">
        <v>0.9</v>
      </c>
      <c r="P254" t="s">
        <v>114</v>
      </c>
      <c r="Q254">
        <v>0.9</v>
      </c>
      <c r="R254" t="s">
        <v>144</v>
      </c>
    </row>
    <row r="255" spans="1:18" x14ac:dyDescent="0.25">
      <c r="A255" t="s">
        <v>515</v>
      </c>
      <c r="B255" s="2">
        <v>45461</v>
      </c>
      <c r="C255" t="s">
        <v>147</v>
      </c>
      <c r="D255" t="s">
        <v>148</v>
      </c>
      <c r="E255" t="s">
        <v>142</v>
      </c>
      <c r="F255">
        <v>0.81200000000000006</v>
      </c>
      <c r="G255">
        <v>0</v>
      </c>
      <c r="H255">
        <v>0</v>
      </c>
      <c r="I255">
        <v>20</v>
      </c>
      <c r="J255">
        <v>0</v>
      </c>
      <c r="K255">
        <v>0</v>
      </c>
      <c r="L255" t="s">
        <v>143</v>
      </c>
      <c r="M255">
        <v>20</v>
      </c>
      <c r="N255">
        <v>1</v>
      </c>
      <c r="O255">
        <v>0.9</v>
      </c>
      <c r="P255" t="s">
        <v>114</v>
      </c>
      <c r="Q255">
        <v>0.9</v>
      </c>
      <c r="R255" t="s">
        <v>144</v>
      </c>
    </row>
    <row r="256" spans="1:18" x14ac:dyDescent="0.25">
      <c r="A256" t="s">
        <v>516</v>
      </c>
      <c r="B256" s="2">
        <v>45461</v>
      </c>
      <c r="C256" t="s">
        <v>147</v>
      </c>
      <c r="D256" t="s">
        <v>148</v>
      </c>
      <c r="E256" t="s">
        <v>142</v>
      </c>
      <c r="F256">
        <v>2.8050000000000002</v>
      </c>
      <c r="G256">
        <v>0</v>
      </c>
      <c r="H256">
        <v>0</v>
      </c>
      <c r="I256">
        <v>20</v>
      </c>
      <c r="J256">
        <v>0</v>
      </c>
      <c r="K256">
        <v>0</v>
      </c>
      <c r="L256" t="s">
        <v>143</v>
      </c>
      <c r="M256">
        <v>20</v>
      </c>
      <c r="N256">
        <v>1</v>
      </c>
      <c r="O256">
        <v>0.9</v>
      </c>
      <c r="P256" t="s">
        <v>114</v>
      </c>
      <c r="Q256">
        <v>0.9</v>
      </c>
      <c r="R256" t="s">
        <v>144</v>
      </c>
    </row>
    <row r="257" spans="1:18" x14ac:dyDescent="0.25">
      <c r="A257" t="s">
        <v>517</v>
      </c>
      <c r="B257" s="2">
        <v>45461</v>
      </c>
      <c r="C257" t="s">
        <v>147</v>
      </c>
      <c r="D257" t="s">
        <v>148</v>
      </c>
      <c r="E257" t="s">
        <v>142</v>
      </c>
      <c r="F257">
        <v>2.4430000000000001</v>
      </c>
      <c r="G257">
        <v>0</v>
      </c>
      <c r="H257">
        <v>0</v>
      </c>
      <c r="I257">
        <v>20</v>
      </c>
      <c r="J257">
        <v>0</v>
      </c>
      <c r="K257">
        <v>0</v>
      </c>
      <c r="L257" t="s">
        <v>143</v>
      </c>
      <c r="M257">
        <v>20</v>
      </c>
      <c r="N257">
        <v>1</v>
      </c>
      <c r="O257">
        <v>0.9</v>
      </c>
      <c r="P257" t="s">
        <v>114</v>
      </c>
      <c r="Q257">
        <v>0.9</v>
      </c>
      <c r="R257" t="s">
        <v>144</v>
      </c>
    </row>
    <row r="258" spans="1:18" x14ac:dyDescent="0.25">
      <c r="A258" t="s">
        <v>518</v>
      </c>
      <c r="B258" s="2">
        <v>45461</v>
      </c>
      <c r="C258" t="s">
        <v>147</v>
      </c>
      <c r="D258" t="s">
        <v>148</v>
      </c>
      <c r="E258" t="s">
        <v>142</v>
      </c>
      <c r="F258">
        <v>4.8259999999999996</v>
      </c>
      <c r="G258">
        <v>0</v>
      </c>
      <c r="H258">
        <v>0</v>
      </c>
      <c r="I258">
        <v>5</v>
      </c>
      <c r="J258">
        <v>0</v>
      </c>
      <c r="K258">
        <v>0</v>
      </c>
      <c r="L258" t="s">
        <v>519</v>
      </c>
      <c r="M258">
        <v>5</v>
      </c>
      <c r="N258">
        <v>0</v>
      </c>
      <c r="O258">
        <v>0.9</v>
      </c>
      <c r="P258" t="s">
        <v>114</v>
      </c>
      <c r="Q258">
        <v>0</v>
      </c>
      <c r="R258" t="s">
        <v>144</v>
      </c>
    </row>
    <row r="259" spans="1:18" x14ac:dyDescent="0.25">
      <c r="A259" t="s">
        <v>520</v>
      </c>
      <c r="B259" s="2">
        <v>45462</v>
      </c>
      <c r="C259" t="s">
        <v>147</v>
      </c>
      <c r="D259" t="s">
        <v>148</v>
      </c>
      <c r="E259" t="s">
        <v>142</v>
      </c>
      <c r="F259">
        <v>8.2050000000000001</v>
      </c>
      <c r="G259">
        <v>0</v>
      </c>
      <c r="H259">
        <v>0</v>
      </c>
      <c r="I259">
        <v>5</v>
      </c>
      <c r="J259">
        <v>0</v>
      </c>
      <c r="K259">
        <v>0</v>
      </c>
      <c r="L259" t="s">
        <v>521</v>
      </c>
      <c r="M259">
        <v>5</v>
      </c>
      <c r="N259">
        <v>0</v>
      </c>
      <c r="O259">
        <v>0.9</v>
      </c>
      <c r="P259" t="s">
        <v>114</v>
      </c>
      <c r="Q259">
        <v>0</v>
      </c>
      <c r="R259" t="s">
        <v>144</v>
      </c>
    </row>
    <row r="260" spans="1:18" x14ac:dyDescent="0.25">
      <c r="A260" t="s">
        <v>522</v>
      </c>
      <c r="B260" s="2">
        <v>45462</v>
      </c>
      <c r="C260" t="s">
        <v>147</v>
      </c>
      <c r="D260" t="s">
        <v>148</v>
      </c>
      <c r="E260" t="s">
        <v>142</v>
      </c>
      <c r="F260">
        <v>10</v>
      </c>
      <c r="G260">
        <v>2.262</v>
      </c>
      <c r="H260">
        <v>3.3929999999999998</v>
      </c>
      <c r="I260">
        <v>20</v>
      </c>
      <c r="J260">
        <v>0</v>
      </c>
      <c r="K260">
        <v>0</v>
      </c>
      <c r="L260" t="s">
        <v>143</v>
      </c>
      <c r="M260">
        <v>23.393000000000001</v>
      </c>
      <c r="N260">
        <v>1</v>
      </c>
      <c r="O260">
        <v>0.9</v>
      </c>
      <c r="P260" t="s">
        <v>114</v>
      </c>
      <c r="Q260">
        <v>0.9</v>
      </c>
      <c r="R260" t="s">
        <v>144</v>
      </c>
    </row>
    <row r="261" spans="1:18" x14ac:dyDescent="0.25">
      <c r="A261" t="s">
        <v>523</v>
      </c>
      <c r="B261" s="2">
        <v>45462</v>
      </c>
      <c r="C261" t="s">
        <v>147</v>
      </c>
      <c r="D261" t="s">
        <v>148</v>
      </c>
      <c r="E261" t="s">
        <v>142</v>
      </c>
      <c r="F261">
        <v>10</v>
      </c>
      <c r="G261">
        <v>11.074</v>
      </c>
      <c r="H261">
        <v>16.611000000000001</v>
      </c>
      <c r="I261">
        <v>20</v>
      </c>
      <c r="J261">
        <v>0</v>
      </c>
      <c r="K261">
        <v>0</v>
      </c>
      <c r="L261" t="s">
        <v>143</v>
      </c>
      <c r="M261">
        <v>36.610999999999997</v>
      </c>
      <c r="N261">
        <v>1</v>
      </c>
      <c r="O261">
        <v>0.9</v>
      </c>
      <c r="P261" t="s">
        <v>114</v>
      </c>
      <c r="Q261">
        <v>0.9</v>
      </c>
      <c r="R261" t="s">
        <v>144</v>
      </c>
    </row>
    <row r="262" spans="1:18" x14ac:dyDescent="0.25">
      <c r="A262" t="s">
        <v>524</v>
      </c>
      <c r="B262" s="2">
        <v>45462</v>
      </c>
      <c r="C262" t="s">
        <v>147</v>
      </c>
      <c r="D262" t="s">
        <v>148</v>
      </c>
      <c r="E262" t="s">
        <v>142</v>
      </c>
      <c r="F262">
        <v>3.8159999999999998</v>
      </c>
      <c r="G262">
        <v>0</v>
      </c>
      <c r="H262">
        <v>0</v>
      </c>
      <c r="I262">
        <v>20</v>
      </c>
      <c r="J262">
        <v>0</v>
      </c>
      <c r="K262">
        <v>0</v>
      </c>
      <c r="L262" t="s">
        <v>525</v>
      </c>
      <c r="M262">
        <v>20</v>
      </c>
      <c r="N262">
        <v>1</v>
      </c>
      <c r="O262">
        <v>0.9</v>
      </c>
      <c r="P262" t="s">
        <v>114</v>
      </c>
      <c r="Q262">
        <v>0.9</v>
      </c>
      <c r="R262" t="s">
        <v>144</v>
      </c>
    </row>
    <row r="263" spans="1:18" x14ac:dyDescent="0.25">
      <c r="A263" t="s">
        <v>526</v>
      </c>
      <c r="B263" s="2">
        <v>45462</v>
      </c>
      <c r="C263" t="s">
        <v>147</v>
      </c>
      <c r="D263" t="s">
        <v>148</v>
      </c>
      <c r="E263" t="s">
        <v>142</v>
      </c>
      <c r="F263">
        <v>3.5760000000000001</v>
      </c>
      <c r="G263">
        <v>0</v>
      </c>
      <c r="H263">
        <v>0</v>
      </c>
      <c r="I263">
        <v>20</v>
      </c>
      <c r="J263">
        <v>0</v>
      </c>
      <c r="K263">
        <v>0</v>
      </c>
      <c r="L263" t="s">
        <v>527</v>
      </c>
      <c r="M263">
        <v>20</v>
      </c>
      <c r="N263">
        <v>1</v>
      </c>
      <c r="O263">
        <v>0.9</v>
      </c>
      <c r="P263" t="s">
        <v>114</v>
      </c>
      <c r="Q263">
        <v>0.9</v>
      </c>
      <c r="R263" t="s">
        <v>144</v>
      </c>
    </row>
    <row r="264" spans="1:18" x14ac:dyDescent="0.25">
      <c r="A264" t="s">
        <v>528</v>
      </c>
      <c r="B264" s="2">
        <v>45462</v>
      </c>
      <c r="C264" t="s">
        <v>147</v>
      </c>
      <c r="D264" t="s">
        <v>148</v>
      </c>
      <c r="E264" t="s">
        <v>142</v>
      </c>
      <c r="F264">
        <v>6.9029999999999996</v>
      </c>
      <c r="G264">
        <v>0</v>
      </c>
      <c r="H264">
        <v>0</v>
      </c>
      <c r="I264">
        <v>20</v>
      </c>
      <c r="J264">
        <v>0</v>
      </c>
      <c r="K264">
        <v>0</v>
      </c>
      <c r="L264" t="s">
        <v>143</v>
      </c>
      <c r="M264">
        <v>20</v>
      </c>
      <c r="N264">
        <v>1</v>
      </c>
      <c r="O264">
        <v>0.9</v>
      </c>
      <c r="P264" t="s">
        <v>114</v>
      </c>
      <c r="Q264">
        <v>0.9</v>
      </c>
      <c r="R264" t="s">
        <v>144</v>
      </c>
    </row>
    <row r="265" spans="1:18" x14ac:dyDescent="0.25">
      <c r="A265" t="s">
        <v>529</v>
      </c>
      <c r="B265" s="2">
        <v>45462</v>
      </c>
      <c r="C265" t="s">
        <v>147</v>
      </c>
      <c r="D265" t="s">
        <v>148</v>
      </c>
      <c r="E265" t="s">
        <v>142</v>
      </c>
      <c r="F265">
        <v>10</v>
      </c>
      <c r="G265">
        <v>3.0009999999999999</v>
      </c>
      <c r="H265">
        <v>0</v>
      </c>
      <c r="I265">
        <v>5</v>
      </c>
      <c r="J265">
        <v>0</v>
      </c>
      <c r="K265">
        <v>0</v>
      </c>
      <c r="L265" t="s">
        <v>530</v>
      </c>
      <c r="M265">
        <v>5</v>
      </c>
      <c r="N265">
        <v>0</v>
      </c>
      <c r="O265">
        <v>0.9</v>
      </c>
      <c r="P265" t="s">
        <v>114</v>
      </c>
      <c r="Q265">
        <v>0</v>
      </c>
      <c r="R265" t="s">
        <v>144</v>
      </c>
    </row>
    <row r="266" spans="1:18" x14ac:dyDescent="0.25">
      <c r="A266" t="s">
        <v>531</v>
      </c>
      <c r="B266" s="2">
        <v>45462</v>
      </c>
      <c r="C266" t="s">
        <v>147</v>
      </c>
      <c r="D266" t="s">
        <v>148</v>
      </c>
      <c r="E266" t="s">
        <v>142</v>
      </c>
      <c r="F266">
        <v>2</v>
      </c>
      <c r="G266">
        <v>0</v>
      </c>
      <c r="H266">
        <v>0</v>
      </c>
      <c r="I266">
        <v>20</v>
      </c>
      <c r="J266">
        <v>0</v>
      </c>
      <c r="K266">
        <v>0</v>
      </c>
      <c r="L266" t="s">
        <v>143</v>
      </c>
      <c r="M266">
        <v>20</v>
      </c>
      <c r="N266">
        <v>1</v>
      </c>
      <c r="O266">
        <v>0.9</v>
      </c>
      <c r="P266" t="s">
        <v>114</v>
      </c>
      <c r="Q266">
        <v>0.9</v>
      </c>
      <c r="R266" t="s">
        <v>144</v>
      </c>
    </row>
    <row r="267" spans="1:18" x14ac:dyDescent="0.25">
      <c r="A267" t="s">
        <v>532</v>
      </c>
      <c r="B267" s="2">
        <v>45462</v>
      </c>
      <c r="C267" t="s">
        <v>147</v>
      </c>
      <c r="D267" t="s">
        <v>148</v>
      </c>
      <c r="E267" t="s">
        <v>142</v>
      </c>
      <c r="F267">
        <v>10</v>
      </c>
      <c r="G267">
        <v>1.165</v>
      </c>
      <c r="H267">
        <v>0</v>
      </c>
      <c r="I267">
        <v>5</v>
      </c>
      <c r="J267">
        <v>0</v>
      </c>
      <c r="K267">
        <v>0</v>
      </c>
      <c r="L267" t="s">
        <v>533</v>
      </c>
      <c r="M267">
        <v>5</v>
      </c>
      <c r="N267">
        <v>0</v>
      </c>
      <c r="O267">
        <v>0.9</v>
      </c>
      <c r="P267" t="s">
        <v>114</v>
      </c>
      <c r="Q267">
        <v>0</v>
      </c>
      <c r="R267" t="s">
        <v>144</v>
      </c>
    </row>
    <row r="268" spans="1:18" x14ac:dyDescent="0.25">
      <c r="A268" t="s">
        <v>534</v>
      </c>
      <c r="B268" s="2">
        <v>45462</v>
      </c>
      <c r="C268" t="s">
        <v>147</v>
      </c>
      <c r="D268" t="s">
        <v>148</v>
      </c>
      <c r="E268" t="s">
        <v>142</v>
      </c>
      <c r="F268">
        <v>4.0979999999999999</v>
      </c>
      <c r="G268">
        <v>0</v>
      </c>
      <c r="H268">
        <v>0</v>
      </c>
      <c r="I268">
        <v>20</v>
      </c>
      <c r="J268">
        <v>0</v>
      </c>
      <c r="K268">
        <v>0</v>
      </c>
      <c r="L268" t="s">
        <v>143</v>
      </c>
      <c r="M268">
        <v>20</v>
      </c>
      <c r="N268">
        <v>1</v>
      </c>
      <c r="O268">
        <v>0.9</v>
      </c>
      <c r="P268" t="s">
        <v>114</v>
      </c>
      <c r="Q268">
        <v>0.9</v>
      </c>
      <c r="R268" t="s">
        <v>144</v>
      </c>
    </row>
    <row r="269" spans="1:18" x14ac:dyDescent="0.25">
      <c r="A269" t="s">
        <v>535</v>
      </c>
      <c r="B269" s="2">
        <v>45463</v>
      </c>
      <c r="C269" t="s">
        <v>147</v>
      </c>
      <c r="D269" t="s">
        <v>148</v>
      </c>
      <c r="E269" t="s">
        <v>142</v>
      </c>
      <c r="F269">
        <v>5.4690000000000003</v>
      </c>
      <c r="G269">
        <v>0</v>
      </c>
      <c r="H269">
        <v>0</v>
      </c>
      <c r="I269">
        <v>20</v>
      </c>
      <c r="J269">
        <v>0</v>
      </c>
      <c r="K269">
        <v>0</v>
      </c>
      <c r="L269" t="s">
        <v>143</v>
      </c>
      <c r="M269">
        <v>20</v>
      </c>
      <c r="N269">
        <v>1</v>
      </c>
      <c r="O269">
        <v>0.9</v>
      </c>
      <c r="P269" t="s">
        <v>114</v>
      </c>
      <c r="Q269">
        <v>0.9</v>
      </c>
      <c r="R269" t="s">
        <v>144</v>
      </c>
    </row>
    <row r="270" spans="1:18" x14ac:dyDescent="0.25">
      <c r="A270" t="s">
        <v>536</v>
      </c>
      <c r="B270" s="2">
        <v>45463</v>
      </c>
      <c r="C270" t="s">
        <v>147</v>
      </c>
      <c r="D270" t="s">
        <v>148</v>
      </c>
      <c r="E270" t="s">
        <v>142</v>
      </c>
      <c r="F270">
        <v>0.33700000000000002</v>
      </c>
      <c r="G270">
        <v>0</v>
      </c>
      <c r="H270">
        <v>0</v>
      </c>
      <c r="I270">
        <v>20</v>
      </c>
      <c r="J270">
        <v>0</v>
      </c>
      <c r="K270">
        <v>0</v>
      </c>
      <c r="L270" t="s">
        <v>143</v>
      </c>
      <c r="M270">
        <v>20</v>
      </c>
      <c r="N270">
        <v>1</v>
      </c>
      <c r="O270">
        <v>0.9</v>
      </c>
      <c r="P270" t="s">
        <v>114</v>
      </c>
      <c r="Q270">
        <v>0.9</v>
      </c>
      <c r="R270" t="s">
        <v>144</v>
      </c>
    </row>
    <row r="271" spans="1:18" x14ac:dyDescent="0.25">
      <c r="A271" t="s">
        <v>537</v>
      </c>
      <c r="B271" s="2">
        <v>45463</v>
      </c>
      <c r="C271" t="s">
        <v>147</v>
      </c>
      <c r="D271" t="s">
        <v>148</v>
      </c>
      <c r="E271" t="s">
        <v>142</v>
      </c>
      <c r="F271">
        <v>10</v>
      </c>
      <c r="G271">
        <v>10.742000000000001</v>
      </c>
      <c r="H271">
        <v>16.113</v>
      </c>
      <c r="I271">
        <v>20</v>
      </c>
      <c r="J271">
        <v>0</v>
      </c>
      <c r="K271">
        <v>0</v>
      </c>
      <c r="L271" t="s">
        <v>143</v>
      </c>
      <c r="M271">
        <v>36.113</v>
      </c>
      <c r="N271">
        <v>1</v>
      </c>
      <c r="O271">
        <v>0.9</v>
      </c>
      <c r="P271" t="s">
        <v>114</v>
      </c>
      <c r="Q271">
        <v>0.9</v>
      </c>
      <c r="R271" t="s">
        <v>144</v>
      </c>
    </row>
    <row r="272" spans="1:18" x14ac:dyDescent="0.25">
      <c r="A272" t="s">
        <v>538</v>
      </c>
      <c r="B272" s="2">
        <v>45463</v>
      </c>
      <c r="C272" t="s">
        <v>147</v>
      </c>
      <c r="D272" t="s">
        <v>148</v>
      </c>
      <c r="E272" t="s">
        <v>142</v>
      </c>
      <c r="F272">
        <v>5.84</v>
      </c>
      <c r="G272">
        <v>0</v>
      </c>
      <c r="H272">
        <v>0</v>
      </c>
      <c r="I272">
        <v>20</v>
      </c>
      <c r="J272">
        <v>0</v>
      </c>
      <c r="K272">
        <v>0</v>
      </c>
      <c r="L272" t="s">
        <v>143</v>
      </c>
      <c r="M272">
        <v>20</v>
      </c>
      <c r="N272">
        <v>1</v>
      </c>
      <c r="O272">
        <v>0.9</v>
      </c>
      <c r="P272" t="s">
        <v>114</v>
      </c>
      <c r="Q272">
        <v>0.9</v>
      </c>
      <c r="R272" t="s">
        <v>144</v>
      </c>
    </row>
    <row r="273" spans="1:18" x14ac:dyDescent="0.25">
      <c r="A273" t="s">
        <v>539</v>
      </c>
      <c r="B273" s="2">
        <v>45463</v>
      </c>
      <c r="C273" t="s">
        <v>147</v>
      </c>
      <c r="D273" t="s">
        <v>148</v>
      </c>
      <c r="E273" t="s">
        <v>142</v>
      </c>
      <c r="F273">
        <v>3.1720000000000002</v>
      </c>
      <c r="G273">
        <v>0</v>
      </c>
      <c r="H273">
        <v>0</v>
      </c>
      <c r="I273">
        <v>20</v>
      </c>
      <c r="J273">
        <v>0</v>
      </c>
      <c r="K273">
        <v>0</v>
      </c>
      <c r="L273" t="s">
        <v>143</v>
      </c>
      <c r="M273">
        <v>20</v>
      </c>
      <c r="N273">
        <v>1</v>
      </c>
      <c r="O273">
        <v>0.9</v>
      </c>
      <c r="P273" t="s">
        <v>114</v>
      </c>
      <c r="Q273">
        <v>0.9</v>
      </c>
      <c r="R273" t="s">
        <v>144</v>
      </c>
    </row>
    <row r="274" spans="1:18" x14ac:dyDescent="0.25">
      <c r="A274" t="s">
        <v>540</v>
      </c>
      <c r="B274" s="2">
        <v>45463</v>
      </c>
      <c r="C274" t="s">
        <v>147</v>
      </c>
      <c r="D274" t="s">
        <v>148</v>
      </c>
      <c r="E274" t="s">
        <v>142</v>
      </c>
      <c r="F274">
        <v>1.7450000000000001</v>
      </c>
      <c r="G274">
        <v>0</v>
      </c>
      <c r="H274">
        <v>0</v>
      </c>
      <c r="I274">
        <v>20</v>
      </c>
      <c r="J274">
        <v>0</v>
      </c>
      <c r="K274">
        <v>0</v>
      </c>
      <c r="L274" t="s">
        <v>143</v>
      </c>
      <c r="M274">
        <v>20</v>
      </c>
      <c r="N274">
        <v>1</v>
      </c>
      <c r="O274">
        <v>0.9</v>
      </c>
      <c r="P274" t="s">
        <v>114</v>
      </c>
      <c r="Q274">
        <v>0.9</v>
      </c>
      <c r="R274" t="s">
        <v>144</v>
      </c>
    </row>
    <row r="275" spans="1:18" x14ac:dyDescent="0.25">
      <c r="A275" t="s">
        <v>541</v>
      </c>
      <c r="B275" s="2">
        <v>45463</v>
      </c>
      <c r="C275" t="s">
        <v>147</v>
      </c>
      <c r="D275" t="s">
        <v>148</v>
      </c>
      <c r="E275" t="s">
        <v>142</v>
      </c>
      <c r="F275">
        <v>1.7470000000000001</v>
      </c>
      <c r="G275">
        <v>0</v>
      </c>
      <c r="H275">
        <v>0</v>
      </c>
      <c r="I275">
        <v>20</v>
      </c>
      <c r="J275">
        <v>0</v>
      </c>
      <c r="K275">
        <v>0</v>
      </c>
      <c r="L275" t="s">
        <v>143</v>
      </c>
      <c r="M275">
        <v>20</v>
      </c>
      <c r="N275">
        <v>1</v>
      </c>
      <c r="O275">
        <v>0.9</v>
      </c>
      <c r="P275" t="s">
        <v>114</v>
      </c>
      <c r="Q275">
        <v>0.9</v>
      </c>
      <c r="R275" t="s">
        <v>144</v>
      </c>
    </row>
    <row r="276" spans="1:18" x14ac:dyDescent="0.25">
      <c r="A276" t="s">
        <v>542</v>
      </c>
      <c r="B276" s="2">
        <v>45463</v>
      </c>
      <c r="C276" t="s">
        <v>147</v>
      </c>
      <c r="D276" t="s">
        <v>148</v>
      </c>
      <c r="E276" t="s">
        <v>142</v>
      </c>
      <c r="F276">
        <v>4.2990000000000004</v>
      </c>
      <c r="G276">
        <v>0</v>
      </c>
      <c r="H276">
        <v>0</v>
      </c>
      <c r="I276">
        <v>20</v>
      </c>
      <c r="J276">
        <v>0</v>
      </c>
      <c r="K276">
        <v>0</v>
      </c>
      <c r="L276" t="s">
        <v>143</v>
      </c>
      <c r="M276">
        <v>20</v>
      </c>
      <c r="N276">
        <v>1</v>
      </c>
      <c r="O276">
        <v>0.9</v>
      </c>
      <c r="P276" t="s">
        <v>114</v>
      </c>
      <c r="Q276">
        <v>0.9</v>
      </c>
      <c r="R276" t="s">
        <v>144</v>
      </c>
    </row>
    <row r="277" spans="1:18" x14ac:dyDescent="0.25">
      <c r="A277" t="s">
        <v>543</v>
      </c>
      <c r="B277" s="2">
        <v>45463</v>
      </c>
      <c r="C277" t="s">
        <v>147</v>
      </c>
      <c r="D277" t="s">
        <v>148</v>
      </c>
      <c r="E277" t="s">
        <v>142</v>
      </c>
      <c r="F277">
        <v>8.4740000000000002</v>
      </c>
      <c r="G277">
        <v>0</v>
      </c>
      <c r="H277">
        <v>0</v>
      </c>
      <c r="I277">
        <v>20</v>
      </c>
      <c r="J277">
        <v>0</v>
      </c>
      <c r="K277">
        <v>0</v>
      </c>
      <c r="L277" t="s">
        <v>143</v>
      </c>
      <c r="M277">
        <v>20</v>
      </c>
      <c r="N277">
        <v>1</v>
      </c>
      <c r="O277">
        <v>0.9</v>
      </c>
      <c r="P277" t="s">
        <v>114</v>
      </c>
      <c r="Q277">
        <v>0.9</v>
      </c>
      <c r="R277" t="s">
        <v>144</v>
      </c>
    </row>
    <row r="278" spans="1:18" x14ac:dyDescent="0.25">
      <c r="A278" t="s">
        <v>544</v>
      </c>
      <c r="B278" s="2">
        <v>45463</v>
      </c>
      <c r="C278" t="s">
        <v>147</v>
      </c>
      <c r="D278" t="s">
        <v>148</v>
      </c>
      <c r="E278" t="s">
        <v>142</v>
      </c>
      <c r="F278">
        <v>1.6739999999999999</v>
      </c>
      <c r="G278">
        <v>0</v>
      </c>
      <c r="H278">
        <v>0</v>
      </c>
      <c r="I278">
        <v>20</v>
      </c>
      <c r="J278">
        <v>0</v>
      </c>
      <c r="K278">
        <v>0</v>
      </c>
      <c r="L278" t="s">
        <v>143</v>
      </c>
      <c r="M278">
        <v>20</v>
      </c>
      <c r="N278">
        <v>1</v>
      </c>
      <c r="O278">
        <v>0.9</v>
      </c>
      <c r="P278" t="s">
        <v>114</v>
      </c>
      <c r="Q278">
        <v>0.9</v>
      </c>
      <c r="R278" t="s">
        <v>144</v>
      </c>
    </row>
    <row r="279" spans="1:18" x14ac:dyDescent="0.25">
      <c r="A279" t="s">
        <v>545</v>
      </c>
      <c r="B279" s="2">
        <v>45463</v>
      </c>
      <c r="C279" t="s">
        <v>147</v>
      </c>
      <c r="D279" t="s">
        <v>148</v>
      </c>
      <c r="E279" t="s">
        <v>142</v>
      </c>
      <c r="F279">
        <v>6.5019999999999998</v>
      </c>
      <c r="G279">
        <v>0</v>
      </c>
      <c r="H279">
        <v>0</v>
      </c>
      <c r="I279">
        <v>20</v>
      </c>
      <c r="J279">
        <v>0</v>
      </c>
      <c r="K279">
        <v>0</v>
      </c>
      <c r="L279" t="s">
        <v>143</v>
      </c>
      <c r="M279">
        <v>20</v>
      </c>
      <c r="N279">
        <v>1</v>
      </c>
      <c r="O279">
        <v>0.9</v>
      </c>
      <c r="P279" t="s">
        <v>114</v>
      </c>
      <c r="Q279">
        <v>0.9</v>
      </c>
      <c r="R279" t="s">
        <v>144</v>
      </c>
    </row>
    <row r="280" spans="1:18" x14ac:dyDescent="0.25">
      <c r="A280" t="s">
        <v>546</v>
      </c>
      <c r="B280" s="2">
        <v>45463</v>
      </c>
      <c r="C280" t="s">
        <v>147</v>
      </c>
      <c r="D280" t="s">
        <v>148</v>
      </c>
      <c r="E280" t="s">
        <v>142</v>
      </c>
      <c r="F280">
        <v>7.702</v>
      </c>
      <c r="G280">
        <v>0</v>
      </c>
      <c r="H280">
        <v>0</v>
      </c>
      <c r="I280">
        <v>20</v>
      </c>
      <c r="J280">
        <v>0</v>
      </c>
      <c r="K280">
        <v>0</v>
      </c>
      <c r="L280" t="s">
        <v>547</v>
      </c>
      <c r="M280">
        <v>20</v>
      </c>
      <c r="N280">
        <v>1</v>
      </c>
      <c r="O280">
        <v>0.9</v>
      </c>
      <c r="P280" t="s">
        <v>114</v>
      </c>
      <c r="Q280">
        <v>0.9</v>
      </c>
      <c r="R280" t="s">
        <v>144</v>
      </c>
    </row>
    <row r="281" spans="1:18" x14ac:dyDescent="0.25">
      <c r="A281" t="s">
        <v>548</v>
      </c>
      <c r="B281" s="2">
        <v>45463</v>
      </c>
      <c r="C281" t="s">
        <v>147</v>
      </c>
      <c r="D281" t="s">
        <v>148</v>
      </c>
      <c r="E281" t="s">
        <v>142</v>
      </c>
      <c r="F281">
        <v>9.8490000000000002</v>
      </c>
      <c r="G281">
        <v>0</v>
      </c>
      <c r="H281">
        <v>0</v>
      </c>
      <c r="I281">
        <v>20</v>
      </c>
      <c r="J281">
        <v>0</v>
      </c>
      <c r="K281">
        <v>0</v>
      </c>
      <c r="L281" t="s">
        <v>143</v>
      </c>
      <c r="M281">
        <v>20</v>
      </c>
      <c r="N281">
        <v>1</v>
      </c>
      <c r="O281">
        <v>0.9</v>
      </c>
      <c r="P281" t="s">
        <v>114</v>
      </c>
      <c r="Q281">
        <v>0.9</v>
      </c>
      <c r="R281" t="s">
        <v>144</v>
      </c>
    </row>
    <row r="282" spans="1:18" x14ac:dyDescent="0.25">
      <c r="A282" t="s">
        <v>549</v>
      </c>
      <c r="B282" s="2">
        <v>45464</v>
      </c>
      <c r="C282" t="s">
        <v>147</v>
      </c>
      <c r="D282" t="s">
        <v>148</v>
      </c>
      <c r="E282" t="s">
        <v>142</v>
      </c>
      <c r="F282">
        <v>9.4580000000000002</v>
      </c>
      <c r="G282">
        <v>0</v>
      </c>
      <c r="H282">
        <v>0</v>
      </c>
      <c r="I282">
        <v>20</v>
      </c>
      <c r="J282">
        <v>0</v>
      </c>
      <c r="K282">
        <v>0</v>
      </c>
      <c r="L282" t="s">
        <v>143</v>
      </c>
      <c r="M282">
        <v>20</v>
      </c>
      <c r="N282">
        <v>1</v>
      </c>
      <c r="O282">
        <v>0.9</v>
      </c>
      <c r="P282" t="s">
        <v>114</v>
      </c>
      <c r="Q282">
        <v>0.9</v>
      </c>
      <c r="R282" t="s">
        <v>144</v>
      </c>
    </row>
    <row r="283" spans="1:18" x14ac:dyDescent="0.25">
      <c r="A283" t="s">
        <v>550</v>
      </c>
      <c r="B283" s="2">
        <v>45464</v>
      </c>
      <c r="C283" t="s">
        <v>147</v>
      </c>
      <c r="D283" t="s">
        <v>148</v>
      </c>
      <c r="E283" t="s">
        <v>142</v>
      </c>
      <c r="F283">
        <v>4.0179999999999998</v>
      </c>
      <c r="G283">
        <v>0</v>
      </c>
      <c r="H283">
        <v>0</v>
      </c>
      <c r="I283">
        <v>20</v>
      </c>
      <c r="J283">
        <v>0</v>
      </c>
      <c r="K283">
        <v>0</v>
      </c>
      <c r="L283" t="s">
        <v>143</v>
      </c>
      <c r="M283">
        <v>20</v>
      </c>
      <c r="N283">
        <v>1</v>
      </c>
      <c r="O283">
        <v>0.9</v>
      </c>
      <c r="P283" t="s">
        <v>114</v>
      </c>
      <c r="Q283">
        <v>0.9</v>
      </c>
      <c r="R283" t="s">
        <v>144</v>
      </c>
    </row>
    <row r="284" spans="1:18" x14ac:dyDescent="0.25">
      <c r="A284" t="s">
        <v>551</v>
      </c>
      <c r="B284" s="2">
        <v>45464</v>
      </c>
      <c r="C284" t="s">
        <v>147</v>
      </c>
      <c r="D284" t="s">
        <v>148</v>
      </c>
      <c r="E284" t="s">
        <v>142</v>
      </c>
      <c r="F284">
        <v>2.9689999999999999</v>
      </c>
      <c r="G284">
        <v>0</v>
      </c>
      <c r="H284">
        <v>0</v>
      </c>
      <c r="I284">
        <v>20</v>
      </c>
      <c r="J284">
        <v>0</v>
      </c>
      <c r="K284">
        <v>0</v>
      </c>
      <c r="L284" t="s">
        <v>143</v>
      </c>
      <c r="M284">
        <v>20</v>
      </c>
      <c r="N284">
        <v>1</v>
      </c>
      <c r="O284">
        <v>0.9</v>
      </c>
      <c r="P284" t="s">
        <v>114</v>
      </c>
      <c r="Q284">
        <v>0.9</v>
      </c>
      <c r="R284" t="s">
        <v>144</v>
      </c>
    </row>
    <row r="285" spans="1:18" x14ac:dyDescent="0.25">
      <c r="A285" t="s">
        <v>552</v>
      </c>
      <c r="B285" s="2">
        <v>45464</v>
      </c>
      <c r="C285" t="s">
        <v>147</v>
      </c>
      <c r="D285" t="s">
        <v>148</v>
      </c>
      <c r="E285" t="s">
        <v>142</v>
      </c>
      <c r="F285">
        <v>9.7859999999999996</v>
      </c>
      <c r="G285">
        <v>0</v>
      </c>
      <c r="H285">
        <v>0</v>
      </c>
      <c r="I285">
        <v>20</v>
      </c>
      <c r="J285">
        <v>0</v>
      </c>
      <c r="K285">
        <v>0</v>
      </c>
      <c r="L285" t="s">
        <v>143</v>
      </c>
      <c r="M285">
        <v>20</v>
      </c>
      <c r="N285">
        <v>1</v>
      </c>
      <c r="O285">
        <v>0.9</v>
      </c>
      <c r="P285" t="s">
        <v>114</v>
      </c>
      <c r="Q285">
        <v>0.9</v>
      </c>
      <c r="R285" t="s">
        <v>144</v>
      </c>
    </row>
    <row r="286" spans="1:18" x14ac:dyDescent="0.25">
      <c r="A286" t="s">
        <v>553</v>
      </c>
      <c r="B286" s="2">
        <v>45464</v>
      </c>
      <c r="C286" t="s">
        <v>147</v>
      </c>
      <c r="D286" t="s">
        <v>148</v>
      </c>
      <c r="E286" t="s">
        <v>142</v>
      </c>
      <c r="F286">
        <v>8.9469999999999992</v>
      </c>
      <c r="G286">
        <v>0</v>
      </c>
      <c r="H286">
        <v>0</v>
      </c>
      <c r="I286">
        <v>20</v>
      </c>
      <c r="J286">
        <v>0</v>
      </c>
      <c r="K286">
        <v>0</v>
      </c>
      <c r="L286" t="s">
        <v>143</v>
      </c>
      <c r="M286">
        <v>20</v>
      </c>
      <c r="N286">
        <v>1</v>
      </c>
      <c r="O286">
        <v>0.9</v>
      </c>
      <c r="P286" t="s">
        <v>114</v>
      </c>
      <c r="Q286">
        <v>0.9</v>
      </c>
      <c r="R286" t="s">
        <v>144</v>
      </c>
    </row>
    <row r="287" spans="1:18" x14ac:dyDescent="0.25">
      <c r="A287" t="s">
        <v>554</v>
      </c>
      <c r="B287" s="2">
        <v>45464</v>
      </c>
      <c r="C287" t="s">
        <v>147</v>
      </c>
      <c r="D287" t="s">
        <v>148</v>
      </c>
      <c r="E287" t="s">
        <v>142</v>
      </c>
      <c r="F287">
        <v>6.8250000000000002</v>
      </c>
      <c r="G287">
        <v>0</v>
      </c>
      <c r="H287">
        <v>0</v>
      </c>
      <c r="I287">
        <v>20</v>
      </c>
      <c r="J287">
        <v>0</v>
      </c>
      <c r="K287">
        <v>0</v>
      </c>
      <c r="L287" t="s">
        <v>143</v>
      </c>
      <c r="M287">
        <v>20</v>
      </c>
      <c r="N287">
        <v>1</v>
      </c>
      <c r="O287">
        <v>0.9</v>
      </c>
      <c r="P287" t="s">
        <v>114</v>
      </c>
      <c r="Q287">
        <v>0.9</v>
      </c>
      <c r="R287" t="s">
        <v>144</v>
      </c>
    </row>
    <row r="288" spans="1:18" x14ac:dyDescent="0.25">
      <c r="A288" t="s">
        <v>555</v>
      </c>
      <c r="B288" s="2">
        <v>45464</v>
      </c>
      <c r="C288" t="s">
        <v>147</v>
      </c>
      <c r="D288" t="s">
        <v>148</v>
      </c>
      <c r="E288" t="s">
        <v>142</v>
      </c>
      <c r="F288">
        <v>10</v>
      </c>
      <c r="G288">
        <v>2.0960000000000001</v>
      </c>
      <c r="H288">
        <v>3.1440000000000001</v>
      </c>
      <c r="I288">
        <v>20</v>
      </c>
      <c r="J288">
        <v>0</v>
      </c>
      <c r="K288">
        <v>0</v>
      </c>
      <c r="L288" t="s">
        <v>143</v>
      </c>
      <c r="M288">
        <v>23.143999999999998</v>
      </c>
      <c r="N288">
        <v>1</v>
      </c>
      <c r="O288">
        <v>0.9</v>
      </c>
      <c r="P288" t="s">
        <v>114</v>
      </c>
      <c r="Q288">
        <v>0.9</v>
      </c>
      <c r="R288" t="s">
        <v>144</v>
      </c>
    </row>
    <row r="289" spans="1:18" x14ac:dyDescent="0.25">
      <c r="A289" t="s">
        <v>556</v>
      </c>
      <c r="B289" s="2">
        <v>45464</v>
      </c>
      <c r="C289" t="s">
        <v>147</v>
      </c>
      <c r="D289" t="s">
        <v>148</v>
      </c>
      <c r="E289" t="s">
        <v>142</v>
      </c>
      <c r="F289">
        <v>1.607</v>
      </c>
      <c r="G289">
        <v>0</v>
      </c>
      <c r="H289">
        <v>0</v>
      </c>
      <c r="I289">
        <v>20</v>
      </c>
      <c r="J289">
        <v>0</v>
      </c>
      <c r="K289">
        <v>0</v>
      </c>
      <c r="L289" t="s">
        <v>143</v>
      </c>
      <c r="M289">
        <v>20</v>
      </c>
      <c r="N289">
        <v>1</v>
      </c>
      <c r="O289">
        <v>0.9</v>
      </c>
      <c r="P289" t="s">
        <v>114</v>
      </c>
      <c r="Q289">
        <v>0.9</v>
      </c>
      <c r="R289" t="s">
        <v>144</v>
      </c>
    </row>
    <row r="290" spans="1:18" x14ac:dyDescent="0.25">
      <c r="A290" t="s">
        <v>557</v>
      </c>
      <c r="B290" s="2">
        <v>45464</v>
      </c>
      <c r="C290" t="s">
        <v>147</v>
      </c>
      <c r="D290" t="s">
        <v>148</v>
      </c>
      <c r="E290" t="s">
        <v>142</v>
      </c>
      <c r="F290">
        <v>1.607</v>
      </c>
      <c r="G290">
        <v>0</v>
      </c>
      <c r="H290">
        <v>0</v>
      </c>
      <c r="I290">
        <v>20</v>
      </c>
      <c r="J290">
        <v>0</v>
      </c>
      <c r="K290">
        <v>0</v>
      </c>
      <c r="L290" t="s">
        <v>143</v>
      </c>
      <c r="M290">
        <v>20</v>
      </c>
      <c r="N290">
        <v>1</v>
      </c>
      <c r="O290">
        <v>0.9</v>
      </c>
      <c r="P290" t="s">
        <v>114</v>
      </c>
      <c r="Q290">
        <v>0.9</v>
      </c>
      <c r="R290" t="s">
        <v>144</v>
      </c>
    </row>
    <row r="291" spans="1:18" x14ac:dyDescent="0.25">
      <c r="A291" t="s">
        <v>558</v>
      </c>
      <c r="B291" s="2">
        <v>45464</v>
      </c>
      <c r="C291" t="s">
        <v>147</v>
      </c>
      <c r="D291" t="s">
        <v>148</v>
      </c>
      <c r="E291" t="s">
        <v>142</v>
      </c>
      <c r="F291">
        <v>4.6420000000000003</v>
      </c>
      <c r="G291">
        <v>0</v>
      </c>
      <c r="H291">
        <v>0</v>
      </c>
      <c r="I291">
        <v>20</v>
      </c>
      <c r="J291">
        <v>0</v>
      </c>
      <c r="K291">
        <v>0</v>
      </c>
      <c r="L291" t="s">
        <v>143</v>
      </c>
      <c r="M291">
        <v>20</v>
      </c>
      <c r="N291">
        <v>1</v>
      </c>
      <c r="O291">
        <v>0.9</v>
      </c>
      <c r="P291" t="s">
        <v>114</v>
      </c>
      <c r="Q291">
        <v>0.9</v>
      </c>
      <c r="R291" t="s">
        <v>144</v>
      </c>
    </row>
    <row r="292" spans="1:18" x14ac:dyDescent="0.25">
      <c r="A292" t="s">
        <v>559</v>
      </c>
      <c r="B292" s="2">
        <v>45464</v>
      </c>
      <c r="C292" t="s">
        <v>147</v>
      </c>
      <c r="D292" t="s">
        <v>148</v>
      </c>
      <c r="E292" t="s">
        <v>142</v>
      </c>
      <c r="F292">
        <v>3.07</v>
      </c>
      <c r="G292">
        <v>0</v>
      </c>
      <c r="H292">
        <v>0</v>
      </c>
      <c r="I292">
        <v>20</v>
      </c>
      <c r="J292">
        <v>0</v>
      </c>
      <c r="K292">
        <v>0</v>
      </c>
      <c r="L292" t="s">
        <v>143</v>
      </c>
      <c r="M292">
        <v>20</v>
      </c>
      <c r="N292">
        <v>1</v>
      </c>
      <c r="O292">
        <v>0.9</v>
      </c>
      <c r="P292" t="s">
        <v>114</v>
      </c>
      <c r="Q292">
        <v>0.9</v>
      </c>
      <c r="R292" t="s">
        <v>144</v>
      </c>
    </row>
    <row r="293" spans="1:18" x14ac:dyDescent="0.25">
      <c r="A293" t="s">
        <v>560</v>
      </c>
      <c r="B293" s="2">
        <v>45464</v>
      </c>
      <c r="C293" t="s">
        <v>147</v>
      </c>
      <c r="D293" t="s">
        <v>148</v>
      </c>
      <c r="E293" t="s">
        <v>142</v>
      </c>
      <c r="F293">
        <v>9.9329999999999998</v>
      </c>
      <c r="G293">
        <v>0</v>
      </c>
      <c r="H293">
        <v>0</v>
      </c>
      <c r="I293">
        <v>20</v>
      </c>
      <c r="J293">
        <v>0</v>
      </c>
      <c r="K293">
        <v>0</v>
      </c>
      <c r="L293" t="s">
        <v>143</v>
      </c>
      <c r="M293">
        <v>20</v>
      </c>
      <c r="N293">
        <v>1</v>
      </c>
      <c r="O293">
        <v>0.9</v>
      </c>
      <c r="P293" t="s">
        <v>114</v>
      </c>
      <c r="Q293">
        <v>0.9</v>
      </c>
      <c r="R293" t="s">
        <v>144</v>
      </c>
    </row>
    <row r="294" spans="1:18" x14ac:dyDescent="0.25">
      <c r="A294" t="s">
        <v>561</v>
      </c>
      <c r="B294" s="2">
        <v>45464</v>
      </c>
      <c r="C294" t="s">
        <v>147</v>
      </c>
      <c r="D294" t="s">
        <v>148</v>
      </c>
      <c r="E294" t="s">
        <v>142</v>
      </c>
      <c r="F294">
        <v>5.6150000000000002</v>
      </c>
      <c r="G294">
        <v>0</v>
      </c>
      <c r="H294">
        <v>0</v>
      </c>
      <c r="I294">
        <v>20</v>
      </c>
      <c r="J294">
        <v>0</v>
      </c>
      <c r="K294">
        <v>0</v>
      </c>
      <c r="L294" t="s">
        <v>143</v>
      </c>
      <c r="M294">
        <v>20</v>
      </c>
      <c r="N294">
        <v>1</v>
      </c>
      <c r="O294">
        <v>0.9</v>
      </c>
      <c r="P294" t="s">
        <v>114</v>
      </c>
      <c r="Q294">
        <v>0.9</v>
      </c>
      <c r="R294" t="s">
        <v>144</v>
      </c>
    </row>
    <row r="295" spans="1:18" x14ac:dyDescent="0.25">
      <c r="A295" t="s">
        <v>562</v>
      </c>
      <c r="B295" s="2">
        <v>45464</v>
      </c>
      <c r="C295" t="s">
        <v>147</v>
      </c>
      <c r="D295" t="s">
        <v>148</v>
      </c>
      <c r="E295" t="s">
        <v>142</v>
      </c>
      <c r="F295">
        <v>5.4249999999999998</v>
      </c>
      <c r="G295">
        <v>0</v>
      </c>
      <c r="H295">
        <v>0</v>
      </c>
      <c r="I295">
        <v>20</v>
      </c>
      <c r="J295">
        <v>0</v>
      </c>
      <c r="K295">
        <v>0</v>
      </c>
      <c r="L295" t="s">
        <v>143</v>
      </c>
      <c r="M295">
        <v>20</v>
      </c>
      <c r="N295">
        <v>1</v>
      </c>
      <c r="O295">
        <v>0.9</v>
      </c>
      <c r="P295" t="s">
        <v>114</v>
      </c>
      <c r="Q295">
        <v>0.9</v>
      </c>
      <c r="R295" t="s">
        <v>144</v>
      </c>
    </row>
    <row r="296" spans="1:18" x14ac:dyDescent="0.25">
      <c r="A296" t="s">
        <v>563</v>
      </c>
      <c r="B296" s="2">
        <v>45467</v>
      </c>
      <c r="C296" t="s">
        <v>147</v>
      </c>
      <c r="D296" t="s">
        <v>148</v>
      </c>
      <c r="E296" t="s">
        <v>142</v>
      </c>
      <c r="F296">
        <v>6.7060000000000004</v>
      </c>
      <c r="G296">
        <v>0</v>
      </c>
      <c r="H296">
        <v>0</v>
      </c>
      <c r="I296">
        <v>20</v>
      </c>
      <c r="J296">
        <v>0</v>
      </c>
      <c r="K296">
        <v>0</v>
      </c>
      <c r="L296" t="s">
        <v>143</v>
      </c>
      <c r="M296">
        <v>20</v>
      </c>
      <c r="N296">
        <v>1</v>
      </c>
      <c r="O296">
        <v>0.9</v>
      </c>
      <c r="P296" t="s">
        <v>115</v>
      </c>
      <c r="Q296">
        <v>0.9</v>
      </c>
      <c r="R296" t="s">
        <v>144</v>
      </c>
    </row>
    <row r="297" spans="1:18" x14ac:dyDescent="0.25">
      <c r="A297" t="s">
        <v>564</v>
      </c>
      <c r="B297" s="2">
        <v>45467</v>
      </c>
      <c r="C297" t="s">
        <v>147</v>
      </c>
      <c r="D297" t="s">
        <v>148</v>
      </c>
      <c r="E297" t="s">
        <v>142</v>
      </c>
      <c r="F297">
        <v>6.1740000000000004</v>
      </c>
      <c r="G297">
        <v>0</v>
      </c>
      <c r="H297">
        <v>0</v>
      </c>
      <c r="I297">
        <v>20</v>
      </c>
      <c r="J297">
        <v>0</v>
      </c>
      <c r="K297">
        <v>0</v>
      </c>
      <c r="L297" t="s">
        <v>143</v>
      </c>
      <c r="M297">
        <v>20</v>
      </c>
      <c r="N297">
        <v>1</v>
      </c>
      <c r="O297">
        <v>0.9</v>
      </c>
      <c r="P297" t="s">
        <v>115</v>
      </c>
      <c r="Q297">
        <v>0.9</v>
      </c>
      <c r="R297" t="s">
        <v>144</v>
      </c>
    </row>
    <row r="298" spans="1:18" x14ac:dyDescent="0.25">
      <c r="A298" t="s">
        <v>565</v>
      </c>
      <c r="B298" s="2">
        <v>45467</v>
      </c>
      <c r="C298" t="s">
        <v>147</v>
      </c>
      <c r="D298" t="s">
        <v>148</v>
      </c>
      <c r="E298" t="s">
        <v>142</v>
      </c>
      <c r="F298">
        <v>5.3570000000000002</v>
      </c>
      <c r="G298">
        <v>0</v>
      </c>
      <c r="H298">
        <v>0</v>
      </c>
      <c r="I298">
        <v>20</v>
      </c>
      <c r="J298">
        <v>0</v>
      </c>
      <c r="K298">
        <v>0</v>
      </c>
      <c r="L298" t="s">
        <v>143</v>
      </c>
      <c r="M298">
        <v>20</v>
      </c>
      <c r="N298">
        <v>1</v>
      </c>
      <c r="O298">
        <v>0.9</v>
      </c>
      <c r="P298" t="s">
        <v>115</v>
      </c>
      <c r="Q298">
        <v>0.9</v>
      </c>
      <c r="R298" t="s">
        <v>144</v>
      </c>
    </row>
    <row r="299" spans="1:18" x14ac:dyDescent="0.25">
      <c r="A299" t="s">
        <v>566</v>
      </c>
      <c r="B299" s="2">
        <v>45467</v>
      </c>
      <c r="C299" t="s">
        <v>147</v>
      </c>
      <c r="D299" t="s">
        <v>148</v>
      </c>
      <c r="E299" t="s">
        <v>142</v>
      </c>
      <c r="F299">
        <v>0.86099999999999999</v>
      </c>
      <c r="G299">
        <v>0</v>
      </c>
      <c r="H299">
        <v>0</v>
      </c>
      <c r="I299">
        <v>20</v>
      </c>
      <c r="J299">
        <v>0</v>
      </c>
      <c r="K299">
        <v>0</v>
      </c>
      <c r="L299" t="s">
        <v>143</v>
      </c>
      <c r="M299">
        <v>20</v>
      </c>
      <c r="N299">
        <v>1</v>
      </c>
      <c r="O299">
        <v>0.9</v>
      </c>
      <c r="P299" t="s">
        <v>115</v>
      </c>
      <c r="Q299">
        <v>0.9</v>
      </c>
      <c r="R299" t="s">
        <v>144</v>
      </c>
    </row>
    <row r="300" spans="1:18" x14ac:dyDescent="0.25">
      <c r="A300" t="s">
        <v>567</v>
      </c>
      <c r="B300" s="2">
        <v>45467</v>
      </c>
      <c r="C300" t="s">
        <v>147</v>
      </c>
      <c r="D300" t="s">
        <v>148</v>
      </c>
      <c r="E300" t="s">
        <v>142</v>
      </c>
      <c r="F300">
        <v>6.0609999999999999</v>
      </c>
      <c r="G300">
        <v>0</v>
      </c>
      <c r="H300">
        <v>0</v>
      </c>
      <c r="I300">
        <v>20</v>
      </c>
      <c r="J300">
        <v>0</v>
      </c>
      <c r="K300">
        <v>0</v>
      </c>
      <c r="L300" t="s">
        <v>143</v>
      </c>
      <c r="M300">
        <v>20</v>
      </c>
      <c r="N300">
        <v>1</v>
      </c>
      <c r="O300">
        <v>0.9</v>
      </c>
      <c r="P300" t="s">
        <v>115</v>
      </c>
      <c r="Q300">
        <v>0.9</v>
      </c>
      <c r="R300" t="s">
        <v>144</v>
      </c>
    </row>
    <row r="301" spans="1:18" x14ac:dyDescent="0.25">
      <c r="A301" t="s">
        <v>568</v>
      </c>
      <c r="B301" s="2">
        <v>45467</v>
      </c>
      <c r="C301" t="s">
        <v>147</v>
      </c>
      <c r="D301" t="s">
        <v>148</v>
      </c>
      <c r="E301" t="s">
        <v>142</v>
      </c>
      <c r="F301">
        <v>10</v>
      </c>
      <c r="G301">
        <v>0.52</v>
      </c>
      <c r="H301">
        <v>0.78</v>
      </c>
      <c r="I301">
        <v>20</v>
      </c>
      <c r="J301">
        <v>0</v>
      </c>
      <c r="K301">
        <v>0</v>
      </c>
      <c r="L301" t="s">
        <v>143</v>
      </c>
      <c r="M301">
        <v>20.78</v>
      </c>
      <c r="N301">
        <v>1</v>
      </c>
      <c r="O301">
        <v>0.9</v>
      </c>
      <c r="P301" t="s">
        <v>115</v>
      </c>
      <c r="Q301">
        <v>0.9</v>
      </c>
      <c r="R301" t="s">
        <v>144</v>
      </c>
    </row>
    <row r="302" spans="1:18" x14ac:dyDescent="0.25">
      <c r="A302" t="s">
        <v>569</v>
      </c>
      <c r="B302" s="2">
        <v>45467</v>
      </c>
      <c r="C302" t="s">
        <v>147</v>
      </c>
      <c r="D302" t="s">
        <v>148</v>
      </c>
      <c r="E302" t="s">
        <v>142</v>
      </c>
      <c r="F302">
        <v>5.7370000000000001</v>
      </c>
      <c r="G302">
        <v>0</v>
      </c>
      <c r="H302">
        <v>0</v>
      </c>
      <c r="I302">
        <v>20</v>
      </c>
      <c r="J302">
        <v>0</v>
      </c>
      <c r="K302">
        <v>0</v>
      </c>
      <c r="L302" t="s">
        <v>143</v>
      </c>
      <c r="M302">
        <v>20</v>
      </c>
      <c r="N302">
        <v>1</v>
      </c>
      <c r="O302">
        <v>0.9</v>
      </c>
      <c r="P302" t="s">
        <v>115</v>
      </c>
      <c r="Q302">
        <v>0.9</v>
      </c>
      <c r="R302" t="s">
        <v>144</v>
      </c>
    </row>
    <row r="303" spans="1:18" x14ac:dyDescent="0.25">
      <c r="A303" t="s">
        <v>570</v>
      </c>
      <c r="B303" s="2">
        <v>45467</v>
      </c>
      <c r="C303" t="s">
        <v>147</v>
      </c>
      <c r="D303" t="s">
        <v>148</v>
      </c>
      <c r="E303" t="s">
        <v>142</v>
      </c>
      <c r="F303">
        <v>10</v>
      </c>
      <c r="G303">
        <v>1.054</v>
      </c>
      <c r="H303">
        <v>1.581</v>
      </c>
      <c r="I303">
        <v>20</v>
      </c>
      <c r="J303">
        <v>0</v>
      </c>
      <c r="K303">
        <v>0</v>
      </c>
      <c r="L303" t="s">
        <v>143</v>
      </c>
      <c r="M303">
        <v>21.581</v>
      </c>
      <c r="N303">
        <v>1</v>
      </c>
      <c r="O303">
        <v>0.9</v>
      </c>
      <c r="P303" t="s">
        <v>115</v>
      </c>
      <c r="Q303">
        <v>0.9</v>
      </c>
      <c r="R303" t="s">
        <v>144</v>
      </c>
    </row>
    <row r="304" spans="1:18" x14ac:dyDescent="0.25">
      <c r="A304" t="s">
        <v>571</v>
      </c>
      <c r="B304" s="2">
        <v>45467</v>
      </c>
      <c r="C304" t="s">
        <v>147</v>
      </c>
      <c r="D304" t="s">
        <v>148</v>
      </c>
      <c r="E304" t="s">
        <v>142</v>
      </c>
      <c r="F304">
        <v>3.6520000000000001</v>
      </c>
      <c r="G304">
        <v>0</v>
      </c>
      <c r="H304">
        <v>0</v>
      </c>
      <c r="I304">
        <v>5</v>
      </c>
      <c r="J304">
        <v>0</v>
      </c>
      <c r="K304">
        <v>0</v>
      </c>
      <c r="L304" t="s">
        <v>572</v>
      </c>
      <c r="M304">
        <v>5</v>
      </c>
      <c r="N304">
        <v>0</v>
      </c>
      <c r="O304">
        <v>0.9</v>
      </c>
      <c r="P304" t="s">
        <v>115</v>
      </c>
      <c r="Q304">
        <v>0</v>
      </c>
      <c r="R304" t="s">
        <v>144</v>
      </c>
    </row>
    <row r="305" spans="1:18" x14ac:dyDescent="0.25">
      <c r="A305" t="s">
        <v>573</v>
      </c>
      <c r="B305" s="2">
        <v>45467</v>
      </c>
      <c r="C305" t="s">
        <v>147</v>
      </c>
      <c r="D305" t="s">
        <v>148</v>
      </c>
      <c r="E305" t="s">
        <v>142</v>
      </c>
      <c r="F305">
        <v>1.4930000000000001</v>
      </c>
      <c r="G305">
        <v>0</v>
      </c>
      <c r="H305">
        <v>0</v>
      </c>
      <c r="I305">
        <v>20</v>
      </c>
      <c r="J305">
        <v>0</v>
      </c>
      <c r="K305">
        <v>0</v>
      </c>
      <c r="L305" t="s">
        <v>143</v>
      </c>
      <c r="M305">
        <v>20</v>
      </c>
      <c r="N305">
        <v>1</v>
      </c>
      <c r="O305">
        <v>0.9</v>
      </c>
      <c r="P305" t="s">
        <v>115</v>
      </c>
      <c r="Q305">
        <v>0.9</v>
      </c>
      <c r="R305" t="s">
        <v>144</v>
      </c>
    </row>
    <row r="306" spans="1:18" x14ac:dyDescent="0.25">
      <c r="A306" t="s">
        <v>574</v>
      </c>
      <c r="B306" s="2">
        <v>45467</v>
      </c>
      <c r="C306" t="s">
        <v>147</v>
      </c>
      <c r="D306" t="s">
        <v>148</v>
      </c>
      <c r="E306" t="s">
        <v>142</v>
      </c>
      <c r="F306">
        <v>10</v>
      </c>
      <c r="G306">
        <v>6.5490000000000004</v>
      </c>
      <c r="H306">
        <v>9.8234999999999992</v>
      </c>
      <c r="I306">
        <v>20</v>
      </c>
      <c r="J306">
        <v>0</v>
      </c>
      <c r="K306">
        <v>0</v>
      </c>
      <c r="L306" t="s">
        <v>143</v>
      </c>
      <c r="M306">
        <v>29.823499999999999</v>
      </c>
      <c r="N306">
        <v>1</v>
      </c>
      <c r="O306">
        <v>0.9</v>
      </c>
      <c r="P306" t="s">
        <v>115</v>
      </c>
      <c r="Q306">
        <v>0.9</v>
      </c>
      <c r="R306" t="s">
        <v>144</v>
      </c>
    </row>
    <row r="307" spans="1:18" x14ac:dyDescent="0.25">
      <c r="A307" t="s">
        <v>575</v>
      </c>
      <c r="B307" s="2">
        <v>45467</v>
      </c>
      <c r="C307" t="s">
        <v>147</v>
      </c>
      <c r="D307" t="s">
        <v>148</v>
      </c>
      <c r="E307" t="s">
        <v>142</v>
      </c>
      <c r="F307">
        <v>10</v>
      </c>
      <c r="G307">
        <v>0.61299999999999999</v>
      </c>
      <c r="H307">
        <v>0.91949999999999998</v>
      </c>
      <c r="I307">
        <v>20</v>
      </c>
      <c r="J307">
        <v>0</v>
      </c>
      <c r="K307">
        <v>0</v>
      </c>
      <c r="L307" t="s">
        <v>576</v>
      </c>
      <c r="M307">
        <v>20.919499999999999</v>
      </c>
      <c r="N307">
        <v>1</v>
      </c>
      <c r="O307">
        <v>0.9</v>
      </c>
      <c r="P307" t="s">
        <v>115</v>
      </c>
      <c r="Q307">
        <v>0.9</v>
      </c>
      <c r="R307" t="s">
        <v>144</v>
      </c>
    </row>
    <row r="308" spans="1:18" x14ac:dyDescent="0.25">
      <c r="A308" t="s">
        <v>577</v>
      </c>
      <c r="B308" s="2">
        <v>45468</v>
      </c>
      <c r="C308" t="s">
        <v>147</v>
      </c>
      <c r="D308" t="s">
        <v>148</v>
      </c>
      <c r="E308" t="s">
        <v>142</v>
      </c>
      <c r="F308">
        <v>1.1859999999999999</v>
      </c>
      <c r="G308">
        <v>0</v>
      </c>
      <c r="H308">
        <v>0</v>
      </c>
      <c r="I308">
        <v>20</v>
      </c>
      <c r="J308">
        <v>0</v>
      </c>
      <c r="K308">
        <v>0</v>
      </c>
      <c r="L308" t="s">
        <v>143</v>
      </c>
      <c r="M308">
        <v>20</v>
      </c>
      <c r="N308">
        <v>1</v>
      </c>
      <c r="O308">
        <v>0.9</v>
      </c>
      <c r="P308" t="s">
        <v>115</v>
      </c>
      <c r="Q308">
        <v>0.9</v>
      </c>
      <c r="R308" t="s">
        <v>144</v>
      </c>
    </row>
    <row r="309" spans="1:18" x14ac:dyDescent="0.25">
      <c r="A309" t="s">
        <v>578</v>
      </c>
      <c r="B309" s="2">
        <v>45468</v>
      </c>
      <c r="C309" t="s">
        <v>147</v>
      </c>
      <c r="D309" t="s">
        <v>148</v>
      </c>
      <c r="E309" t="s">
        <v>142</v>
      </c>
      <c r="F309">
        <v>5.7750000000000004</v>
      </c>
      <c r="G309">
        <v>0</v>
      </c>
      <c r="H309">
        <v>0</v>
      </c>
      <c r="I309">
        <v>20</v>
      </c>
      <c r="J309">
        <v>0</v>
      </c>
      <c r="K309">
        <v>0</v>
      </c>
      <c r="L309" t="s">
        <v>143</v>
      </c>
      <c r="M309">
        <v>20</v>
      </c>
      <c r="N309">
        <v>1</v>
      </c>
      <c r="O309">
        <v>0.9</v>
      </c>
      <c r="P309" t="s">
        <v>115</v>
      </c>
      <c r="Q309">
        <v>0.9</v>
      </c>
      <c r="R309" t="s">
        <v>144</v>
      </c>
    </row>
    <row r="310" spans="1:18" x14ac:dyDescent="0.25">
      <c r="A310" t="s">
        <v>579</v>
      </c>
      <c r="B310" s="2">
        <v>45468</v>
      </c>
      <c r="C310" t="s">
        <v>147</v>
      </c>
      <c r="D310" t="s">
        <v>148</v>
      </c>
      <c r="E310" t="s">
        <v>142</v>
      </c>
      <c r="F310">
        <v>7.6879999999999997</v>
      </c>
      <c r="G310">
        <v>0</v>
      </c>
      <c r="H310">
        <v>0</v>
      </c>
      <c r="I310">
        <v>20</v>
      </c>
      <c r="J310">
        <v>0</v>
      </c>
      <c r="K310">
        <v>0</v>
      </c>
      <c r="L310" t="s">
        <v>143</v>
      </c>
      <c r="M310">
        <v>20</v>
      </c>
      <c r="N310">
        <v>1</v>
      </c>
      <c r="O310">
        <v>0.9</v>
      </c>
      <c r="P310" t="s">
        <v>115</v>
      </c>
      <c r="Q310">
        <v>0.9</v>
      </c>
      <c r="R310" t="s">
        <v>144</v>
      </c>
    </row>
    <row r="311" spans="1:18" x14ac:dyDescent="0.25">
      <c r="A311" t="s">
        <v>580</v>
      </c>
      <c r="B311" s="2">
        <v>45468</v>
      </c>
      <c r="C311" t="s">
        <v>147</v>
      </c>
      <c r="D311" t="s">
        <v>148</v>
      </c>
      <c r="E311" t="s">
        <v>142</v>
      </c>
      <c r="F311">
        <v>1.722</v>
      </c>
      <c r="G311">
        <v>0</v>
      </c>
      <c r="H311">
        <v>0</v>
      </c>
      <c r="I311">
        <v>20</v>
      </c>
      <c r="J311">
        <v>0</v>
      </c>
      <c r="K311">
        <v>0</v>
      </c>
      <c r="L311" t="s">
        <v>143</v>
      </c>
      <c r="M311">
        <v>20</v>
      </c>
      <c r="N311">
        <v>1</v>
      </c>
      <c r="O311">
        <v>0.9</v>
      </c>
      <c r="P311" t="s">
        <v>115</v>
      </c>
      <c r="Q311">
        <v>0.9</v>
      </c>
      <c r="R311" t="s">
        <v>144</v>
      </c>
    </row>
    <row r="312" spans="1:18" x14ac:dyDescent="0.25">
      <c r="A312" t="s">
        <v>581</v>
      </c>
      <c r="B312" s="2">
        <v>45468</v>
      </c>
      <c r="C312" t="s">
        <v>147</v>
      </c>
      <c r="D312" t="s">
        <v>148</v>
      </c>
      <c r="E312" t="s">
        <v>142</v>
      </c>
      <c r="F312">
        <v>2.4279999999999999</v>
      </c>
      <c r="G312">
        <v>0</v>
      </c>
      <c r="H312">
        <v>0</v>
      </c>
      <c r="I312">
        <v>20</v>
      </c>
      <c r="J312">
        <v>0</v>
      </c>
      <c r="K312">
        <v>0</v>
      </c>
      <c r="L312" t="s">
        <v>143</v>
      </c>
      <c r="M312">
        <v>20</v>
      </c>
      <c r="N312">
        <v>1</v>
      </c>
      <c r="O312">
        <v>0.9</v>
      </c>
      <c r="P312" t="s">
        <v>115</v>
      </c>
      <c r="Q312">
        <v>0.9</v>
      </c>
      <c r="R312" t="s">
        <v>144</v>
      </c>
    </row>
    <row r="313" spans="1:18" x14ac:dyDescent="0.25">
      <c r="A313" t="s">
        <v>582</v>
      </c>
      <c r="B313" s="2">
        <v>45468</v>
      </c>
      <c r="C313" t="s">
        <v>147</v>
      </c>
      <c r="D313" t="s">
        <v>148</v>
      </c>
      <c r="E313" t="s">
        <v>142</v>
      </c>
      <c r="F313">
        <v>1.6040000000000001</v>
      </c>
      <c r="G313">
        <v>0</v>
      </c>
      <c r="H313">
        <v>0</v>
      </c>
      <c r="I313">
        <v>20</v>
      </c>
      <c r="J313">
        <v>0</v>
      </c>
      <c r="K313">
        <v>0</v>
      </c>
      <c r="L313" t="s">
        <v>583</v>
      </c>
      <c r="M313">
        <v>20</v>
      </c>
      <c r="N313">
        <v>1</v>
      </c>
      <c r="O313">
        <v>0.9</v>
      </c>
      <c r="P313" t="s">
        <v>115</v>
      </c>
      <c r="Q313">
        <v>0.9</v>
      </c>
      <c r="R313" t="s">
        <v>144</v>
      </c>
    </row>
    <row r="314" spans="1:18" x14ac:dyDescent="0.25">
      <c r="A314" t="s">
        <v>584</v>
      </c>
      <c r="B314" s="2">
        <v>45468</v>
      </c>
      <c r="C314" t="s">
        <v>147</v>
      </c>
      <c r="D314" t="s">
        <v>148</v>
      </c>
      <c r="E314" t="s">
        <v>142</v>
      </c>
      <c r="F314">
        <v>0.871</v>
      </c>
      <c r="G314">
        <v>0</v>
      </c>
      <c r="H314">
        <v>0</v>
      </c>
      <c r="I314">
        <v>20</v>
      </c>
      <c r="J314">
        <v>0</v>
      </c>
      <c r="K314">
        <v>0</v>
      </c>
      <c r="L314" t="s">
        <v>143</v>
      </c>
      <c r="M314">
        <v>20</v>
      </c>
      <c r="N314">
        <v>1</v>
      </c>
      <c r="O314">
        <v>0.9</v>
      </c>
      <c r="P314" t="s">
        <v>115</v>
      </c>
      <c r="Q314">
        <v>0.9</v>
      </c>
      <c r="R314" t="s">
        <v>144</v>
      </c>
    </row>
    <row r="315" spans="1:18" x14ac:dyDescent="0.25">
      <c r="A315" t="s">
        <v>585</v>
      </c>
      <c r="B315" s="2">
        <v>45468</v>
      </c>
      <c r="C315" t="s">
        <v>147</v>
      </c>
      <c r="D315" t="s">
        <v>148</v>
      </c>
      <c r="E315" t="s">
        <v>142</v>
      </c>
      <c r="F315">
        <v>0.871</v>
      </c>
      <c r="G315">
        <v>0</v>
      </c>
      <c r="H315">
        <v>0</v>
      </c>
      <c r="I315">
        <v>20</v>
      </c>
      <c r="J315">
        <v>0</v>
      </c>
      <c r="K315">
        <v>0</v>
      </c>
      <c r="L315" t="s">
        <v>143</v>
      </c>
      <c r="M315">
        <v>20</v>
      </c>
      <c r="N315">
        <v>1</v>
      </c>
      <c r="O315">
        <v>0.9</v>
      </c>
      <c r="P315" t="s">
        <v>115</v>
      </c>
      <c r="Q315">
        <v>0.9</v>
      </c>
      <c r="R315" t="s">
        <v>144</v>
      </c>
    </row>
    <row r="316" spans="1:18" x14ac:dyDescent="0.25">
      <c r="A316" t="s">
        <v>586</v>
      </c>
      <c r="B316" s="2">
        <v>45468</v>
      </c>
      <c r="C316" t="s">
        <v>147</v>
      </c>
      <c r="D316" t="s">
        <v>148</v>
      </c>
      <c r="E316" t="s">
        <v>142</v>
      </c>
      <c r="F316">
        <v>3.109</v>
      </c>
      <c r="G316">
        <v>0</v>
      </c>
      <c r="H316">
        <v>0</v>
      </c>
      <c r="I316">
        <v>5</v>
      </c>
      <c r="J316">
        <v>0</v>
      </c>
      <c r="K316">
        <v>0</v>
      </c>
      <c r="L316" t="s">
        <v>491</v>
      </c>
      <c r="M316">
        <v>5</v>
      </c>
      <c r="N316">
        <v>0</v>
      </c>
      <c r="O316">
        <v>0.9</v>
      </c>
      <c r="P316" t="s">
        <v>115</v>
      </c>
      <c r="Q316">
        <v>0</v>
      </c>
      <c r="R316" t="s">
        <v>144</v>
      </c>
    </row>
    <row r="317" spans="1:18" x14ac:dyDescent="0.25">
      <c r="A317" t="s">
        <v>587</v>
      </c>
      <c r="B317" s="2">
        <v>45468</v>
      </c>
      <c r="C317" t="s">
        <v>147</v>
      </c>
      <c r="D317" t="s">
        <v>148</v>
      </c>
      <c r="E317" t="s">
        <v>142</v>
      </c>
      <c r="F317">
        <v>2.7160000000000002</v>
      </c>
      <c r="G317">
        <v>0</v>
      </c>
      <c r="H317">
        <v>0</v>
      </c>
      <c r="I317">
        <v>20</v>
      </c>
      <c r="J317">
        <v>0</v>
      </c>
      <c r="K317">
        <v>0</v>
      </c>
      <c r="L317" t="s">
        <v>143</v>
      </c>
      <c r="M317">
        <v>20</v>
      </c>
      <c r="N317">
        <v>1</v>
      </c>
      <c r="O317">
        <v>0.9</v>
      </c>
      <c r="P317" t="s">
        <v>115</v>
      </c>
      <c r="Q317">
        <v>0.9</v>
      </c>
      <c r="R317" t="s">
        <v>144</v>
      </c>
    </row>
    <row r="318" spans="1:18" x14ac:dyDescent="0.25">
      <c r="A318" t="s">
        <v>588</v>
      </c>
      <c r="B318" s="2">
        <v>45468</v>
      </c>
      <c r="C318" t="s">
        <v>147</v>
      </c>
      <c r="D318" t="s">
        <v>148</v>
      </c>
      <c r="E318" t="s">
        <v>142</v>
      </c>
      <c r="F318">
        <v>3.0710000000000002</v>
      </c>
      <c r="G318">
        <v>0</v>
      </c>
      <c r="H318">
        <v>0</v>
      </c>
      <c r="I318">
        <v>20</v>
      </c>
      <c r="J318">
        <v>0</v>
      </c>
      <c r="K318">
        <v>0</v>
      </c>
      <c r="L318" t="s">
        <v>143</v>
      </c>
      <c r="M318">
        <v>20</v>
      </c>
      <c r="N318">
        <v>1</v>
      </c>
      <c r="O318">
        <v>0.9</v>
      </c>
      <c r="P318" t="s">
        <v>115</v>
      </c>
      <c r="Q318">
        <v>0.9</v>
      </c>
      <c r="R318" t="s">
        <v>144</v>
      </c>
    </row>
    <row r="319" spans="1:18" x14ac:dyDescent="0.25">
      <c r="A319" t="s">
        <v>589</v>
      </c>
      <c r="B319" s="2">
        <v>45468</v>
      </c>
      <c r="C319" t="s">
        <v>147</v>
      </c>
      <c r="D319" t="s">
        <v>148</v>
      </c>
      <c r="E319" t="s">
        <v>142</v>
      </c>
      <c r="F319">
        <v>1.2949999999999999</v>
      </c>
      <c r="G319">
        <v>0</v>
      </c>
      <c r="H319">
        <v>0</v>
      </c>
      <c r="I319">
        <v>20</v>
      </c>
      <c r="J319">
        <v>0</v>
      </c>
      <c r="K319">
        <v>0</v>
      </c>
      <c r="L319" t="s">
        <v>143</v>
      </c>
      <c r="M319">
        <v>20</v>
      </c>
      <c r="N319">
        <v>1</v>
      </c>
      <c r="O319">
        <v>0.9</v>
      </c>
      <c r="P319" t="s">
        <v>115</v>
      </c>
      <c r="Q319">
        <v>0.9</v>
      </c>
      <c r="R319" t="s">
        <v>144</v>
      </c>
    </row>
    <row r="320" spans="1:18" x14ac:dyDescent="0.25">
      <c r="A320" t="s">
        <v>590</v>
      </c>
      <c r="B320" s="2">
        <v>45468</v>
      </c>
      <c r="C320" t="s">
        <v>147</v>
      </c>
      <c r="D320" t="s">
        <v>148</v>
      </c>
      <c r="E320" t="s">
        <v>142</v>
      </c>
      <c r="F320">
        <v>10</v>
      </c>
      <c r="G320">
        <v>0.875</v>
      </c>
      <c r="H320">
        <v>1.3125</v>
      </c>
      <c r="I320">
        <v>20</v>
      </c>
      <c r="J320">
        <v>0</v>
      </c>
      <c r="K320">
        <v>0</v>
      </c>
      <c r="L320" t="s">
        <v>143</v>
      </c>
      <c r="M320">
        <v>21.3125</v>
      </c>
      <c r="N320">
        <v>1</v>
      </c>
      <c r="O320">
        <v>0.9</v>
      </c>
      <c r="P320" t="s">
        <v>115</v>
      </c>
      <c r="Q320">
        <v>0.9</v>
      </c>
      <c r="R320" t="s">
        <v>144</v>
      </c>
    </row>
    <row r="321" spans="1:18" x14ac:dyDescent="0.25">
      <c r="A321" t="s">
        <v>591</v>
      </c>
      <c r="B321" s="2">
        <v>45468</v>
      </c>
      <c r="C321" t="s">
        <v>147</v>
      </c>
      <c r="D321" t="s">
        <v>148</v>
      </c>
      <c r="E321" t="s">
        <v>142</v>
      </c>
      <c r="F321">
        <v>10</v>
      </c>
      <c r="G321">
        <v>0.53900000000000003</v>
      </c>
      <c r="H321">
        <v>0.8085</v>
      </c>
      <c r="I321">
        <v>20</v>
      </c>
      <c r="J321">
        <v>0</v>
      </c>
      <c r="K321">
        <v>0</v>
      </c>
      <c r="L321" t="s">
        <v>143</v>
      </c>
      <c r="M321">
        <v>20.808499999999999</v>
      </c>
      <c r="N321">
        <v>1</v>
      </c>
      <c r="O321">
        <v>0.9</v>
      </c>
      <c r="P321" t="s">
        <v>115</v>
      </c>
      <c r="Q321">
        <v>0.9</v>
      </c>
      <c r="R321" t="s">
        <v>144</v>
      </c>
    </row>
    <row r="322" spans="1:18" x14ac:dyDescent="0.25">
      <c r="A322" t="s">
        <v>592</v>
      </c>
      <c r="B322" s="2">
        <v>45468</v>
      </c>
      <c r="C322" t="s">
        <v>147</v>
      </c>
      <c r="D322" t="s">
        <v>148</v>
      </c>
      <c r="E322" t="s">
        <v>142</v>
      </c>
      <c r="F322">
        <v>4.056</v>
      </c>
      <c r="G322">
        <v>0</v>
      </c>
      <c r="H322">
        <v>0</v>
      </c>
      <c r="I322">
        <v>20</v>
      </c>
      <c r="J322">
        <v>0</v>
      </c>
      <c r="K322">
        <v>0</v>
      </c>
      <c r="L322" t="s">
        <v>143</v>
      </c>
      <c r="M322">
        <v>20</v>
      </c>
      <c r="N322">
        <v>1</v>
      </c>
      <c r="O322">
        <v>0.9</v>
      </c>
      <c r="P322" t="s">
        <v>115</v>
      </c>
      <c r="Q322">
        <v>0.9</v>
      </c>
      <c r="R322" t="s">
        <v>144</v>
      </c>
    </row>
    <row r="323" spans="1:18" x14ac:dyDescent="0.25">
      <c r="A323" t="s">
        <v>593</v>
      </c>
      <c r="B323" s="2">
        <v>45469</v>
      </c>
      <c r="C323" t="s">
        <v>147</v>
      </c>
      <c r="D323" t="s">
        <v>148</v>
      </c>
      <c r="E323" t="s">
        <v>142</v>
      </c>
      <c r="F323">
        <v>2</v>
      </c>
      <c r="G323">
        <v>0</v>
      </c>
      <c r="H323">
        <v>0</v>
      </c>
      <c r="I323">
        <v>20</v>
      </c>
      <c r="J323">
        <v>0</v>
      </c>
      <c r="K323">
        <v>0</v>
      </c>
      <c r="L323" t="s">
        <v>143</v>
      </c>
      <c r="M323">
        <v>20</v>
      </c>
      <c r="N323">
        <v>1</v>
      </c>
      <c r="O323">
        <v>0.9</v>
      </c>
      <c r="P323" t="s">
        <v>115</v>
      </c>
      <c r="Q323">
        <v>0.9</v>
      </c>
      <c r="R323" t="s">
        <v>144</v>
      </c>
    </row>
    <row r="324" spans="1:18" x14ac:dyDescent="0.25">
      <c r="A324" t="s">
        <v>594</v>
      </c>
      <c r="B324" s="2">
        <v>45469</v>
      </c>
      <c r="C324" t="s">
        <v>147</v>
      </c>
      <c r="D324" t="s">
        <v>148</v>
      </c>
      <c r="E324" t="s">
        <v>142</v>
      </c>
      <c r="F324">
        <v>3.1869999999999998</v>
      </c>
      <c r="G324">
        <v>0</v>
      </c>
      <c r="H324">
        <v>0</v>
      </c>
      <c r="I324">
        <v>20</v>
      </c>
      <c r="J324">
        <v>0</v>
      </c>
      <c r="K324">
        <v>0</v>
      </c>
      <c r="L324" t="s">
        <v>143</v>
      </c>
      <c r="M324">
        <v>20</v>
      </c>
      <c r="N324">
        <v>1</v>
      </c>
      <c r="O324">
        <v>0.9</v>
      </c>
      <c r="P324" t="s">
        <v>115</v>
      </c>
      <c r="Q324">
        <v>0.9</v>
      </c>
      <c r="R324" t="s">
        <v>144</v>
      </c>
    </row>
    <row r="325" spans="1:18" x14ac:dyDescent="0.25">
      <c r="A325" t="s">
        <v>595</v>
      </c>
      <c r="B325" s="2">
        <v>45469</v>
      </c>
      <c r="C325" t="s">
        <v>147</v>
      </c>
      <c r="D325" t="s">
        <v>148</v>
      </c>
      <c r="E325" t="s">
        <v>142</v>
      </c>
      <c r="F325">
        <v>1.214</v>
      </c>
      <c r="G325">
        <v>0</v>
      </c>
      <c r="H325">
        <v>0</v>
      </c>
      <c r="I325">
        <v>20</v>
      </c>
      <c r="J325">
        <v>0</v>
      </c>
      <c r="K325">
        <v>0</v>
      </c>
      <c r="L325" t="s">
        <v>143</v>
      </c>
      <c r="M325">
        <v>20</v>
      </c>
      <c r="N325">
        <v>1</v>
      </c>
      <c r="O325">
        <v>0.9</v>
      </c>
      <c r="P325" t="s">
        <v>115</v>
      </c>
      <c r="Q325">
        <v>0.9</v>
      </c>
      <c r="R325" t="s">
        <v>144</v>
      </c>
    </row>
    <row r="326" spans="1:18" x14ac:dyDescent="0.25">
      <c r="A326" t="s">
        <v>596</v>
      </c>
      <c r="B326" s="2">
        <v>45469</v>
      </c>
      <c r="C326" t="s">
        <v>147</v>
      </c>
      <c r="D326" t="s">
        <v>148</v>
      </c>
      <c r="E326" t="s">
        <v>142</v>
      </c>
      <c r="F326">
        <v>1.7569999999999999</v>
      </c>
      <c r="G326">
        <v>0</v>
      </c>
      <c r="H326">
        <v>0</v>
      </c>
      <c r="I326">
        <v>20</v>
      </c>
      <c r="J326">
        <v>0</v>
      </c>
      <c r="K326">
        <v>0</v>
      </c>
      <c r="L326" t="s">
        <v>143</v>
      </c>
      <c r="M326">
        <v>20</v>
      </c>
      <c r="N326">
        <v>1</v>
      </c>
      <c r="O326">
        <v>0.9</v>
      </c>
      <c r="P326" t="s">
        <v>115</v>
      </c>
      <c r="Q326">
        <v>0.9</v>
      </c>
      <c r="R326" t="s">
        <v>144</v>
      </c>
    </row>
    <row r="327" spans="1:18" x14ac:dyDescent="0.25">
      <c r="A327" t="s">
        <v>597</v>
      </c>
      <c r="B327" s="2">
        <v>45469</v>
      </c>
      <c r="C327" t="s">
        <v>147</v>
      </c>
      <c r="D327" t="s">
        <v>148</v>
      </c>
      <c r="E327" t="s">
        <v>142</v>
      </c>
      <c r="F327">
        <v>1.7569999999999999</v>
      </c>
      <c r="G327">
        <v>0</v>
      </c>
      <c r="H327">
        <v>0</v>
      </c>
      <c r="I327">
        <v>20</v>
      </c>
      <c r="J327">
        <v>0</v>
      </c>
      <c r="K327">
        <v>0</v>
      </c>
      <c r="L327" t="s">
        <v>143</v>
      </c>
      <c r="M327">
        <v>20</v>
      </c>
      <c r="N327">
        <v>1</v>
      </c>
      <c r="O327">
        <v>0.9</v>
      </c>
      <c r="P327" t="s">
        <v>115</v>
      </c>
      <c r="Q327">
        <v>0.9</v>
      </c>
      <c r="R327" t="s">
        <v>144</v>
      </c>
    </row>
    <row r="328" spans="1:18" x14ac:dyDescent="0.25">
      <c r="A328" t="s">
        <v>598</v>
      </c>
      <c r="B328" s="2">
        <v>45469</v>
      </c>
      <c r="C328" t="s">
        <v>147</v>
      </c>
      <c r="D328" t="s">
        <v>148</v>
      </c>
      <c r="E328" t="s">
        <v>142</v>
      </c>
      <c r="F328">
        <v>4.9240000000000004</v>
      </c>
      <c r="G328">
        <v>0</v>
      </c>
      <c r="H328">
        <v>0</v>
      </c>
      <c r="I328">
        <v>20</v>
      </c>
      <c r="J328">
        <v>0</v>
      </c>
      <c r="K328">
        <v>0</v>
      </c>
      <c r="L328" t="s">
        <v>143</v>
      </c>
      <c r="M328">
        <v>20</v>
      </c>
      <c r="N328">
        <v>1</v>
      </c>
      <c r="O328">
        <v>0.9</v>
      </c>
      <c r="P328" t="s">
        <v>115</v>
      </c>
      <c r="Q328">
        <v>0.9</v>
      </c>
      <c r="R328" t="s">
        <v>144</v>
      </c>
    </row>
    <row r="329" spans="1:18" x14ac:dyDescent="0.25">
      <c r="A329" t="s">
        <v>599</v>
      </c>
      <c r="B329" s="2">
        <v>45469</v>
      </c>
      <c r="C329" t="s">
        <v>147</v>
      </c>
      <c r="D329" t="s">
        <v>148</v>
      </c>
      <c r="E329" t="s">
        <v>142</v>
      </c>
      <c r="F329">
        <v>5.5540000000000003</v>
      </c>
      <c r="G329">
        <v>0</v>
      </c>
      <c r="H329">
        <v>0</v>
      </c>
      <c r="I329">
        <v>20</v>
      </c>
      <c r="J329">
        <v>0</v>
      </c>
      <c r="K329">
        <v>0</v>
      </c>
      <c r="L329" t="s">
        <v>600</v>
      </c>
      <c r="M329">
        <v>20</v>
      </c>
      <c r="N329">
        <v>1</v>
      </c>
      <c r="O329">
        <v>0.9</v>
      </c>
      <c r="P329" t="s">
        <v>115</v>
      </c>
      <c r="Q329">
        <v>0.9</v>
      </c>
      <c r="R329" t="s">
        <v>144</v>
      </c>
    </row>
    <row r="330" spans="1:18" x14ac:dyDescent="0.25">
      <c r="A330" t="s">
        <v>601</v>
      </c>
      <c r="B330" s="2">
        <v>45469</v>
      </c>
      <c r="C330" t="s">
        <v>147</v>
      </c>
      <c r="D330" t="s">
        <v>148</v>
      </c>
      <c r="E330" t="s">
        <v>142</v>
      </c>
      <c r="F330">
        <v>4.6420000000000003</v>
      </c>
      <c r="G330">
        <v>0</v>
      </c>
      <c r="H330">
        <v>0</v>
      </c>
      <c r="I330">
        <v>20</v>
      </c>
      <c r="J330">
        <v>0</v>
      </c>
      <c r="K330">
        <v>0</v>
      </c>
      <c r="L330" t="s">
        <v>143</v>
      </c>
      <c r="M330">
        <v>20</v>
      </c>
      <c r="N330">
        <v>1</v>
      </c>
      <c r="O330">
        <v>0.9</v>
      </c>
      <c r="P330" t="s">
        <v>115</v>
      </c>
      <c r="Q330">
        <v>0.9</v>
      </c>
      <c r="R330" t="s">
        <v>144</v>
      </c>
    </row>
    <row r="331" spans="1:18" x14ac:dyDescent="0.25">
      <c r="A331" t="s">
        <v>602</v>
      </c>
      <c r="B331" s="2">
        <v>45469</v>
      </c>
      <c r="C331" t="s">
        <v>147</v>
      </c>
      <c r="D331" t="s">
        <v>148</v>
      </c>
      <c r="E331" t="s">
        <v>142</v>
      </c>
      <c r="F331">
        <v>3.5289999999999999</v>
      </c>
      <c r="G331">
        <v>0</v>
      </c>
      <c r="H331">
        <v>0</v>
      </c>
      <c r="I331">
        <v>20</v>
      </c>
      <c r="J331">
        <v>0</v>
      </c>
      <c r="K331">
        <v>0</v>
      </c>
      <c r="L331" t="s">
        <v>143</v>
      </c>
      <c r="M331">
        <v>20</v>
      </c>
      <c r="N331">
        <v>1</v>
      </c>
      <c r="O331">
        <v>0.9</v>
      </c>
      <c r="P331" t="s">
        <v>115</v>
      </c>
      <c r="Q331">
        <v>0.9</v>
      </c>
      <c r="R331" t="s">
        <v>144</v>
      </c>
    </row>
    <row r="332" spans="1:18" x14ac:dyDescent="0.25">
      <c r="A332" t="s">
        <v>603</v>
      </c>
      <c r="B332" s="2">
        <v>45469</v>
      </c>
      <c r="C332" t="s">
        <v>147</v>
      </c>
      <c r="D332" t="s">
        <v>148</v>
      </c>
      <c r="E332" t="s">
        <v>142</v>
      </c>
      <c r="F332">
        <v>2.3660000000000001</v>
      </c>
      <c r="G332">
        <v>0</v>
      </c>
      <c r="H332">
        <v>0</v>
      </c>
      <c r="I332">
        <v>20</v>
      </c>
      <c r="J332">
        <v>0</v>
      </c>
      <c r="K332">
        <v>0</v>
      </c>
      <c r="L332" t="s">
        <v>143</v>
      </c>
      <c r="M332">
        <v>20</v>
      </c>
      <c r="N332">
        <v>1</v>
      </c>
      <c r="O332">
        <v>0.9</v>
      </c>
      <c r="P332" t="s">
        <v>115</v>
      </c>
      <c r="Q332">
        <v>0.9</v>
      </c>
      <c r="R332" t="s">
        <v>144</v>
      </c>
    </row>
    <row r="333" spans="1:18" x14ac:dyDescent="0.25">
      <c r="A333" t="s">
        <v>604</v>
      </c>
      <c r="B333" s="2">
        <v>45469</v>
      </c>
      <c r="C333" t="s">
        <v>147</v>
      </c>
      <c r="D333" t="s">
        <v>148</v>
      </c>
      <c r="E333" t="s">
        <v>142</v>
      </c>
      <c r="F333">
        <v>7.4089999999999998</v>
      </c>
      <c r="G333">
        <v>0</v>
      </c>
      <c r="H333">
        <v>0</v>
      </c>
      <c r="I333">
        <v>20</v>
      </c>
      <c r="J333">
        <v>0</v>
      </c>
      <c r="K333">
        <v>0</v>
      </c>
      <c r="L333" t="s">
        <v>143</v>
      </c>
      <c r="M333">
        <v>20</v>
      </c>
      <c r="N333">
        <v>1</v>
      </c>
      <c r="O333">
        <v>0.9</v>
      </c>
      <c r="P333" t="s">
        <v>115</v>
      </c>
      <c r="Q333">
        <v>0.9</v>
      </c>
      <c r="R333" t="s">
        <v>144</v>
      </c>
    </row>
    <row r="334" spans="1:18" x14ac:dyDescent="0.25">
      <c r="A334" t="s">
        <v>605</v>
      </c>
      <c r="B334" s="2">
        <v>45469</v>
      </c>
      <c r="C334" t="s">
        <v>147</v>
      </c>
      <c r="D334" t="s">
        <v>148</v>
      </c>
      <c r="E334" t="s">
        <v>142</v>
      </c>
      <c r="F334">
        <v>7.2439999999999998</v>
      </c>
      <c r="G334">
        <v>0</v>
      </c>
      <c r="H334">
        <v>0</v>
      </c>
      <c r="I334">
        <v>20</v>
      </c>
      <c r="J334">
        <v>0</v>
      </c>
      <c r="K334">
        <v>0</v>
      </c>
      <c r="L334" t="s">
        <v>143</v>
      </c>
      <c r="M334">
        <v>20</v>
      </c>
      <c r="N334">
        <v>1</v>
      </c>
      <c r="O334">
        <v>0.9</v>
      </c>
      <c r="P334" t="s">
        <v>115</v>
      </c>
      <c r="Q334">
        <v>0.9</v>
      </c>
      <c r="R334" t="s">
        <v>144</v>
      </c>
    </row>
    <row r="335" spans="1:18" x14ac:dyDescent="0.25">
      <c r="A335" t="s">
        <v>606</v>
      </c>
      <c r="B335" s="2">
        <v>45469</v>
      </c>
      <c r="C335" t="s">
        <v>147</v>
      </c>
      <c r="D335" t="s">
        <v>148</v>
      </c>
      <c r="E335" t="s">
        <v>142</v>
      </c>
      <c r="F335">
        <v>4.6950000000000003</v>
      </c>
      <c r="G335">
        <v>0</v>
      </c>
      <c r="H335">
        <v>0</v>
      </c>
      <c r="I335">
        <v>20</v>
      </c>
      <c r="J335">
        <v>0</v>
      </c>
      <c r="K335">
        <v>0</v>
      </c>
      <c r="L335" t="s">
        <v>143</v>
      </c>
      <c r="M335">
        <v>20</v>
      </c>
      <c r="N335">
        <v>1</v>
      </c>
      <c r="O335">
        <v>0.9</v>
      </c>
      <c r="P335" t="s">
        <v>115</v>
      </c>
      <c r="Q335">
        <v>0.9</v>
      </c>
      <c r="R335" t="s">
        <v>144</v>
      </c>
    </row>
    <row r="336" spans="1:18" x14ac:dyDescent="0.25">
      <c r="A336" t="s">
        <v>607</v>
      </c>
      <c r="B336" s="2">
        <v>45469</v>
      </c>
      <c r="C336" t="s">
        <v>147</v>
      </c>
      <c r="D336" t="s">
        <v>148</v>
      </c>
      <c r="E336" t="s">
        <v>142</v>
      </c>
      <c r="F336">
        <v>10</v>
      </c>
      <c r="G336">
        <v>6</v>
      </c>
      <c r="H336">
        <v>9</v>
      </c>
      <c r="I336">
        <v>20</v>
      </c>
      <c r="J336">
        <v>0</v>
      </c>
      <c r="K336">
        <v>0</v>
      </c>
      <c r="L336" t="s">
        <v>143</v>
      </c>
      <c r="M336">
        <v>29</v>
      </c>
      <c r="N336">
        <v>1</v>
      </c>
      <c r="O336">
        <v>0.9</v>
      </c>
      <c r="P336" t="s">
        <v>115</v>
      </c>
      <c r="Q336">
        <v>0.9</v>
      </c>
      <c r="R336" t="s">
        <v>144</v>
      </c>
    </row>
    <row r="337" spans="1:18" x14ac:dyDescent="0.25">
      <c r="A337" t="s">
        <v>608</v>
      </c>
      <c r="B337" s="2">
        <v>45470</v>
      </c>
      <c r="C337" t="s">
        <v>147</v>
      </c>
      <c r="D337" t="s">
        <v>148</v>
      </c>
      <c r="E337" t="s">
        <v>142</v>
      </c>
      <c r="F337">
        <v>0.81200000000000006</v>
      </c>
      <c r="G337">
        <v>0</v>
      </c>
      <c r="H337">
        <v>0</v>
      </c>
      <c r="I337">
        <v>5</v>
      </c>
      <c r="J337">
        <v>0</v>
      </c>
      <c r="K337">
        <v>0</v>
      </c>
      <c r="L337" t="s">
        <v>609</v>
      </c>
      <c r="M337">
        <v>5</v>
      </c>
      <c r="N337">
        <v>0</v>
      </c>
      <c r="O337">
        <v>0.9</v>
      </c>
      <c r="P337" t="s">
        <v>115</v>
      </c>
      <c r="Q337">
        <v>0</v>
      </c>
      <c r="R337" t="s">
        <v>144</v>
      </c>
    </row>
    <row r="338" spans="1:18" x14ac:dyDescent="0.25">
      <c r="A338" t="s">
        <v>610</v>
      </c>
      <c r="B338" s="2">
        <v>45470</v>
      </c>
      <c r="C338" t="s">
        <v>147</v>
      </c>
      <c r="D338" t="s">
        <v>148</v>
      </c>
      <c r="E338" t="s">
        <v>142</v>
      </c>
      <c r="F338">
        <v>10</v>
      </c>
      <c r="G338">
        <v>1.4790000000000001</v>
      </c>
      <c r="H338">
        <v>2.2185000000000001</v>
      </c>
      <c r="I338">
        <v>20</v>
      </c>
      <c r="J338">
        <v>0</v>
      </c>
      <c r="K338">
        <v>0</v>
      </c>
      <c r="L338" t="s">
        <v>143</v>
      </c>
      <c r="M338">
        <v>22.218499999999999</v>
      </c>
      <c r="N338">
        <v>1</v>
      </c>
      <c r="O338">
        <v>0.9</v>
      </c>
      <c r="P338" t="s">
        <v>115</v>
      </c>
      <c r="Q338">
        <v>0.9</v>
      </c>
      <c r="R338" t="s">
        <v>144</v>
      </c>
    </row>
    <row r="339" spans="1:18" x14ac:dyDescent="0.25">
      <c r="A339" t="s">
        <v>611</v>
      </c>
      <c r="B339" s="2">
        <v>45470</v>
      </c>
      <c r="C339" t="s">
        <v>147</v>
      </c>
      <c r="D339" t="s">
        <v>148</v>
      </c>
      <c r="E339" t="s">
        <v>142</v>
      </c>
      <c r="F339">
        <v>10</v>
      </c>
      <c r="G339">
        <v>0.443</v>
      </c>
      <c r="H339">
        <v>0</v>
      </c>
      <c r="I339">
        <v>5</v>
      </c>
      <c r="J339">
        <v>0</v>
      </c>
      <c r="K339">
        <v>0</v>
      </c>
      <c r="L339" t="s">
        <v>612</v>
      </c>
      <c r="M339">
        <v>5</v>
      </c>
      <c r="N339">
        <v>0</v>
      </c>
      <c r="O339">
        <v>0.9</v>
      </c>
      <c r="P339" t="s">
        <v>115</v>
      </c>
      <c r="Q339">
        <v>0</v>
      </c>
      <c r="R339" t="s">
        <v>144</v>
      </c>
    </row>
    <row r="340" spans="1:18" x14ac:dyDescent="0.25">
      <c r="A340" t="s">
        <v>613</v>
      </c>
      <c r="B340" s="2">
        <v>45470</v>
      </c>
      <c r="C340" t="s">
        <v>147</v>
      </c>
      <c r="D340" t="s">
        <v>148</v>
      </c>
      <c r="E340" t="s">
        <v>142</v>
      </c>
      <c r="F340">
        <v>9.4339999999999993</v>
      </c>
      <c r="G340">
        <v>0</v>
      </c>
      <c r="H340">
        <v>0</v>
      </c>
      <c r="I340">
        <v>5</v>
      </c>
      <c r="J340">
        <v>0</v>
      </c>
      <c r="K340">
        <v>0</v>
      </c>
      <c r="L340" t="s">
        <v>614</v>
      </c>
      <c r="M340">
        <v>5</v>
      </c>
      <c r="N340">
        <v>0</v>
      </c>
      <c r="O340">
        <v>0.9</v>
      </c>
      <c r="P340" t="s">
        <v>115</v>
      </c>
      <c r="Q340">
        <v>0</v>
      </c>
      <c r="R340" t="s">
        <v>144</v>
      </c>
    </row>
    <row r="341" spans="1:18" x14ac:dyDescent="0.25">
      <c r="A341" t="s">
        <v>615</v>
      </c>
      <c r="B341" s="2">
        <v>45470</v>
      </c>
      <c r="C341" t="s">
        <v>147</v>
      </c>
      <c r="D341" t="s">
        <v>148</v>
      </c>
      <c r="E341" t="s">
        <v>142</v>
      </c>
      <c r="F341">
        <v>1.607</v>
      </c>
      <c r="G341">
        <v>0</v>
      </c>
      <c r="H341">
        <v>0</v>
      </c>
      <c r="I341">
        <v>20</v>
      </c>
      <c r="J341">
        <v>0</v>
      </c>
      <c r="K341">
        <v>0</v>
      </c>
      <c r="L341" t="s">
        <v>143</v>
      </c>
      <c r="M341">
        <v>20</v>
      </c>
      <c r="N341">
        <v>1</v>
      </c>
      <c r="O341">
        <v>0.9</v>
      </c>
      <c r="P341" t="s">
        <v>115</v>
      </c>
      <c r="Q341">
        <v>0.9</v>
      </c>
      <c r="R341" t="s">
        <v>144</v>
      </c>
    </row>
    <row r="342" spans="1:18" x14ac:dyDescent="0.25">
      <c r="A342" t="s">
        <v>616</v>
      </c>
      <c r="B342" s="2">
        <v>45470</v>
      </c>
      <c r="C342" t="s">
        <v>147</v>
      </c>
      <c r="D342" t="s">
        <v>148</v>
      </c>
      <c r="E342" t="s">
        <v>142</v>
      </c>
      <c r="F342">
        <v>1.607</v>
      </c>
      <c r="G342">
        <v>0</v>
      </c>
      <c r="H342">
        <v>0</v>
      </c>
      <c r="I342">
        <v>20</v>
      </c>
      <c r="J342">
        <v>0</v>
      </c>
      <c r="K342">
        <v>0</v>
      </c>
      <c r="L342" t="s">
        <v>143</v>
      </c>
      <c r="M342">
        <v>20</v>
      </c>
      <c r="N342">
        <v>1</v>
      </c>
      <c r="O342">
        <v>0.9</v>
      </c>
      <c r="P342" t="s">
        <v>115</v>
      </c>
      <c r="Q342">
        <v>0.9</v>
      </c>
      <c r="R342" t="s">
        <v>144</v>
      </c>
    </row>
    <row r="343" spans="1:18" x14ac:dyDescent="0.25">
      <c r="A343" t="s">
        <v>617</v>
      </c>
      <c r="B343" s="2">
        <v>45470</v>
      </c>
      <c r="C343" t="s">
        <v>147</v>
      </c>
      <c r="D343" t="s">
        <v>148</v>
      </c>
      <c r="E343" t="s">
        <v>142</v>
      </c>
      <c r="F343">
        <v>1.238</v>
      </c>
      <c r="G343">
        <v>0</v>
      </c>
      <c r="H343">
        <v>0</v>
      </c>
      <c r="I343">
        <v>20</v>
      </c>
      <c r="J343">
        <v>0</v>
      </c>
      <c r="K343">
        <v>0</v>
      </c>
      <c r="L343" t="s">
        <v>618</v>
      </c>
      <c r="M343">
        <v>20</v>
      </c>
      <c r="N343">
        <v>1</v>
      </c>
      <c r="O343">
        <v>0.9</v>
      </c>
      <c r="P343" t="s">
        <v>115</v>
      </c>
      <c r="Q343">
        <v>0.9</v>
      </c>
      <c r="R343" t="s">
        <v>144</v>
      </c>
    </row>
    <row r="344" spans="1:18" x14ac:dyDescent="0.25">
      <c r="A344" t="s">
        <v>619</v>
      </c>
      <c r="B344" s="2">
        <v>45470</v>
      </c>
      <c r="C344" t="s">
        <v>147</v>
      </c>
      <c r="D344" t="s">
        <v>148</v>
      </c>
      <c r="E344" t="s">
        <v>142</v>
      </c>
      <c r="F344">
        <v>2.367</v>
      </c>
      <c r="G344">
        <v>0</v>
      </c>
      <c r="H344">
        <v>0</v>
      </c>
      <c r="I344">
        <v>20</v>
      </c>
      <c r="J344">
        <v>0</v>
      </c>
      <c r="K344">
        <v>0</v>
      </c>
      <c r="L344" t="s">
        <v>143</v>
      </c>
      <c r="M344">
        <v>20</v>
      </c>
      <c r="N344">
        <v>1</v>
      </c>
      <c r="O344">
        <v>0.9</v>
      </c>
      <c r="P344" t="s">
        <v>115</v>
      </c>
      <c r="Q344">
        <v>0.9</v>
      </c>
      <c r="R344" t="s">
        <v>144</v>
      </c>
    </row>
    <row r="345" spans="1:18" x14ac:dyDescent="0.25">
      <c r="A345" t="s">
        <v>620</v>
      </c>
      <c r="B345" s="2">
        <v>45470</v>
      </c>
      <c r="C345" t="s">
        <v>147</v>
      </c>
      <c r="D345" t="s">
        <v>148</v>
      </c>
      <c r="E345" t="s">
        <v>142</v>
      </c>
      <c r="F345">
        <v>2.2069999999999999</v>
      </c>
      <c r="G345">
        <v>0</v>
      </c>
      <c r="H345">
        <v>0</v>
      </c>
      <c r="I345">
        <v>20</v>
      </c>
      <c r="J345">
        <v>0</v>
      </c>
      <c r="K345">
        <v>0</v>
      </c>
      <c r="L345" t="s">
        <v>513</v>
      </c>
      <c r="M345">
        <v>20</v>
      </c>
      <c r="N345">
        <v>1</v>
      </c>
      <c r="O345">
        <v>0.9</v>
      </c>
      <c r="P345" t="s">
        <v>115</v>
      </c>
      <c r="Q345">
        <v>0.9</v>
      </c>
      <c r="R345" t="s">
        <v>144</v>
      </c>
    </row>
    <row r="346" spans="1:18" x14ac:dyDescent="0.25">
      <c r="A346" t="s">
        <v>621</v>
      </c>
      <c r="B346" s="2">
        <v>45470</v>
      </c>
      <c r="C346" t="s">
        <v>147</v>
      </c>
      <c r="D346" t="s">
        <v>148</v>
      </c>
      <c r="E346" t="s">
        <v>142</v>
      </c>
      <c r="F346">
        <v>10</v>
      </c>
      <c r="G346">
        <v>1.393</v>
      </c>
      <c r="H346">
        <v>2.0895000000000001</v>
      </c>
      <c r="I346">
        <v>20</v>
      </c>
      <c r="J346">
        <v>0</v>
      </c>
      <c r="K346">
        <v>0</v>
      </c>
      <c r="L346" t="s">
        <v>143</v>
      </c>
      <c r="M346">
        <v>22.089500000000001</v>
      </c>
      <c r="N346">
        <v>1</v>
      </c>
      <c r="O346">
        <v>0.9</v>
      </c>
      <c r="P346" t="s">
        <v>115</v>
      </c>
      <c r="Q346">
        <v>0.9</v>
      </c>
      <c r="R346" t="s">
        <v>144</v>
      </c>
    </row>
    <row r="347" spans="1:18" x14ac:dyDescent="0.25">
      <c r="A347" t="s">
        <v>622</v>
      </c>
      <c r="B347" s="2">
        <v>45470</v>
      </c>
      <c r="C347" t="s">
        <v>147</v>
      </c>
      <c r="D347" t="s">
        <v>148</v>
      </c>
      <c r="E347" t="s">
        <v>142</v>
      </c>
      <c r="F347">
        <v>2.4430000000000001</v>
      </c>
      <c r="G347">
        <v>0</v>
      </c>
      <c r="H347">
        <v>0</v>
      </c>
      <c r="I347">
        <v>20</v>
      </c>
      <c r="J347">
        <v>0</v>
      </c>
      <c r="K347">
        <v>0</v>
      </c>
      <c r="L347" t="s">
        <v>143</v>
      </c>
      <c r="M347">
        <v>20</v>
      </c>
      <c r="N347">
        <v>1</v>
      </c>
      <c r="O347">
        <v>0.9</v>
      </c>
      <c r="P347" t="s">
        <v>115</v>
      </c>
      <c r="Q347">
        <v>0.9</v>
      </c>
      <c r="R347" t="s">
        <v>144</v>
      </c>
    </row>
    <row r="348" spans="1:18" x14ac:dyDescent="0.25">
      <c r="A348" t="s">
        <v>623</v>
      </c>
      <c r="B348" s="2">
        <v>45470</v>
      </c>
      <c r="C348" t="s">
        <v>147</v>
      </c>
      <c r="D348" t="s">
        <v>148</v>
      </c>
      <c r="E348" t="s">
        <v>142</v>
      </c>
      <c r="F348">
        <v>0.93300000000000005</v>
      </c>
      <c r="G348">
        <v>0</v>
      </c>
      <c r="H348">
        <v>0</v>
      </c>
      <c r="I348">
        <v>20</v>
      </c>
      <c r="J348">
        <v>0</v>
      </c>
      <c r="K348">
        <v>0</v>
      </c>
      <c r="L348" t="s">
        <v>143</v>
      </c>
      <c r="M348">
        <v>20</v>
      </c>
      <c r="N348">
        <v>1</v>
      </c>
      <c r="O348">
        <v>0.9</v>
      </c>
      <c r="P348" t="s">
        <v>115</v>
      </c>
      <c r="Q348">
        <v>0.9</v>
      </c>
      <c r="R348" t="s">
        <v>144</v>
      </c>
    </row>
    <row r="349" spans="1:18" x14ac:dyDescent="0.25">
      <c r="A349" t="s">
        <v>624</v>
      </c>
      <c r="B349" s="2">
        <v>45470</v>
      </c>
      <c r="C349" t="s">
        <v>147</v>
      </c>
      <c r="D349" t="s">
        <v>148</v>
      </c>
      <c r="E349" t="s">
        <v>142</v>
      </c>
      <c r="F349">
        <v>2.4769999999999999</v>
      </c>
      <c r="G349">
        <v>0</v>
      </c>
      <c r="H349">
        <v>0</v>
      </c>
      <c r="I349">
        <v>20</v>
      </c>
      <c r="J349">
        <v>0</v>
      </c>
      <c r="K349">
        <v>0</v>
      </c>
      <c r="L349" t="s">
        <v>143</v>
      </c>
      <c r="M349">
        <v>20</v>
      </c>
      <c r="N349">
        <v>1</v>
      </c>
      <c r="O349">
        <v>0.9</v>
      </c>
      <c r="P349" t="s">
        <v>115</v>
      </c>
      <c r="Q349">
        <v>0.9</v>
      </c>
      <c r="R349" t="s">
        <v>144</v>
      </c>
    </row>
    <row r="350" spans="1:18" x14ac:dyDescent="0.25">
      <c r="A350" t="s">
        <v>625</v>
      </c>
      <c r="B350" s="2">
        <v>45470</v>
      </c>
      <c r="C350" t="s">
        <v>147</v>
      </c>
      <c r="D350" t="s">
        <v>148</v>
      </c>
      <c r="E350" t="s">
        <v>142</v>
      </c>
      <c r="F350">
        <v>5.4829999999999997</v>
      </c>
      <c r="G350">
        <v>0</v>
      </c>
      <c r="H350">
        <v>0</v>
      </c>
      <c r="I350">
        <v>20</v>
      </c>
      <c r="J350">
        <v>0</v>
      </c>
      <c r="K350">
        <v>0</v>
      </c>
      <c r="L350" t="s">
        <v>143</v>
      </c>
      <c r="M350">
        <v>20</v>
      </c>
      <c r="N350">
        <v>1</v>
      </c>
      <c r="O350">
        <v>0.9</v>
      </c>
      <c r="P350" t="s">
        <v>115</v>
      </c>
      <c r="Q350">
        <v>0.9</v>
      </c>
      <c r="R350" t="s">
        <v>144</v>
      </c>
    </row>
    <row r="351" spans="1:18" x14ac:dyDescent="0.25">
      <c r="A351" t="s">
        <v>626</v>
      </c>
      <c r="B351" s="2">
        <v>45471</v>
      </c>
      <c r="C351" t="s">
        <v>147</v>
      </c>
      <c r="D351" t="s">
        <v>148</v>
      </c>
      <c r="E351" t="s">
        <v>142</v>
      </c>
      <c r="F351">
        <v>10</v>
      </c>
      <c r="G351">
        <v>7.4109999999999996</v>
      </c>
      <c r="H351">
        <v>11.1165</v>
      </c>
      <c r="I351">
        <v>20</v>
      </c>
      <c r="J351">
        <v>0</v>
      </c>
      <c r="K351">
        <v>0</v>
      </c>
      <c r="L351" t="s">
        <v>143</v>
      </c>
      <c r="M351">
        <v>31.116499999999998</v>
      </c>
      <c r="N351">
        <v>1</v>
      </c>
      <c r="O351">
        <v>0.9</v>
      </c>
      <c r="P351" t="s">
        <v>115</v>
      </c>
      <c r="Q351">
        <v>0.9</v>
      </c>
      <c r="R351" t="s">
        <v>144</v>
      </c>
    </row>
    <row r="352" spans="1:18" x14ac:dyDescent="0.25">
      <c r="A352" t="s">
        <v>627</v>
      </c>
      <c r="B352" s="2">
        <v>45471</v>
      </c>
      <c r="C352" t="s">
        <v>147</v>
      </c>
      <c r="D352" t="s">
        <v>148</v>
      </c>
      <c r="E352" t="s">
        <v>142</v>
      </c>
      <c r="F352">
        <v>2.6150000000000002</v>
      </c>
      <c r="G352">
        <v>0</v>
      </c>
      <c r="H352">
        <v>0</v>
      </c>
      <c r="I352">
        <v>20</v>
      </c>
      <c r="J352">
        <v>0</v>
      </c>
      <c r="K352">
        <v>0</v>
      </c>
      <c r="L352" t="s">
        <v>143</v>
      </c>
      <c r="M352">
        <v>20</v>
      </c>
      <c r="N352">
        <v>1</v>
      </c>
      <c r="O352">
        <v>0.9</v>
      </c>
      <c r="P352" t="s">
        <v>115</v>
      </c>
      <c r="Q352">
        <v>0.9</v>
      </c>
      <c r="R352" t="s">
        <v>144</v>
      </c>
    </row>
    <row r="353" spans="1:18" x14ac:dyDescent="0.25">
      <c r="A353" t="s">
        <v>628</v>
      </c>
      <c r="B353" s="2">
        <v>45471</v>
      </c>
      <c r="C353" t="s">
        <v>147</v>
      </c>
      <c r="D353" t="s">
        <v>148</v>
      </c>
      <c r="E353" t="s">
        <v>142</v>
      </c>
      <c r="F353">
        <v>4.1859999999999999</v>
      </c>
      <c r="G353">
        <v>0</v>
      </c>
      <c r="H353">
        <v>0</v>
      </c>
      <c r="I353">
        <v>20</v>
      </c>
      <c r="J353">
        <v>0</v>
      </c>
      <c r="K353">
        <v>0</v>
      </c>
      <c r="L353" t="s">
        <v>143</v>
      </c>
      <c r="M353">
        <v>20</v>
      </c>
      <c r="N353">
        <v>1</v>
      </c>
      <c r="O353">
        <v>0.9</v>
      </c>
      <c r="P353" t="s">
        <v>115</v>
      </c>
      <c r="Q353">
        <v>0.9</v>
      </c>
      <c r="R353" t="s">
        <v>144</v>
      </c>
    </row>
    <row r="354" spans="1:18" x14ac:dyDescent="0.25">
      <c r="A354" t="s">
        <v>629</v>
      </c>
      <c r="B354" s="2">
        <v>45471</v>
      </c>
      <c r="C354" t="s">
        <v>147</v>
      </c>
      <c r="D354" t="s">
        <v>148</v>
      </c>
      <c r="E354" t="s">
        <v>142</v>
      </c>
      <c r="F354">
        <v>3.2810000000000001</v>
      </c>
      <c r="G354">
        <v>0</v>
      </c>
      <c r="H354">
        <v>0</v>
      </c>
      <c r="I354">
        <v>20</v>
      </c>
      <c r="J354">
        <v>0</v>
      </c>
      <c r="K354">
        <v>0</v>
      </c>
      <c r="L354" t="s">
        <v>143</v>
      </c>
      <c r="M354">
        <v>20</v>
      </c>
      <c r="N354">
        <v>1</v>
      </c>
      <c r="O354">
        <v>0.9</v>
      </c>
      <c r="P354" t="s">
        <v>115</v>
      </c>
      <c r="Q354">
        <v>0.9</v>
      </c>
      <c r="R354" t="s">
        <v>144</v>
      </c>
    </row>
    <row r="355" spans="1:18" x14ac:dyDescent="0.25">
      <c r="A355" t="s">
        <v>630</v>
      </c>
      <c r="B355" s="2">
        <v>45471</v>
      </c>
      <c r="C355" t="s">
        <v>147</v>
      </c>
      <c r="D355" t="s">
        <v>148</v>
      </c>
      <c r="E355" t="s">
        <v>142</v>
      </c>
      <c r="F355">
        <v>10</v>
      </c>
      <c r="G355">
        <v>6.5030000000000001</v>
      </c>
      <c r="H355">
        <v>9.7545000000000002</v>
      </c>
      <c r="I355">
        <v>20</v>
      </c>
      <c r="J355">
        <v>0</v>
      </c>
      <c r="K355">
        <v>0</v>
      </c>
      <c r="L355" t="s">
        <v>143</v>
      </c>
      <c r="M355">
        <v>29.7545</v>
      </c>
      <c r="N355">
        <v>1</v>
      </c>
      <c r="O355">
        <v>0.9</v>
      </c>
      <c r="P355" t="s">
        <v>115</v>
      </c>
      <c r="Q355">
        <v>0.9</v>
      </c>
      <c r="R355" t="s">
        <v>144</v>
      </c>
    </row>
    <row r="356" spans="1:18" x14ac:dyDescent="0.25">
      <c r="A356" t="s">
        <v>631</v>
      </c>
      <c r="B356" s="2">
        <v>45471</v>
      </c>
      <c r="C356" t="s">
        <v>147</v>
      </c>
      <c r="D356" t="s">
        <v>148</v>
      </c>
      <c r="E356" t="s">
        <v>142</v>
      </c>
      <c r="F356">
        <v>10</v>
      </c>
      <c r="G356">
        <v>2.2200000000000002</v>
      </c>
      <c r="H356">
        <v>3.33</v>
      </c>
      <c r="I356">
        <v>20</v>
      </c>
      <c r="J356">
        <v>0</v>
      </c>
      <c r="K356">
        <v>0</v>
      </c>
      <c r="L356" t="s">
        <v>143</v>
      </c>
      <c r="M356">
        <v>23.33</v>
      </c>
      <c r="N356">
        <v>1</v>
      </c>
      <c r="O356">
        <v>0.9</v>
      </c>
      <c r="P356" t="s">
        <v>115</v>
      </c>
      <c r="Q356">
        <v>0.9</v>
      </c>
      <c r="R356" t="s">
        <v>144</v>
      </c>
    </row>
    <row r="357" spans="1:18" x14ac:dyDescent="0.25">
      <c r="A357" t="s">
        <v>632</v>
      </c>
      <c r="B357" s="2">
        <v>45471</v>
      </c>
      <c r="C357" t="s">
        <v>147</v>
      </c>
      <c r="D357" t="s">
        <v>148</v>
      </c>
      <c r="E357" t="s">
        <v>142</v>
      </c>
      <c r="F357">
        <v>4.6749999999999998</v>
      </c>
      <c r="G357">
        <v>0</v>
      </c>
      <c r="H357">
        <v>0</v>
      </c>
      <c r="I357">
        <v>20</v>
      </c>
      <c r="J357">
        <v>0</v>
      </c>
      <c r="K357">
        <v>0</v>
      </c>
      <c r="L357" t="s">
        <v>143</v>
      </c>
      <c r="M357">
        <v>20</v>
      </c>
      <c r="N357">
        <v>1</v>
      </c>
      <c r="O357">
        <v>0.9</v>
      </c>
      <c r="P357" t="s">
        <v>115</v>
      </c>
      <c r="Q357">
        <v>0.9</v>
      </c>
      <c r="R357" t="s">
        <v>144</v>
      </c>
    </row>
    <row r="358" spans="1:18" x14ac:dyDescent="0.25">
      <c r="A358" t="s">
        <v>633</v>
      </c>
      <c r="B358" s="2">
        <v>45471</v>
      </c>
      <c r="C358" t="s">
        <v>147</v>
      </c>
      <c r="D358" t="s">
        <v>148</v>
      </c>
      <c r="E358" t="s">
        <v>142</v>
      </c>
      <c r="F358">
        <v>10</v>
      </c>
      <c r="G358">
        <v>1.165</v>
      </c>
      <c r="H358">
        <v>0</v>
      </c>
      <c r="I358">
        <v>5</v>
      </c>
      <c r="J358">
        <v>0</v>
      </c>
      <c r="K358">
        <v>0</v>
      </c>
      <c r="L358" t="s">
        <v>634</v>
      </c>
      <c r="M358">
        <v>5</v>
      </c>
      <c r="N358">
        <v>0</v>
      </c>
      <c r="O358">
        <v>0.9</v>
      </c>
      <c r="P358" t="s">
        <v>115</v>
      </c>
      <c r="Q358">
        <v>0</v>
      </c>
      <c r="R358" t="s">
        <v>144</v>
      </c>
    </row>
    <row r="359" spans="1:18" x14ac:dyDescent="0.25">
      <c r="A359" t="s">
        <v>635</v>
      </c>
      <c r="B359" s="2">
        <v>45471</v>
      </c>
      <c r="C359" t="s">
        <v>147</v>
      </c>
      <c r="D359" t="s">
        <v>148</v>
      </c>
      <c r="E359" t="s">
        <v>142</v>
      </c>
      <c r="F359">
        <v>1.9390000000000001</v>
      </c>
      <c r="G359">
        <v>0</v>
      </c>
      <c r="H359">
        <v>0</v>
      </c>
      <c r="I359">
        <v>20</v>
      </c>
      <c r="J359">
        <v>0</v>
      </c>
      <c r="K359">
        <v>0</v>
      </c>
      <c r="L359" t="s">
        <v>143</v>
      </c>
      <c r="M359">
        <v>20</v>
      </c>
      <c r="N359">
        <v>1</v>
      </c>
      <c r="O359">
        <v>0.9</v>
      </c>
      <c r="P359" t="s">
        <v>115</v>
      </c>
      <c r="Q359">
        <v>0.9</v>
      </c>
      <c r="R359" t="s">
        <v>144</v>
      </c>
    </row>
    <row r="360" spans="1:18" x14ac:dyDescent="0.25">
      <c r="A360" t="s">
        <v>636</v>
      </c>
      <c r="B360" s="2">
        <v>45460</v>
      </c>
      <c r="C360" t="s">
        <v>30</v>
      </c>
      <c r="D360" t="s">
        <v>31</v>
      </c>
      <c r="E360" t="s">
        <v>142</v>
      </c>
      <c r="F360">
        <v>3.0649999999999999</v>
      </c>
      <c r="G360">
        <v>0</v>
      </c>
      <c r="H360">
        <v>0</v>
      </c>
      <c r="I360">
        <v>5</v>
      </c>
      <c r="J360">
        <v>0</v>
      </c>
      <c r="K360">
        <v>0</v>
      </c>
      <c r="L360" t="s">
        <v>637</v>
      </c>
      <c r="M360">
        <v>5</v>
      </c>
      <c r="N360">
        <v>0</v>
      </c>
      <c r="O360">
        <v>0.9</v>
      </c>
      <c r="P360" t="s">
        <v>114</v>
      </c>
      <c r="Q360">
        <v>0</v>
      </c>
      <c r="R360" t="s">
        <v>144</v>
      </c>
    </row>
    <row r="361" spans="1:18" x14ac:dyDescent="0.25">
      <c r="A361" t="s">
        <v>638</v>
      </c>
      <c r="B361" s="2">
        <v>45460</v>
      </c>
      <c r="C361" t="s">
        <v>30</v>
      </c>
      <c r="D361" t="s">
        <v>31</v>
      </c>
      <c r="E361" t="s">
        <v>142</v>
      </c>
      <c r="F361">
        <v>2.7879999999999998</v>
      </c>
      <c r="G361">
        <v>0</v>
      </c>
      <c r="H361">
        <v>0</v>
      </c>
      <c r="I361">
        <v>20</v>
      </c>
      <c r="J361">
        <v>0</v>
      </c>
      <c r="K361">
        <v>0</v>
      </c>
      <c r="L361" t="s">
        <v>639</v>
      </c>
      <c r="M361">
        <v>20</v>
      </c>
      <c r="N361">
        <v>1</v>
      </c>
      <c r="O361">
        <v>0.9</v>
      </c>
      <c r="P361" t="s">
        <v>114</v>
      </c>
      <c r="Q361">
        <v>0.9</v>
      </c>
      <c r="R361" t="s">
        <v>144</v>
      </c>
    </row>
    <row r="362" spans="1:18" x14ac:dyDescent="0.25">
      <c r="A362" t="s">
        <v>640</v>
      </c>
      <c r="B362" s="2">
        <v>45460</v>
      </c>
      <c r="C362" t="s">
        <v>30</v>
      </c>
      <c r="D362" t="s">
        <v>31</v>
      </c>
      <c r="E362" t="s">
        <v>142</v>
      </c>
      <c r="F362">
        <v>3.1419999999999999</v>
      </c>
      <c r="G362">
        <v>0</v>
      </c>
      <c r="H362">
        <v>0</v>
      </c>
      <c r="I362">
        <v>20</v>
      </c>
      <c r="J362">
        <v>0</v>
      </c>
      <c r="K362">
        <v>0</v>
      </c>
      <c r="L362" t="s">
        <v>143</v>
      </c>
      <c r="M362">
        <v>20</v>
      </c>
      <c r="N362">
        <v>1</v>
      </c>
      <c r="O362">
        <v>0.9</v>
      </c>
      <c r="P362" t="s">
        <v>114</v>
      </c>
      <c r="Q362">
        <v>0.9</v>
      </c>
      <c r="R362" t="s">
        <v>144</v>
      </c>
    </row>
    <row r="363" spans="1:18" x14ac:dyDescent="0.25">
      <c r="A363" t="s">
        <v>641</v>
      </c>
      <c r="B363" s="2">
        <v>45460</v>
      </c>
      <c r="C363" t="s">
        <v>30</v>
      </c>
      <c r="D363" t="s">
        <v>31</v>
      </c>
      <c r="E363" t="s">
        <v>142</v>
      </c>
      <c r="F363">
        <v>10</v>
      </c>
      <c r="G363">
        <v>19.808</v>
      </c>
      <c r="H363">
        <v>29.712</v>
      </c>
      <c r="I363">
        <v>20</v>
      </c>
      <c r="J363">
        <v>0</v>
      </c>
      <c r="K363">
        <v>0</v>
      </c>
      <c r="L363" t="s">
        <v>143</v>
      </c>
      <c r="M363">
        <v>49.712000000000003</v>
      </c>
      <c r="N363">
        <v>1</v>
      </c>
      <c r="O363">
        <v>0.9</v>
      </c>
      <c r="P363" t="s">
        <v>114</v>
      </c>
      <c r="Q363">
        <v>0.9</v>
      </c>
      <c r="R363" t="s">
        <v>144</v>
      </c>
    </row>
    <row r="364" spans="1:18" x14ac:dyDescent="0.25">
      <c r="A364" t="s">
        <v>642</v>
      </c>
      <c r="B364" s="2">
        <v>45460</v>
      </c>
      <c r="C364" t="s">
        <v>30</v>
      </c>
      <c r="D364" t="s">
        <v>31</v>
      </c>
      <c r="E364" t="s">
        <v>142</v>
      </c>
      <c r="F364">
        <v>1.214</v>
      </c>
      <c r="G364">
        <v>0</v>
      </c>
      <c r="H364">
        <v>0</v>
      </c>
      <c r="I364">
        <v>5</v>
      </c>
      <c r="J364">
        <v>0</v>
      </c>
      <c r="K364">
        <v>0</v>
      </c>
      <c r="L364" t="s">
        <v>643</v>
      </c>
      <c r="M364">
        <v>5</v>
      </c>
      <c r="N364">
        <v>0</v>
      </c>
      <c r="O364">
        <v>0.9</v>
      </c>
      <c r="P364" t="s">
        <v>114</v>
      </c>
      <c r="Q364">
        <v>0</v>
      </c>
      <c r="R364" t="s">
        <v>144</v>
      </c>
    </row>
    <row r="365" spans="1:18" x14ac:dyDescent="0.25">
      <c r="A365" t="s">
        <v>644</v>
      </c>
      <c r="B365" s="2">
        <v>45460</v>
      </c>
      <c r="C365" t="s">
        <v>30</v>
      </c>
      <c r="D365" t="s">
        <v>31</v>
      </c>
      <c r="E365" t="s">
        <v>142</v>
      </c>
      <c r="F365">
        <v>1.986</v>
      </c>
      <c r="G365">
        <v>0</v>
      </c>
      <c r="H365">
        <v>0</v>
      </c>
      <c r="I365">
        <v>20</v>
      </c>
      <c r="J365">
        <v>0</v>
      </c>
      <c r="K365">
        <v>0</v>
      </c>
      <c r="L365" t="s">
        <v>143</v>
      </c>
      <c r="M365">
        <v>20</v>
      </c>
      <c r="N365">
        <v>1</v>
      </c>
      <c r="O365">
        <v>0.9</v>
      </c>
      <c r="P365" t="s">
        <v>114</v>
      </c>
      <c r="Q365">
        <v>0.9</v>
      </c>
      <c r="R365" t="s">
        <v>144</v>
      </c>
    </row>
    <row r="366" spans="1:18" x14ac:dyDescent="0.25">
      <c r="A366" t="s">
        <v>645</v>
      </c>
      <c r="B366" s="2">
        <v>45460</v>
      </c>
      <c r="C366" t="s">
        <v>30</v>
      </c>
      <c r="D366" t="s">
        <v>31</v>
      </c>
      <c r="E366" t="s">
        <v>142</v>
      </c>
      <c r="F366">
        <v>0.68400000000000005</v>
      </c>
      <c r="G366">
        <v>0</v>
      </c>
      <c r="H366">
        <v>0</v>
      </c>
      <c r="I366">
        <v>20</v>
      </c>
      <c r="J366">
        <v>0</v>
      </c>
      <c r="K366">
        <v>0</v>
      </c>
      <c r="L366" t="s">
        <v>143</v>
      </c>
      <c r="M366">
        <v>20</v>
      </c>
      <c r="N366">
        <v>1</v>
      </c>
      <c r="O366">
        <v>0.9</v>
      </c>
      <c r="P366" t="s">
        <v>114</v>
      </c>
      <c r="Q366">
        <v>0.9</v>
      </c>
      <c r="R366" t="s">
        <v>144</v>
      </c>
    </row>
    <row r="367" spans="1:18" x14ac:dyDescent="0.25">
      <c r="A367" t="s">
        <v>646</v>
      </c>
      <c r="B367" s="2">
        <v>45460</v>
      </c>
      <c r="C367" t="s">
        <v>30</v>
      </c>
      <c r="D367" t="s">
        <v>31</v>
      </c>
      <c r="E367" t="s">
        <v>142</v>
      </c>
      <c r="F367">
        <v>10</v>
      </c>
      <c r="G367">
        <v>7.9420000000000002</v>
      </c>
      <c r="H367">
        <v>11.913</v>
      </c>
      <c r="I367">
        <v>20</v>
      </c>
      <c r="J367">
        <v>0</v>
      </c>
      <c r="K367">
        <v>0</v>
      </c>
      <c r="L367" t="s">
        <v>143</v>
      </c>
      <c r="M367">
        <v>31.913</v>
      </c>
      <c r="N367">
        <v>1</v>
      </c>
      <c r="O367">
        <v>0.9</v>
      </c>
      <c r="P367" t="s">
        <v>114</v>
      </c>
      <c r="Q367">
        <v>0.9</v>
      </c>
      <c r="R367" t="s">
        <v>144</v>
      </c>
    </row>
    <row r="368" spans="1:18" x14ac:dyDescent="0.25">
      <c r="A368" t="s">
        <v>647</v>
      </c>
      <c r="B368" s="2">
        <v>45460</v>
      </c>
      <c r="C368" t="s">
        <v>30</v>
      </c>
      <c r="D368" t="s">
        <v>31</v>
      </c>
      <c r="E368" t="s">
        <v>142</v>
      </c>
      <c r="F368">
        <v>10</v>
      </c>
      <c r="G368">
        <v>0</v>
      </c>
      <c r="H368">
        <v>0</v>
      </c>
      <c r="I368">
        <v>20</v>
      </c>
      <c r="J368">
        <v>0</v>
      </c>
      <c r="K368">
        <v>0</v>
      </c>
      <c r="L368" t="s">
        <v>143</v>
      </c>
      <c r="M368">
        <v>20</v>
      </c>
      <c r="N368">
        <v>1</v>
      </c>
      <c r="O368">
        <v>0.9</v>
      </c>
      <c r="P368" t="s">
        <v>114</v>
      </c>
      <c r="Q368">
        <v>0.9</v>
      </c>
      <c r="R368" t="s">
        <v>144</v>
      </c>
    </row>
    <row r="369" spans="1:18" x14ac:dyDescent="0.25">
      <c r="A369" t="s">
        <v>648</v>
      </c>
      <c r="B369" s="2">
        <v>45460</v>
      </c>
      <c r="C369" t="s">
        <v>30</v>
      </c>
      <c r="D369" t="s">
        <v>31</v>
      </c>
      <c r="E369" t="s">
        <v>142</v>
      </c>
      <c r="F369">
        <v>5.15</v>
      </c>
      <c r="G369">
        <v>0</v>
      </c>
      <c r="H369">
        <v>0</v>
      </c>
      <c r="I369">
        <v>20</v>
      </c>
      <c r="J369">
        <v>0</v>
      </c>
      <c r="K369">
        <v>0</v>
      </c>
      <c r="L369" t="s">
        <v>649</v>
      </c>
      <c r="M369">
        <v>20</v>
      </c>
      <c r="N369">
        <v>1</v>
      </c>
      <c r="O369">
        <v>0.9</v>
      </c>
      <c r="P369" t="s">
        <v>114</v>
      </c>
      <c r="Q369">
        <v>0.9</v>
      </c>
      <c r="R369" t="s">
        <v>144</v>
      </c>
    </row>
    <row r="370" spans="1:18" x14ac:dyDescent="0.25">
      <c r="A370" t="s">
        <v>650</v>
      </c>
      <c r="B370" s="2">
        <v>45460</v>
      </c>
      <c r="C370" t="s">
        <v>30</v>
      </c>
      <c r="D370" t="s">
        <v>31</v>
      </c>
      <c r="E370" t="s">
        <v>142</v>
      </c>
      <c r="F370">
        <v>0.99199999999999999</v>
      </c>
      <c r="G370">
        <v>0</v>
      </c>
      <c r="H370">
        <v>0</v>
      </c>
      <c r="I370">
        <v>20</v>
      </c>
      <c r="J370">
        <v>0</v>
      </c>
      <c r="K370">
        <v>0</v>
      </c>
      <c r="L370" t="s">
        <v>143</v>
      </c>
      <c r="M370">
        <v>20</v>
      </c>
      <c r="N370">
        <v>1</v>
      </c>
      <c r="O370">
        <v>0.9</v>
      </c>
      <c r="P370" t="s">
        <v>114</v>
      </c>
      <c r="Q370">
        <v>0.9</v>
      </c>
      <c r="R370" t="s">
        <v>144</v>
      </c>
    </row>
    <row r="371" spans="1:18" x14ac:dyDescent="0.25">
      <c r="A371" t="s">
        <v>651</v>
      </c>
      <c r="B371" s="2">
        <v>45460</v>
      </c>
      <c r="C371" t="s">
        <v>30</v>
      </c>
      <c r="D371" t="s">
        <v>31</v>
      </c>
      <c r="E371" t="s">
        <v>142</v>
      </c>
      <c r="F371">
        <v>5.4829999999999997</v>
      </c>
      <c r="G371">
        <v>0</v>
      </c>
      <c r="H371">
        <v>0</v>
      </c>
      <c r="I371">
        <v>20</v>
      </c>
      <c r="J371">
        <v>0</v>
      </c>
      <c r="K371">
        <v>0</v>
      </c>
      <c r="L371" t="s">
        <v>143</v>
      </c>
      <c r="M371">
        <v>20</v>
      </c>
      <c r="N371">
        <v>1</v>
      </c>
      <c r="O371">
        <v>0.9</v>
      </c>
      <c r="P371" t="s">
        <v>114</v>
      </c>
      <c r="Q371">
        <v>0.9</v>
      </c>
      <c r="R371" t="s">
        <v>144</v>
      </c>
    </row>
    <row r="372" spans="1:18" x14ac:dyDescent="0.25">
      <c r="A372" t="s">
        <v>652</v>
      </c>
      <c r="B372" s="2">
        <v>45460</v>
      </c>
      <c r="C372" t="s">
        <v>30</v>
      </c>
      <c r="D372" t="s">
        <v>31</v>
      </c>
      <c r="E372" t="s">
        <v>142</v>
      </c>
      <c r="F372">
        <v>10</v>
      </c>
      <c r="G372">
        <v>4.7430000000000003</v>
      </c>
      <c r="H372">
        <v>7.1144999999999996</v>
      </c>
      <c r="I372">
        <v>20</v>
      </c>
      <c r="J372">
        <v>0</v>
      </c>
      <c r="K372">
        <v>0</v>
      </c>
      <c r="L372" t="s">
        <v>143</v>
      </c>
      <c r="M372">
        <v>27.1145</v>
      </c>
      <c r="N372">
        <v>1</v>
      </c>
      <c r="O372">
        <v>0.9</v>
      </c>
      <c r="P372" t="s">
        <v>114</v>
      </c>
      <c r="Q372">
        <v>0.9</v>
      </c>
      <c r="R372" t="s">
        <v>144</v>
      </c>
    </row>
    <row r="373" spans="1:18" x14ac:dyDescent="0.25">
      <c r="A373" t="s">
        <v>653</v>
      </c>
      <c r="B373" s="2">
        <v>45461</v>
      </c>
      <c r="C373" t="s">
        <v>30</v>
      </c>
      <c r="D373" t="s">
        <v>31</v>
      </c>
      <c r="E373" t="s">
        <v>142</v>
      </c>
      <c r="F373">
        <v>5.9850000000000003</v>
      </c>
      <c r="G373">
        <v>0</v>
      </c>
      <c r="H373">
        <v>0</v>
      </c>
      <c r="I373">
        <v>20</v>
      </c>
      <c r="J373">
        <v>0</v>
      </c>
      <c r="K373">
        <v>0</v>
      </c>
      <c r="L373" t="s">
        <v>654</v>
      </c>
      <c r="M373">
        <v>20</v>
      </c>
      <c r="N373">
        <v>1</v>
      </c>
      <c r="O373">
        <v>0.9</v>
      </c>
      <c r="P373" t="s">
        <v>114</v>
      </c>
      <c r="Q373">
        <v>0.9</v>
      </c>
      <c r="R373" t="s">
        <v>144</v>
      </c>
    </row>
    <row r="374" spans="1:18" x14ac:dyDescent="0.25">
      <c r="A374" t="s">
        <v>655</v>
      </c>
      <c r="B374" s="2">
        <v>45461</v>
      </c>
      <c r="C374" t="s">
        <v>30</v>
      </c>
      <c r="D374" t="s">
        <v>31</v>
      </c>
      <c r="E374" t="s">
        <v>142</v>
      </c>
      <c r="F374">
        <v>4.0540000000000003</v>
      </c>
      <c r="G374">
        <v>0</v>
      </c>
      <c r="H374">
        <v>0</v>
      </c>
      <c r="I374">
        <v>20</v>
      </c>
      <c r="J374">
        <v>0</v>
      </c>
      <c r="K374">
        <v>0</v>
      </c>
      <c r="L374" t="s">
        <v>143</v>
      </c>
      <c r="M374">
        <v>20</v>
      </c>
      <c r="N374">
        <v>1</v>
      </c>
      <c r="O374">
        <v>0.9</v>
      </c>
      <c r="P374" t="s">
        <v>114</v>
      </c>
      <c r="Q374">
        <v>0.9</v>
      </c>
      <c r="R374" t="s">
        <v>144</v>
      </c>
    </row>
    <row r="375" spans="1:18" x14ac:dyDescent="0.25">
      <c r="A375" t="s">
        <v>656</v>
      </c>
      <c r="B375" s="2">
        <v>45461</v>
      </c>
      <c r="C375" t="s">
        <v>30</v>
      </c>
      <c r="D375" t="s">
        <v>31</v>
      </c>
      <c r="E375" t="s">
        <v>142</v>
      </c>
      <c r="F375">
        <v>1.3220000000000001</v>
      </c>
      <c r="G375">
        <v>0</v>
      </c>
      <c r="H375">
        <v>0</v>
      </c>
      <c r="I375">
        <v>20</v>
      </c>
      <c r="J375">
        <v>0</v>
      </c>
      <c r="K375">
        <v>0</v>
      </c>
      <c r="L375" t="s">
        <v>143</v>
      </c>
      <c r="M375">
        <v>20</v>
      </c>
      <c r="N375">
        <v>1</v>
      </c>
      <c r="O375">
        <v>0.9</v>
      </c>
      <c r="P375" t="s">
        <v>114</v>
      </c>
      <c r="Q375">
        <v>0.9</v>
      </c>
      <c r="R375" t="s">
        <v>144</v>
      </c>
    </row>
    <row r="376" spans="1:18" x14ac:dyDescent="0.25">
      <c r="A376" t="s">
        <v>657</v>
      </c>
      <c r="B376" s="2">
        <v>45461</v>
      </c>
      <c r="C376" t="s">
        <v>30</v>
      </c>
      <c r="D376" t="s">
        <v>31</v>
      </c>
      <c r="E376" t="s">
        <v>142</v>
      </c>
      <c r="F376">
        <v>10</v>
      </c>
      <c r="G376">
        <v>1.607</v>
      </c>
      <c r="H376">
        <v>2.4104999999999999</v>
      </c>
      <c r="I376">
        <v>20</v>
      </c>
      <c r="J376">
        <v>0</v>
      </c>
      <c r="K376">
        <v>0</v>
      </c>
      <c r="L376" t="s">
        <v>143</v>
      </c>
      <c r="M376">
        <v>22.410499999999999</v>
      </c>
      <c r="N376">
        <v>1</v>
      </c>
      <c r="O376">
        <v>0.9</v>
      </c>
      <c r="P376" t="s">
        <v>114</v>
      </c>
      <c r="Q376">
        <v>0.9</v>
      </c>
      <c r="R376" t="s">
        <v>144</v>
      </c>
    </row>
    <row r="377" spans="1:18" x14ac:dyDescent="0.25">
      <c r="A377" t="s">
        <v>658</v>
      </c>
      <c r="B377" s="2">
        <v>45461</v>
      </c>
      <c r="C377" t="s">
        <v>30</v>
      </c>
      <c r="D377" t="s">
        <v>31</v>
      </c>
      <c r="E377" t="s">
        <v>142</v>
      </c>
      <c r="F377">
        <v>4.5179999999999998</v>
      </c>
      <c r="G377">
        <v>0</v>
      </c>
      <c r="H377">
        <v>0</v>
      </c>
      <c r="I377">
        <v>5</v>
      </c>
      <c r="J377">
        <v>0</v>
      </c>
      <c r="K377">
        <v>0</v>
      </c>
      <c r="L377" t="s">
        <v>659</v>
      </c>
      <c r="M377">
        <v>5</v>
      </c>
      <c r="N377">
        <v>0</v>
      </c>
      <c r="O377">
        <v>0.9</v>
      </c>
      <c r="P377" t="s">
        <v>114</v>
      </c>
      <c r="Q377">
        <v>0</v>
      </c>
      <c r="R377" t="s">
        <v>144</v>
      </c>
    </row>
    <row r="378" spans="1:18" x14ac:dyDescent="0.25">
      <c r="A378" t="s">
        <v>660</v>
      </c>
      <c r="B378" s="2">
        <v>45461</v>
      </c>
      <c r="C378" t="s">
        <v>30</v>
      </c>
      <c r="D378" t="s">
        <v>31</v>
      </c>
      <c r="E378" t="s">
        <v>142</v>
      </c>
      <c r="F378">
        <v>1.113</v>
      </c>
      <c r="G378">
        <v>0</v>
      </c>
      <c r="H378">
        <v>0</v>
      </c>
      <c r="I378">
        <v>20</v>
      </c>
      <c r="J378">
        <v>0</v>
      </c>
      <c r="K378">
        <v>0</v>
      </c>
      <c r="L378" t="s">
        <v>143</v>
      </c>
      <c r="M378">
        <v>20</v>
      </c>
      <c r="N378">
        <v>1</v>
      </c>
      <c r="O378">
        <v>0.9</v>
      </c>
      <c r="P378" t="s">
        <v>114</v>
      </c>
      <c r="Q378">
        <v>0.9</v>
      </c>
      <c r="R378" t="s">
        <v>144</v>
      </c>
    </row>
    <row r="379" spans="1:18" x14ac:dyDescent="0.25">
      <c r="A379" t="s">
        <v>661</v>
      </c>
      <c r="B379" s="2">
        <v>45461</v>
      </c>
      <c r="C379" t="s">
        <v>30</v>
      </c>
      <c r="D379" t="s">
        <v>31</v>
      </c>
      <c r="E379" t="s">
        <v>142</v>
      </c>
      <c r="F379">
        <v>0.96799999999999997</v>
      </c>
      <c r="G379">
        <v>0</v>
      </c>
      <c r="H379">
        <v>0</v>
      </c>
      <c r="I379">
        <v>5</v>
      </c>
      <c r="J379">
        <v>0</v>
      </c>
      <c r="K379">
        <v>0</v>
      </c>
      <c r="L379" t="s">
        <v>662</v>
      </c>
      <c r="M379">
        <v>5</v>
      </c>
      <c r="N379">
        <v>0</v>
      </c>
      <c r="O379">
        <v>0.9</v>
      </c>
      <c r="P379" t="s">
        <v>114</v>
      </c>
      <c r="Q379">
        <v>0</v>
      </c>
      <c r="R379" t="s">
        <v>144</v>
      </c>
    </row>
    <row r="380" spans="1:18" x14ac:dyDescent="0.25">
      <c r="A380" t="s">
        <v>663</v>
      </c>
      <c r="B380" s="2">
        <v>45461</v>
      </c>
      <c r="C380" t="s">
        <v>30</v>
      </c>
      <c r="D380" t="s">
        <v>31</v>
      </c>
      <c r="E380" t="s">
        <v>142</v>
      </c>
      <c r="F380">
        <v>5.4260000000000002</v>
      </c>
      <c r="G380">
        <v>0</v>
      </c>
      <c r="H380">
        <v>0</v>
      </c>
      <c r="I380">
        <v>20</v>
      </c>
      <c r="J380">
        <v>0</v>
      </c>
      <c r="K380">
        <v>0</v>
      </c>
      <c r="L380" t="s">
        <v>143</v>
      </c>
      <c r="M380">
        <v>20</v>
      </c>
      <c r="N380">
        <v>1</v>
      </c>
      <c r="O380">
        <v>0.9</v>
      </c>
      <c r="P380" t="s">
        <v>114</v>
      </c>
      <c r="Q380">
        <v>0.9</v>
      </c>
      <c r="R380" t="s">
        <v>144</v>
      </c>
    </row>
    <row r="381" spans="1:18" x14ac:dyDescent="0.25">
      <c r="A381" t="s">
        <v>664</v>
      </c>
      <c r="B381" s="2">
        <v>45461</v>
      </c>
      <c r="C381" t="s">
        <v>30</v>
      </c>
      <c r="D381" t="s">
        <v>31</v>
      </c>
      <c r="E381" t="s">
        <v>142</v>
      </c>
      <c r="F381">
        <v>5.5179999999999998</v>
      </c>
      <c r="G381">
        <v>0</v>
      </c>
      <c r="H381">
        <v>0</v>
      </c>
      <c r="I381">
        <v>20</v>
      </c>
      <c r="J381">
        <v>0</v>
      </c>
      <c r="K381">
        <v>0</v>
      </c>
      <c r="L381" t="s">
        <v>143</v>
      </c>
      <c r="M381">
        <v>20</v>
      </c>
      <c r="N381">
        <v>1</v>
      </c>
      <c r="O381">
        <v>0.9</v>
      </c>
      <c r="P381" t="s">
        <v>114</v>
      </c>
      <c r="Q381">
        <v>0.9</v>
      </c>
      <c r="R381" t="s">
        <v>144</v>
      </c>
    </row>
    <row r="382" spans="1:18" x14ac:dyDescent="0.25">
      <c r="A382" t="s">
        <v>665</v>
      </c>
      <c r="B382" s="2">
        <v>45461</v>
      </c>
      <c r="C382" t="s">
        <v>30</v>
      </c>
      <c r="D382" t="s">
        <v>31</v>
      </c>
      <c r="E382" t="s">
        <v>142</v>
      </c>
      <c r="F382">
        <v>5.78</v>
      </c>
      <c r="G382">
        <v>0</v>
      </c>
      <c r="H382">
        <v>0</v>
      </c>
      <c r="I382">
        <v>5</v>
      </c>
      <c r="J382">
        <v>0</v>
      </c>
      <c r="K382">
        <v>0</v>
      </c>
      <c r="L382" t="s">
        <v>666</v>
      </c>
      <c r="M382">
        <v>5</v>
      </c>
      <c r="N382">
        <v>0</v>
      </c>
      <c r="O382">
        <v>0.9</v>
      </c>
      <c r="P382" t="s">
        <v>114</v>
      </c>
      <c r="Q382">
        <v>0</v>
      </c>
      <c r="R382" t="s">
        <v>144</v>
      </c>
    </row>
    <row r="383" spans="1:18" x14ac:dyDescent="0.25">
      <c r="A383" t="s">
        <v>667</v>
      </c>
      <c r="B383" s="2">
        <v>45461</v>
      </c>
      <c r="C383" t="s">
        <v>30</v>
      </c>
      <c r="D383" t="s">
        <v>31</v>
      </c>
      <c r="E383" t="s">
        <v>142</v>
      </c>
      <c r="F383">
        <v>9.4339999999999993</v>
      </c>
      <c r="G383">
        <v>0</v>
      </c>
      <c r="H383">
        <v>0</v>
      </c>
      <c r="I383">
        <v>20</v>
      </c>
      <c r="J383">
        <v>0</v>
      </c>
      <c r="K383">
        <v>0</v>
      </c>
      <c r="L383" t="s">
        <v>143</v>
      </c>
      <c r="M383">
        <v>20</v>
      </c>
      <c r="N383">
        <v>1</v>
      </c>
      <c r="O383">
        <v>0.9</v>
      </c>
      <c r="P383" t="s">
        <v>114</v>
      </c>
      <c r="Q383">
        <v>0.9</v>
      </c>
      <c r="R383" t="s">
        <v>144</v>
      </c>
    </row>
    <row r="384" spans="1:18" x14ac:dyDescent="0.25">
      <c r="A384" t="s">
        <v>668</v>
      </c>
      <c r="B384" s="2">
        <v>45461</v>
      </c>
      <c r="C384" t="s">
        <v>30</v>
      </c>
      <c r="D384" t="s">
        <v>31</v>
      </c>
      <c r="E384" t="s">
        <v>142</v>
      </c>
      <c r="F384">
        <v>1.0740000000000001</v>
      </c>
      <c r="G384">
        <v>0</v>
      </c>
      <c r="H384">
        <v>0</v>
      </c>
      <c r="I384">
        <v>20</v>
      </c>
      <c r="J384">
        <v>0</v>
      </c>
      <c r="K384">
        <v>0</v>
      </c>
      <c r="L384" t="s">
        <v>143</v>
      </c>
      <c r="M384">
        <v>20</v>
      </c>
      <c r="N384">
        <v>1</v>
      </c>
      <c r="O384">
        <v>0.9</v>
      </c>
      <c r="P384" t="s">
        <v>114</v>
      </c>
      <c r="Q384">
        <v>0.9</v>
      </c>
      <c r="R384" t="s">
        <v>144</v>
      </c>
    </row>
    <row r="385" spans="1:18" x14ac:dyDescent="0.25">
      <c r="A385" t="s">
        <v>669</v>
      </c>
      <c r="B385" s="2">
        <v>45462</v>
      </c>
      <c r="C385" t="s">
        <v>30</v>
      </c>
      <c r="D385" t="s">
        <v>31</v>
      </c>
      <c r="E385" t="s">
        <v>142</v>
      </c>
      <c r="F385">
        <v>3.07</v>
      </c>
      <c r="G385">
        <v>0</v>
      </c>
      <c r="H385">
        <v>0</v>
      </c>
      <c r="I385">
        <v>20</v>
      </c>
      <c r="J385">
        <v>0</v>
      </c>
      <c r="K385">
        <v>0</v>
      </c>
      <c r="L385" t="s">
        <v>143</v>
      </c>
      <c r="M385">
        <v>20</v>
      </c>
      <c r="N385">
        <v>1</v>
      </c>
      <c r="O385">
        <v>0.9</v>
      </c>
      <c r="P385" t="s">
        <v>114</v>
      </c>
      <c r="Q385">
        <v>0.9</v>
      </c>
      <c r="R385" t="s">
        <v>144</v>
      </c>
    </row>
    <row r="386" spans="1:18" x14ac:dyDescent="0.25">
      <c r="A386" t="s">
        <v>670</v>
      </c>
      <c r="B386" s="2">
        <v>45462</v>
      </c>
      <c r="C386" t="s">
        <v>30</v>
      </c>
      <c r="D386" t="s">
        <v>31</v>
      </c>
      <c r="E386" t="s">
        <v>142</v>
      </c>
      <c r="F386">
        <v>1.52</v>
      </c>
      <c r="G386">
        <v>0</v>
      </c>
      <c r="H386">
        <v>0</v>
      </c>
      <c r="I386">
        <v>20</v>
      </c>
      <c r="J386">
        <v>0</v>
      </c>
      <c r="K386">
        <v>0</v>
      </c>
      <c r="L386" t="s">
        <v>143</v>
      </c>
      <c r="M386">
        <v>20</v>
      </c>
      <c r="N386">
        <v>1</v>
      </c>
      <c r="O386">
        <v>0.9</v>
      </c>
      <c r="P386" t="s">
        <v>114</v>
      </c>
      <c r="Q386">
        <v>0.9</v>
      </c>
      <c r="R386" t="s">
        <v>144</v>
      </c>
    </row>
    <row r="387" spans="1:18" x14ac:dyDescent="0.25">
      <c r="A387" t="s">
        <v>671</v>
      </c>
      <c r="B387" s="2">
        <v>45462</v>
      </c>
      <c r="C387" t="s">
        <v>30</v>
      </c>
      <c r="D387" t="s">
        <v>31</v>
      </c>
      <c r="E387" t="s">
        <v>142</v>
      </c>
      <c r="F387">
        <v>1.972</v>
      </c>
      <c r="G387">
        <v>0</v>
      </c>
      <c r="H387">
        <v>0</v>
      </c>
      <c r="I387">
        <v>20</v>
      </c>
      <c r="J387">
        <v>0</v>
      </c>
      <c r="K387">
        <v>0</v>
      </c>
      <c r="L387" t="s">
        <v>143</v>
      </c>
      <c r="M387">
        <v>20</v>
      </c>
      <c r="N387">
        <v>1</v>
      </c>
      <c r="O387">
        <v>0.9</v>
      </c>
      <c r="P387" t="s">
        <v>114</v>
      </c>
      <c r="Q387">
        <v>0.9</v>
      </c>
      <c r="R387" t="s">
        <v>144</v>
      </c>
    </row>
    <row r="388" spans="1:18" x14ac:dyDescent="0.25">
      <c r="A388" t="s">
        <v>672</v>
      </c>
      <c r="B388" s="2">
        <v>45462</v>
      </c>
      <c r="C388" t="s">
        <v>30</v>
      </c>
      <c r="D388" t="s">
        <v>31</v>
      </c>
      <c r="E388" t="s">
        <v>142</v>
      </c>
      <c r="F388">
        <v>3.0649999999999999</v>
      </c>
      <c r="G388">
        <v>0</v>
      </c>
      <c r="H388">
        <v>0</v>
      </c>
      <c r="I388">
        <v>20</v>
      </c>
      <c r="J388">
        <v>0</v>
      </c>
      <c r="K388">
        <v>0</v>
      </c>
      <c r="L388" t="s">
        <v>143</v>
      </c>
      <c r="M388">
        <v>20</v>
      </c>
      <c r="N388">
        <v>1</v>
      </c>
      <c r="O388">
        <v>0.9</v>
      </c>
      <c r="P388" t="s">
        <v>114</v>
      </c>
      <c r="Q388">
        <v>0.9</v>
      </c>
      <c r="R388" t="s">
        <v>144</v>
      </c>
    </row>
    <row r="389" spans="1:18" x14ac:dyDescent="0.25">
      <c r="A389" t="s">
        <v>673</v>
      </c>
      <c r="B389" s="2">
        <v>45462</v>
      </c>
      <c r="C389" t="s">
        <v>30</v>
      </c>
      <c r="D389" t="s">
        <v>31</v>
      </c>
      <c r="E389" t="s">
        <v>142</v>
      </c>
      <c r="F389">
        <v>8.2289999999999992</v>
      </c>
      <c r="G389">
        <v>0</v>
      </c>
      <c r="H389">
        <v>0</v>
      </c>
      <c r="I389">
        <v>20</v>
      </c>
      <c r="J389">
        <v>0</v>
      </c>
      <c r="K389">
        <v>0</v>
      </c>
      <c r="L389" t="s">
        <v>674</v>
      </c>
      <c r="M389">
        <v>20</v>
      </c>
      <c r="N389">
        <v>1</v>
      </c>
      <c r="O389">
        <v>0.9</v>
      </c>
      <c r="P389" t="s">
        <v>114</v>
      </c>
      <c r="Q389">
        <v>0.9</v>
      </c>
      <c r="R389" t="s">
        <v>144</v>
      </c>
    </row>
    <row r="390" spans="1:18" x14ac:dyDescent="0.25">
      <c r="A390" t="s">
        <v>675</v>
      </c>
      <c r="B390" s="2">
        <v>45462</v>
      </c>
      <c r="C390" t="s">
        <v>30</v>
      </c>
      <c r="D390" t="s">
        <v>31</v>
      </c>
      <c r="E390" t="s">
        <v>142</v>
      </c>
      <c r="F390">
        <v>0.54900000000000004</v>
      </c>
      <c r="G390">
        <v>0</v>
      </c>
      <c r="H390">
        <v>0</v>
      </c>
      <c r="I390">
        <v>5</v>
      </c>
      <c r="J390">
        <v>0</v>
      </c>
      <c r="K390">
        <v>0</v>
      </c>
      <c r="L390" t="s">
        <v>676</v>
      </c>
      <c r="M390">
        <v>5</v>
      </c>
      <c r="N390">
        <v>0</v>
      </c>
      <c r="O390">
        <v>0.9</v>
      </c>
      <c r="P390" t="s">
        <v>114</v>
      </c>
      <c r="Q390">
        <v>0</v>
      </c>
      <c r="R390" t="s">
        <v>144</v>
      </c>
    </row>
    <row r="391" spans="1:18" x14ac:dyDescent="0.25">
      <c r="A391" t="s">
        <v>677</v>
      </c>
      <c r="B391" s="2">
        <v>45462</v>
      </c>
      <c r="C391" t="s">
        <v>30</v>
      </c>
      <c r="D391" t="s">
        <v>31</v>
      </c>
      <c r="E391" t="s">
        <v>142</v>
      </c>
      <c r="F391">
        <v>6.452</v>
      </c>
      <c r="G391">
        <v>0</v>
      </c>
      <c r="H391">
        <v>0</v>
      </c>
      <c r="I391">
        <v>20</v>
      </c>
      <c r="J391">
        <v>0</v>
      </c>
      <c r="K391">
        <v>0</v>
      </c>
      <c r="L391" t="s">
        <v>143</v>
      </c>
      <c r="M391">
        <v>20</v>
      </c>
      <c r="N391">
        <v>1</v>
      </c>
      <c r="O391">
        <v>0.9</v>
      </c>
      <c r="P391" t="s">
        <v>114</v>
      </c>
      <c r="Q391">
        <v>0.9</v>
      </c>
      <c r="R391" t="s">
        <v>144</v>
      </c>
    </row>
    <row r="392" spans="1:18" x14ac:dyDescent="0.25">
      <c r="A392" t="s">
        <v>678</v>
      </c>
      <c r="B392" s="2">
        <v>45462</v>
      </c>
      <c r="C392" t="s">
        <v>30</v>
      </c>
      <c r="D392" t="s">
        <v>31</v>
      </c>
      <c r="E392" t="s">
        <v>142</v>
      </c>
      <c r="F392">
        <v>7.2640000000000002</v>
      </c>
      <c r="G392">
        <v>0</v>
      </c>
      <c r="H392">
        <v>0</v>
      </c>
      <c r="I392">
        <v>20</v>
      </c>
      <c r="J392">
        <v>0</v>
      </c>
      <c r="K392">
        <v>0</v>
      </c>
      <c r="L392" t="s">
        <v>143</v>
      </c>
      <c r="M392">
        <v>20</v>
      </c>
      <c r="N392">
        <v>1</v>
      </c>
      <c r="O392">
        <v>0.9</v>
      </c>
      <c r="P392" t="s">
        <v>114</v>
      </c>
      <c r="Q392">
        <v>0.9</v>
      </c>
      <c r="R392" t="s">
        <v>144</v>
      </c>
    </row>
    <row r="393" spans="1:18" x14ac:dyDescent="0.25">
      <c r="A393" t="s">
        <v>679</v>
      </c>
      <c r="B393" s="2">
        <v>45462</v>
      </c>
      <c r="C393" t="s">
        <v>30</v>
      </c>
      <c r="D393" t="s">
        <v>31</v>
      </c>
      <c r="E393" t="s">
        <v>142</v>
      </c>
      <c r="F393">
        <v>10</v>
      </c>
      <c r="G393">
        <v>3.10000000000006E-2</v>
      </c>
      <c r="H393">
        <v>4.65E-2</v>
      </c>
      <c r="I393">
        <v>20</v>
      </c>
      <c r="J393">
        <v>0</v>
      </c>
      <c r="K393">
        <v>0</v>
      </c>
      <c r="L393" t="s">
        <v>143</v>
      </c>
      <c r="M393">
        <v>20.046500000000002</v>
      </c>
      <c r="N393">
        <v>1</v>
      </c>
      <c r="O393">
        <v>0.9</v>
      </c>
      <c r="P393" t="s">
        <v>114</v>
      </c>
      <c r="Q393">
        <v>0.9</v>
      </c>
      <c r="R393" t="s">
        <v>144</v>
      </c>
    </row>
    <row r="394" spans="1:18" x14ac:dyDescent="0.25">
      <c r="A394" t="s">
        <v>680</v>
      </c>
      <c r="B394" s="2">
        <v>45463</v>
      </c>
      <c r="C394" t="s">
        <v>30</v>
      </c>
      <c r="D394" t="s">
        <v>31</v>
      </c>
      <c r="E394" t="s">
        <v>142</v>
      </c>
      <c r="F394">
        <v>1.607</v>
      </c>
      <c r="G394">
        <v>0</v>
      </c>
      <c r="H394">
        <v>0</v>
      </c>
      <c r="I394">
        <v>20</v>
      </c>
      <c r="J394">
        <v>0</v>
      </c>
      <c r="K394">
        <v>0</v>
      </c>
      <c r="L394" t="s">
        <v>143</v>
      </c>
      <c r="M394">
        <v>20</v>
      </c>
      <c r="N394">
        <v>1</v>
      </c>
      <c r="O394">
        <v>0.9</v>
      </c>
      <c r="P394" t="s">
        <v>114</v>
      </c>
      <c r="Q394">
        <v>0.9</v>
      </c>
      <c r="R394" t="s">
        <v>144</v>
      </c>
    </row>
    <row r="395" spans="1:18" x14ac:dyDescent="0.25">
      <c r="A395" t="s">
        <v>681</v>
      </c>
      <c r="B395" s="2">
        <v>45463</v>
      </c>
      <c r="C395" t="s">
        <v>30</v>
      </c>
      <c r="D395" t="s">
        <v>31</v>
      </c>
      <c r="E395" t="s">
        <v>142</v>
      </c>
      <c r="F395">
        <v>8.9909999999999997</v>
      </c>
      <c r="G395">
        <v>0</v>
      </c>
      <c r="H395">
        <v>0</v>
      </c>
      <c r="I395">
        <v>20</v>
      </c>
      <c r="J395">
        <v>0</v>
      </c>
      <c r="K395">
        <v>0</v>
      </c>
      <c r="L395" t="s">
        <v>143</v>
      </c>
      <c r="M395">
        <v>20</v>
      </c>
      <c r="N395">
        <v>1</v>
      </c>
      <c r="O395">
        <v>0.9</v>
      </c>
      <c r="P395" t="s">
        <v>114</v>
      </c>
      <c r="Q395">
        <v>0.9</v>
      </c>
      <c r="R395" t="s">
        <v>144</v>
      </c>
    </row>
    <row r="396" spans="1:18" x14ac:dyDescent="0.25">
      <c r="A396" t="s">
        <v>682</v>
      </c>
      <c r="B396" s="2">
        <v>45463</v>
      </c>
      <c r="C396" t="s">
        <v>30</v>
      </c>
      <c r="D396" t="s">
        <v>31</v>
      </c>
      <c r="E396" t="s">
        <v>142</v>
      </c>
      <c r="F396">
        <v>10</v>
      </c>
      <c r="G396">
        <v>10.108000000000001</v>
      </c>
      <c r="H396">
        <v>15.162000000000001</v>
      </c>
      <c r="I396">
        <v>20</v>
      </c>
      <c r="J396">
        <v>0</v>
      </c>
      <c r="K396">
        <v>0</v>
      </c>
      <c r="L396" t="s">
        <v>143</v>
      </c>
      <c r="M396">
        <v>35.161999999999999</v>
      </c>
      <c r="N396">
        <v>1</v>
      </c>
      <c r="O396">
        <v>0.9</v>
      </c>
      <c r="P396" t="s">
        <v>114</v>
      </c>
      <c r="Q396">
        <v>0.9</v>
      </c>
      <c r="R396" t="s">
        <v>144</v>
      </c>
    </row>
    <row r="397" spans="1:18" x14ac:dyDescent="0.25">
      <c r="A397" t="s">
        <v>683</v>
      </c>
      <c r="B397" s="2">
        <v>45463</v>
      </c>
      <c r="C397" t="s">
        <v>30</v>
      </c>
      <c r="D397" t="s">
        <v>31</v>
      </c>
      <c r="E397" t="s">
        <v>142</v>
      </c>
      <c r="F397">
        <v>5.4829999999999997</v>
      </c>
      <c r="G397">
        <v>0</v>
      </c>
      <c r="H397">
        <v>0</v>
      </c>
      <c r="I397">
        <v>5</v>
      </c>
      <c r="J397">
        <v>0</v>
      </c>
      <c r="K397">
        <v>0</v>
      </c>
      <c r="L397" t="s">
        <v>684</v>
      </c>
      <c r="M397">
        <v>5</v>
      </c>
      <c r="N397">
        <v>0</v>
      </c>
      <c r="O397">
        <v>0.9</v>
      </c>
      <c r="P397" t="s">
        <v>114</v>
      </c>
      <c r="Q397">
        <v>0</v>
      </c>
      <c r="R397" t="s">
        <v>144</v>
      </c>
    </row>
    <row r="398" spans="1:18" x14ac:dyDescent="0.25">
      <c r="A398" t="s">
        <v>685</v>
      </c>
      <c r="B398" s="2">
        <v>45463</v>
      </c>
      <c r="C398" t="s">
        <v>30</v>
      </c>
      <c r="D398" t="s">
        <v>31</v>
      </c>
      <c r="E398" t="s">
        <v>142</v>
      </c>
      <c r="F398">
        <v>10</v>
      </c>
      <c r="G398">
        <v>2.4830000000000001</v>
      </c>
      <c r="H398">
        <v>3.7244999999999999</v>
      </c>
      <c r="I398">
        <v>20</v>
      </c>
      <c r="J398">
        <v>0</v>
      </c>
      <c r="K398">
        <v>0</v>
      </c>
      <c r="L398" t="s">
        <v>143</v>
      </c>
      <c r="M398">
        <v>23.724499999999999</v>
      </c>
      <c r="N398">
        <v>1</v>
      </c>
      <c r="O398">
        <v>0.9</v>
      </c>
      <c r="P398" t="s">
        <v>114</v>
      </c>
      <c r="Q398">
        <v>0.9</v>
      </c>
      <c r="R398" t="s">
        <v>144</v>
      </c>
    </row>
    <row r="399" spans="1:18" x14ac:dyDescent="0.25">
      <c r="A399" t="s">
        <v>686</v>
      </c>
      <c r="B399" s="2">
        <v>45463</v>
      </c>
      <c r="C399" t="s">
        <v>30</v>
      </c>
      <c r="D399" t="s">
        <v>31</v>
      </c>
      <c r="E399" t="s">
        <v>142</v>
      </c>
      <c r="F399">
        <v>5.6070000000000002</v>
      </c>
      <c r="G399">
        <v>0</v>
      </c>
      <c r="H399">
        <v>0</v>
      </c>
      <c r="I399">
        <v>20</v>
      </c>
      <c r="J399">
        <v>0</v>
      </c>
      <c r="K399">
        <v>0</v>
      </c>
      <c r="L399" t="s">
        <v>687</v>
      </c>
      <c r="M399">
        <v>20</v>
      </c>
      <c r="N399">
        <v>1</v>
      </c>
      <c r="O399">
        <v>0.9</v>
      </c>
      <c r="P399" t="s">
        <v>114</v>
      </c>
      <c r="Q399">
        <v>0.9</v>
      </c>
      <c r="R399" t="s">
        <v>144</v>
      </c>
    </row>
    <row r="400" spans="1:18" x14ac:dyDescent="0.25">
      <c r="A400" t="s">
        <v>688</v>
      </c>
      <c r="B400" s="2">
        <v>45463</v>
      </c>
      <c r="C400" t="s">
        <v>30</v>
      </c>
      <c r="D400" t="s">
        <v>31</v>
      </c>
      <c r="E400" t="s">
        <v>142</v>
      </c>
      <c r="F400">
        <v>1.0740000000000001</v>
      </c>
      <c r="G400">
        <v>0</v>
      </c>
      <c r="H400">
        <v>0</v>
      </c>
      <c r="I400">
        <v>20</v>
      </c>
      <c r="J400">
        <v>0</v>
      </c>
      <c r="K400">
        <v>0</v>
      </c>
      <c r="L400" t="s">
        <v>143</v>
      </c>
      <c r="M400">
        <v>20</v>
      </c>
      <c r="N400">
        <v>1</v>
      </c>
      <c r="O400">
        <v>0.9</v>
      </c>
      <c r="P400" t="s">
        <v>114</v>
      </c>
      <c r="Q400">
        <v>0.9</v>
      </c>
      <c r="R400" t="s">
        <v>144</v>
      </c>
    </row>
    <row r="401" spans="1:18" x14ac:dyDescent="0.25">
      <c r="A401" t="s">
        <v>689</v>
      </c>
      <c r="B401" s="2">
        <v>45463</v>
      </c>
      <c r="C401" t="s">
        <v>30</v>
      </c>
      <c r="D401" t="s">
        <v>31</v>
      </c>
      <c r="E401" t="s">
        <v>142</v>
      </c>
      <c r="F401">
        <v>10</v>
      </c>
      <c r="G401">
        <v>9.5000000000000598E-2</v>
      </c>
      <c r="H401">
        <v>0.14249999999999999</v>
      </c>
      <c r="I401">
        <v>20</v>
      </c>
      <c r="J401">
        <v>0</v>
      </c>
      <c r="K401">
        <v>0</v>
      </c>
      <c r="L401" t="s">
        <v>143</v>
      </c>
      <c r="M401">
        <v>20.142499999999998</v>
      </c>
      <c r="N401">
        <v>1</v>
      </c>
      <c r="O401">
        <v>0.9</v>
      </c>
      <c r="P401" t="s">
        <v>114</v>
      </c>
      <c r="Q401">
        <v>0.9</v>
      </c>
      <c r="R401" t="s">
        <v>144</v>
      </c>
    </row>
    <row r="402" spans="1:18" x14ac:dyDescent="0.25">
      <c r="A402" t="s">
        <v>690</v>
      </c>
      <c r="B402" s="2">
        <v>45463</v>
      </c>
      <c r="C402" t="s">
        <v>30</v>
      </c>
      <c r="D402" t="s">
        <v>31</v>
      </c>
      <c r="E402" t="s">
        <v>142</v>
      </c>
      <c r="F402">
        <v>0.81200000000000006</v>
      </c>
      <c r="G402">
        <v>0</v>
      </c>
      <c r="H402">
        <v>0</v>
      </c>
      <c r="I402">
        <v>20</v>
      </c>
      <c r="J402">
        <v>0</v>
      </c>
      <c r="K402">
        <v>0</v>
      </c>
      <c r="L402" t="s">
        <v>143</v>
      </c>
      <c r="M402">
        <v>20</v>
      </c>
      <c r="N402">
        <v>1</v>
      </c>
      <c r="O402">
        <v>0.9</v>
      </c>
      <c r="P402" t="s">
        <v>114</v>
      </c>
      <c r="Q402">
        <v>0.9</v>
      </c>
      <c r="R402" t="s">
        <v>144</v>
      </c>
    </row>
    <row r="403" spans="1:18" x14ac:dyDescent="0.25">
      <c r="A403" t="s">
        <v>691</v>
      </c>
      <c r="B403" s="2">
        <v>45463</v>
      </c>
      <c r="C403" t="s">
        <v>30</v>
      </c>
      <c r="D403" t="s">
        <v>31</v>
      </c>
      <c r="E403" t="s">
        <v>142</v>
      </c>
      <c r="F403">
        <v>0.94899999999999995</v>
      </c>
      <c r="G403">
        <v>0</v>
      </c>
      <c r="H403">
        <v>0</v>
      </c>
      <c r="I403">
        <v>20</v>
      </c>
      <c r="J403">
        <v>0</v>
      </c>
      <c r="K403">
        <v>0</v>
      </c>
      <c r="L403" t="s">
        <v>143</v>
      </c>
      <c r="M403">
        <v>20</v>
      </c>
      <c r="N403">
        <v>1</v>
      </c>
      <c r="O403">
        <v>0.9</v>
      </c>
      <c r="P403" t="s">
        <v>114</v>
      </c>
      <c r="Q403">
        <v>0.9</v>
      </c>
      <c r="R403" t="s">
        <v>144</v>
      </c>
    </row>
    <row r="404" spans="1:18" x14ac:dyDescent="0.25">
      <c r="A404" t="s">
        <v>692</v>
      </c>
      <c r="B404" s="2">
        <v>45463</v>
      </c>
      <c r="C404" t="s">
        <v>30</v>
      </c>
      <c r="D404" t="s">
        <v>31</v>
      </c>
      <c r="E404" t="s">
        <v>142</v>
      </c>
      <c r="F404">
        <v>2.4430000000000001</v>
      </c>
      <c r="G404">
        <v>0</v>
      </c>
      <c r="H404">
        <v>0</v>
      </c>
      <c r="I404">
        <v>20</v>
      </c>
      <c r="J404">
        <v>0</v>
      </c>
      <c r="K404">
        <v>0</v>
      </c>
      <c r="L404" t="s">
        <v>143</v>
      </c>
      <c r="M404">
        <v>20</v>
      </c>
      <c r="N404">
        <v>1</v>
      </c>
      <c r="O404">
        <v>0.9</v>
      </c>
      <c r="P404" t="s">
        <v>114</v>
      </c>
      <c r="Q404">
        <v>0.9</v>
      </c>
      <c r="R404" t="s">
        <v>144</v>
      </c>
    </row>
    <row r="405" spans="1:18" x14ac:dyDescent="0.25">
      <c r="A405" t="s">
        <v>693</v>
      </c>
      <c r="B405" s="2">
        <v>45463</v>
      </c>
      <c r="C405" t="s">
        <v>30</v>
      </c>
      <c r="D405" t="s">
        <v>31</v>
      </c>
      <c r="E405" t="s">
        <v>142</v>
      </c>
      <c r="F405">
        <v>10</v>
      </c>
      <c r="G405">
        <v>16.748000000000001</v>
      </c>
      <c r="H405">
        <v>25.122</v>
      </c>
      <c r="I405">
        <v>20</v>
      </c>
      <c r="J405">
        <v>0</v>
      </c>
      <c r="K405">
        <v>0</v>
      </c>
      <c r="L405" t="s">
        <v>694</v>
      </c>
      <c r="M405">
        <v>45.122</v>
      </c>
      <c r="N405">
        <v>1</v>
      </c>
      <c r="O405">
        <v>0.9</v>
      </c>
      <c r="P405" t="s">
        <v>114</v>
      </c>
      <c r="Q405">
        <v>0.9</v>
      </c>
      <c r="R405" t="s">
        <v>144</v>
      </c>
    </row>
    <row r="406" spans="1:18" x14ac:dyDescent="0.25">
      <c r="A406" t="s">
        <v>695</v>
      </c>
      <c r="B406" s="2">
        <v>45463</v>
      </c>
      <c r="C406" t="s">
        <v>30</v>
      </c>
      <c r="D406" t="s">
        <v>31</v>
      </c>
      <c r="E406" t="s">
        <v>142</v>
      </c>
      <c r="F406">
        <v>1.23</v>
      </c>
      <c r="G406">
        <v>0</v>
      </c>
      <c r="H406">
        <v>0</v>
      </c>
      <c r="I406">
        <v>5</v>
      </c>
      <c r="J406">
        <v>0</v>
      </c>
      <c r="K406">
        <v>0</v>
      </c>
      <c r="L406" t="s">
        <v>696</v>
      </c>
      <c r="M406">
        <v>5</v>
      </c>
      <c r="N406">
        <v>0</v>
      </c>
      <c r="O406">
        <v>0.9</v>
      </c>
      <c r="P406" t="s">
        <v>114</v>
      </c>
      <c r="Q406">
        <v>0</v>
      </c>
      <c r="R406" t="s">
        <v>144</v>
      </c>
    </row>
    <row r="407" spans="1:18" x14ac:dyDescent="0.25">
      <c r="A407" t="s">
        <v>697</v>
      </c>
      <c r="B407" s="2">
        <v>45464</v>
      </c>
      <c r="C407" t="s">
        <v>30</v>
      </c>
      <c r="D407" t="s">
        <v>31</v>
      </c>
      <c r="E407" t="s">
        <v>142</v>
      </c>
      <c r="F407">
        <v>3.7410000000000001</v>
      </c>
      <c r="G407">
        <v>0</v>
      </c>
      <c r="H407">
        <v>0</v>
      </c>
      <c r="I407">
        <v>5</v>
      </c>
      <c r="J407">
        <v>0</v>
      </c>
      <c r="K407">
        <v>0</v>
      </c>
      <c r="L407" t="s">
        <v>698</v>
      </c>
      <c r="M407">
        <v>5</v>
      </c>
      <c r="N407">
        <v>0</v>
      </c>
      <c r="O407">
        <v>0.9</v>
      </c>
      <c r="P407" t="s">
        <v>114</v>
      </c>
      <c r="Q407">
        <v>0</v>
      </c>
      <c r="R407" t="s">
        <v>144</v>
      </c>
    </row>
    <row r="408" spans="1:18" x14ac:dyDescent="0.25">
      <c r="A408" t="s">
        <v>699</v>
      </c>
      <c r="B408" s="2">
        <v>45464</v>
      </c>
      <c r="C408" t="s">
        <v>30</v>
      </c>
      <c r="D408" t="s">
        <v>31</v>
      </c>
      <c r="E408" t="s">
        <v>142</v>
      </c>
      <c r="F408">
        <v>5.8760000000000003</v>
      </c>
      <c r="G408">
        <v>0</v>
      </c>
      <c r="H408">
        <v>0</v>
      </c>
      <c r="I408">
        <v>20</v>
      </c>
      <c r="J408">
        <v>0</v>
      </c>
      <c r="K408">
        <v>0</v>
      </c>
      <c r="L408" t="s">
        <v>143</v>
      </c>
      <c r="M408">
        <v>20</v>
      </c>
      <c r="N408">
        <v>1</v>
      </c>
      <c r="O408">
        <v>0.9</v>
      </c>
      <c r="P408" t="s">
        <v>114</v>
      </c>
      <c r="Q408">
        <v>0.9</v>
      </c>
      <c r="R408" t="s">
        <v>144</v>
      </c>
    </row>
    <row r="409" spans="1:18" x14ac:dyDescent="0.25">
      <c r="A409" t="s">
        <v>700</v>
      </c>
      <c r="B409" s="2">
        <v>45464</v>
      </c>
      <c r="C409" t="s">
        <v>30</v>
      </c>
      <c r="D409" t="s">
        <v>31</v>
      </c>
      <c r="E409" t="s">
        <v>142</v>
      </c>
      <c r="F409">
        <v>9.3819999999999997</v>
      </c>
      <c r="G409">
        <v>0</v>
      </c>
      <c r="H409">
        <v>0</v>
      </c>
      <c r="I409">
        <v>20</v>
      </c>
      <c r="J409">
        <v>0</v>
      </c>
      <c r="K409">
        <v>0</v>
      </c>
      <c r="L409" t="s">
        <v>701</v>
      </c>
      <c r="M409">
        <v>20</v>
      </c>
      <c r="N409">
        <v>1</v>
      </c>
      <c r="O409">
        <v>0.9</v>
      </c>
      <c r="P409" t="s">
        <v>114</v>
      </c>
      <c r="Q409">
        <v>0.9</v>
      </c>
      <c r="R409" t="s">
        <v>144</v>
      </c>
    </row>
    <row r="410" spans="1:18" x14ac:dyDescent="0.25">
      <c r="A410" t="s">
        <v>702</v>
      </c>
      <c r="B410" s="2">
        <v>45464</v>
      </c>
      <c r="C410" t="s">
        <v>30</v>
      </c>
      <c r="D410" t="s">
        <v>31</v>
      </c>
      <c r="E410" t="s">
        <v>142</v>
      </c>
      <c r="F410">
        <v>3.3319999999999999</v>
      </c>
      <c r="G410">
        <v>0</v>
      </c>
      <c r="H410">
        <v>0</v>
      </c>
      <c r="I410">
        <v>20</v>
      </c>
      <c r="J410">
        <v>0</v>
      </c>
      <c r="K410">
        <v>0</v>
      </c>
      <c r="L410" t="s">
        <v>143</v>
      </c>
      <c r="M410">
        <v>20</v>
      </c>
      <c r="N410">
        <v>1</v>
      </c>
      <c r="O410">
        <v>0.9</v>
      </c>
      <c r="P410" t="s">
        <v>114</v>
      </c>
      <c r="Q410">
        <v>0.9</v>
      </c>
      <c r="R410" t="s">
        <v>144</v>
      </c>
    </row>
    <row r="411" spans="1:18" x14ac:dyDescent="0.25">
      <c r="A411" t="s">
        <v>703</v>
      </c>
      <c r="B411" s="2">
        <v>45464</v>
      </c>
      <c r="C411" t="s">
        <v>30</v>
      </c>
      <c r="D411" t="s">
        <v>31</v>
      </c>
      <c r="E411" t="s">
        <v>142</v>
      </c>
      <c r="F411">
        <v>10</v>
      </c>
      <c r="G411">
        <v>2.5880000000000001</v>
      </c>
      <c r="H411">
        <v>3.8820000000000001</v>
      </c>
      <c r="I411">
        <v>20</v>
      </c>
      <c r="J411">
        <v>0</v>
      </c>
      <c r="K411">
        <v>0</v>
      </c>
      <c r="L411" t="s">
        <v>347</v>
      </c>
      <c r="M411">
        <v>23.882000000000001</v>
      </c>
      <c r="N411">
        <v>1</v>
      </c>
      <c r="O411">
        <v>0.9</v>
      </c>
      <c r="P411" t="s">
        <v>114</v>
      </c>
      <c r="Q411">
        <v>0.9</v>
      </c>
      <c r="R411" t="s">
        <v>144</v>
      </c>
    </row>
    <row r="412" spans="1:18" x14ac:dyDescent="0.25">
      <c r="A412" t="s">
        <v>704</v>
      </c>
      <c r="B412" s="2">
        <v>45464</v>
      </c>
      <c r="C412" t="s">
        <v>30</v>
      </c>
      <c r="D412" t="s">
        <v>31</v>
      </c>
      <c r="E412" t="s">
        <v>142</v>
      </c>
      <c r="F412">
        <v>5.4829999999999997</v>
      </c>
      <c r="G412">
        <v>0</v>
      </c>
      <c r="H412">
        <v>0</v>
      </c>
      <c r="I412">
        <v>20</v>
      </c>
      <c r="J412">
        <v>0</v>
      </c>
      <c r="K412">
        <v>0</v>
      </c>
      <c r="L412" t="s">
        <v>143</v>
      </c>
      <c r="M412">
        <v>20</v>
      </c>
      <c r="N412">
        <v>1</v>
      </c>
      <c r="O412">
        <v>0.9</v>
      </c>
      <c r="P412" t="s">
        <v>114</v>
      </c>
      <c r="Q412">
        <v>0.9</v>
      </c>
      <c r="R412" t="s">
        <v>144</v>
      </c>
    </row>
    <row r="413" spans="1:18" x14ac:dyDescent="0.25">
      <c r="A413" t="s">
        <v>705</v>
      </c>
      <c r="B413" s="2">
        <v>45464</v>
      </c>
      <c r="C413" t="s">
        <v>30</v>
      </c>
      <c r="D413" t="s">
        <v>31</v>
      </c>
      <c r="E413" t="s">
        <v>142</v>
      </c>
      <c r="F413">
        <v>5.2409999999999997</v>
      </c>
      <c r="G413">
        <v>0</v>
      </c>
      <c r="H413">
        <v>0</v>
      </c>
      <c r="I413">
        <v>20</v>
      </c>
      <c r="J413">
        <v>0</v>
      </c>
      <c r="K413">
        <v>0</v>
      </c>
      <c r="L413" t="s">
        <v>143</v>
      </c>
      <c r="M413">
        <v>20</v>
      </c>
      <c r="N413">
        <v>1</v>
      </c>
      <c r="O413">
        <v>0.9</v>
      </c>
      <c r="P413" t="s">
        <v>114</v>
      </c>
      <c r="Q413">
        <v>0.9</v>
      </c>
      <c r="R413" t="s">
        <v>144</v>
      </c>
    </row>
    <row r="414" spans="1:18" x14ac:dyDescent="0.25">
      <c r="A414" t="s">
        <v>706</v>
      </c>
      <c r="B414" s="2">
        <v>45464</v>
      </c>
      <c r="C414" t="s">
        <v>30</v>
      </c>
      <c r="D414" t="s">
        <v>31</v>
      </c>
      <c r="E414" t="s">
        <v>142</v>
      </c>
      <c r="F414">
        <v>7.5529999999999999</v>
      </c>
      <c r="G414">
        <v>0</v>
      </c>
      <c r="H414">
        <v>0</v>
      </c>
      <c r="I414">
        <v>5</v>
      </c>
      <c r="J414">
        <v>0</v>
      </c>
      <c r="K414">
        <v>0</v>
      </c>
      <c r="L414" t="s">
        <v>707</v>
      </c>
      <c r="M414">
        <v>5</v>
      </c>
      <c r="N414">
        <v>0</v>
      </c>
      <c r="O414">
        <v>0.9</v>
      </c>
      <c r="P414" t="s">
        <v>114</v>
      </c>
      <c r="Q414">
        <v>0</v>
      </c>
      <c r="R414" t="s">
        <v>144</v>
      </c>
    </row>
    <row r="415" spans="1:18" x14ac:dyDescent="0.25">
      <c r="A415" t="s">
        <v>708</v>
      </c>
      <c r="B415" s="2">
        <v>45464</v>
      </c>
      <c r="C415" t="s">
        <v>30</v>
      </c>
      <c r="D415" t="s">
        <v>31</v>
      </c>
      <c r="E415" t="s">
        <v>142</v>
      </c>
      <c r="F415">
        <v>10</v>
      </c>
      <c r="G415">
        <v>4.2510000000000003</v>
      </c>
      <c r="H415">
        <v>0</v>
      </c>
      <c r="I415">
        <v>5</v>
      </c>
      <c r="J415">
        <v>0</v>
      </c>
      <c r="K415">
        <v>0</v>
      </c>
      <c r="L415" t="s">
        <v>643</v>
      </c>
      <c r="M415">
        <v>5</v>
      </c>
      <c r="N415">
        <v>0</v>
      </c>
      <c r="O415">
        <v>0.9</v>
      </c>
      <c r="P415" t="s">
        <v>114</v>
      </c>
      <c r="Q415">
        <v>0</v>
      </c>
      <c r="R415" t="s">
        <v>144</v>
      </c>
    </row>
    <row r="416" spans="1:18" x14ac:dyDescent="0.25">
      <c r="A416" t="s">
        <v>709</v>
      </c>
      <c r="B416" s="2">
        <v>45464</v>
      </c>
      <c r="C416" t="s">
        <v>30</v>
      </c>
      <c r="D416" t="s">
        <v>31</v>
      </c>
      <c r="E416" t="s">
        <v>142</v>
      </c>
      <c r="F416">
        <v>0.28899999999999998</v>
      </c>
      <c r="G416">
        <v>0</v>
      </c>
      <c r="H416">
        <v>0</v>
      </c>
      <c r="I416">
        <v>5</v>
      </c>
      <c r="J416">
        <v>0</v>
      </c>
      <c r="K416">
        <v>0</v>
      </c>
      <c r="L416" t="s">
        <v>710</v>
      </c>
      <c r="M416">
        <v>5</v>
      </c>
      <c r="N416">
        <v>0</v>
      </c>
      <c r="O416">
        <v>0.9</v>
      </c>
      <c r="P416" t="s">
        <v>114</v>
      </c>
      <c r="Q416">
        <v>0</v>
      </c>
      <c r="R416" t="s">
        <v>144</v>
      </c>
    </row>
    <row r="417" spans="1:18" x14ac:dyDescent="0.25">
      <c r="A417" t="s">
        <v>711</v>
      </c>
      <c r="B417" s="2">
        <v>45464</v>
      </c>
      <c r="C417" t="s">
        <v>30</v>
      </c>
      <c r="D417" t="s">
        <v>31</v>
      </c>
      <c r="E417" t="s">
        <v>142</v>
      </c>
      <c r="F417">
        <v>6.6</v>
      </c>
      <c r="G417">
        <v>0</v>
      </c>
      <c r="H417">
        <v>0</v>
      </c>
      <c r="I417">
        <v>20</v>
      </c>
      <c r="J417">
        <v>0</v>
      </c>
      <c r="K417">
        <v>0</v>
      </c>
      <c r="L417" t="s">
        <v>143</v>
      </c>
      <c r="M417">
        <v>20</v>
      </c>
      <c r="N417">
        <v>1</v>
      </c>
      <c r="O417">
        <v>0.9</v>
      </c>
      <c r="P417" t="s">
        <v>114</v>
      </c>
      <c r="Q417">
        <v>0.9</v>
      </c>
      <c r="R417" t="s">
        <v>144</v>
      </c>
    </row>
    <row r="418" spans="1:18" x14ac:dyDescent="0.25">
      <c r="A418" t="s">
        <v>712</v>
      </c>
      <c r="B418" s="2">
        <v>45464</v>
      </c>
      <c r="C418" t="s">
        <v>30</v>
      </c>
      <c r="D418" t="s">
        <v>31</v>
      </c>
      <c r="E418" t="s">
        <v>142</v>
      </c>
      <c r="F418">
        <v>1.571</v>
      </c>
      <c r="G418">
        <v>0</v>
      </c>
      <c r="H418">
        <v>0</v>
      </c>
      <c r="I418">
        <v>20</v>
      </c>
      <c r="J418">
        <v>0</v>
      </c>
      <c r="K418">
        <v>0</v>
      </c>
      <c r="L418" t="s">
        <v>143</v>
      </c>
      <c r="M418">
        <v>20</v>
      </c>
      <c r="N418">
        <v>1</v>
      </c>
      <c r="O418">
        <v>0.9</v>
      </c>
      <c r="P418" t="s">
        <v>114</v>
      </c>
      <c r="Q418">
        <v>0.9</v>
      </c>
      <c r="R418" t="s">
        <v>144</v>
      </c>
    </row>
    <row r="419" spans="1:18" x14ac:dyDescent="0.25">
      <c r="A419" t="s">
        <v>713</v>
      </c>
      <c r="B419" s="2">
        <v>45464</v>
      </c>
      <c r="C419" t="s">
        <v>30</v>
      </c>
      <c r="D419" t="s">
        <v>31</v>
      </c>
      <c r="E419" t="s">
        <v>142</v>
      </c>
      <c r="F419">
        <v>2.2789999999999999</v>
      </c>
      <c r="G419">
        <v>0</v>
      </c>
      <c r="H419">
        <v>0</v>
      </c>
      <c r="I419">
        <v>20</v>
      </c>
      <c r="J419">
        <v>0</v>
      </c>
      <c r="K419">
        <v>0</v>
      </c>
      <c r="L419" t="s">
        <v>143</v>
      </c>
      <c r="M419">
        <v>20</v>
      </c>
      <c r="N419">
        <v>1</v>
      </c>
      <c r="O419">
        <v>0.9</v>
      </c>
      <c r="P419" t="s">
        <v>114</v>
      </c>
      <c r="Q419">
        <v>0.9</v>
      </c>
      <c r="R419" t="s">
        <v>144</v>
      </c>
    </row>
    <row r="420" spans="1:18" x14ac:dyDescent="0.25">
      <c r="A420" t="s">
        <v>714</v>
      </c>
      <c r="B420" s="2">
        <v>45467</v>
      </c>
      <c r="C420" t="s">
        <v>30</v>
      </c>
      <c r="D420" t="s">
        <v>31</v>
      </c>
      <c r="E420" t="s">
        <v>142</v>
      </c>
      <c r="F420">
        <v>4.3920000000000003</v>
      </c>
      <c r="G420">
        <v>0</v>
      </c>
      <c r="H420">
        <v>0</v>
      </c>
      <c r="I420">
        <v>20</v>
      </c>
      <c r="J420">
        <v>0</v>
      </c>
      <c r="K420">
        <v>0</v>
      </c>
      <c r="L420" t="s">
        <v>715</v>
      </c>
      <c r="M420">
        <v>20</v>
      </c>
      <c r="N420">
        <v>1</v>
      </c>
      <c r="O420">
        <v>0.9</v>
      </c>
      <c r="P420" t="s">
        <v>115</v>
      </c>
      <c r="Q420">
        <v>0.9</v>
      </c>
      <c r="R420" t="s">
        <v>144</v>
      </c>
    </row>
    <row r="421" spans="1:18" x14ac:dyDescent="0.25">
      <c r="A421" t="s">
        <v>716</v>
      </c>
      <c r="B421" s="2">
        <v>45467</v>
      </c>
      <c r="C421" t="s">
        <v>30</v>
      </c>
      <c r="D421" t="s">
        <v>31</v>
      </c>
      <c r="E421" t="s">
        <v>142</v>
      </c>
      <c r="F421">
        <v>5.2409999999999997</v>
      </c>
      <c r="G421">
        <v>0</v>
      </c>
      <c r="H421">
        <v>0</v>
      </c>
      <c r="I421">
        <v>20</v>
      </c>
      <c r="J421">
        <v>0</v>
      </c>
      <c r="K421">
        <v>0</v>
      </c>
      <c r="L421" t="s">
        <v>143</v>
      </c>
      <c r="M421">
        <v>20</v>
      </c>
      <c r="N421">
        <v>1</v>
      </c>
      <c r="O421">
        <v>0.9</v>
      </c>
      <c r="P421" t="s">
        <v>115</v>
      </c>
      <c r="Q421">
        <v>0.9</v>
      </c>
      <c r="R421" t="s">
        <v>144</v>
      </c>
    </row>
    <row r="422" spans="1:18" x14ac:dyDescent="0.25">
      <c r="A422" t="s">
        <v>717</v>
      </c>
      <c r="B422" s="2">
        <v>45467</v>
      </c>
      <c r="C422" t="s">
        <v>30</v>
      </c>
      <c r="D422" t="s">
        <v>31</v>
      </c>
      <c r="E422" t="s">
        <v>142</v>
      </c>
      <c r="F422">
        <v>2.4940000000000002</v>
      </c>
      <c r="G422">
        <v>0</v>
      </c>
      <c r="H422">
        <v>0</v>
      </c>
      <c r="I422">
        <v>5</v>
      </c>
      <c r="J422">
        <v>0</v>
      </c>
      <c r="K422">
        <v>0</v>
      </c>
      <c r="L422" t="s">
        <v>718</v>
      </c>
      <c r="M422">
        <v>5</v>
      </c>
      <c r="N422">
        <v>0</v>
      </c>
      <c r="O422">
        <v>0.9</v>
      </c>
      <c r="P422" t="s">
        <v>115</v>
      </c>
      <c r="Q422">
        <v>0</v>
      </c>
      <c r="R422" t="s">
        <v>144</v>
      </c>
    </row>
    <row r="423" spans="1:18" x14ac:dyDescent="0.25">
      <c r="A423" t="s">
        <v>719</v>
      </c>
      <c r="B423" s="2">
        <v>45467</v>
      </c>
      <c r="C423" t="s">
        <v>30</v>
      </c>
      <c r="D423" t="s">
        <v>31</v>
      </c>
      <c r="E423" t="s">
        <v>142</v>
      </c>
      <c r="F423">
        <v>10</v>
      </c>
      <c r="G423">
        <v>8.77</v>
      </c>
      <c r="H423">
        <v>13.154999999999999</v>
      </c>
      <c r="I423">
        <v>20</v>
      </c>
      <c r="J423">
        <v>0</v>
      </c>
      <c r="K423">
        <v>0</v>
      </c>
      <c r="L423" t="s">
        <v>720</v>
      </c>
      <c r="M423">
        <v>33.155000000000001</v>
      </c>
      <c r="N423">
        <v>1</v>
      </c>
      <c r="O423">
        <v>0.9</v>
      </c>
      <c r="P423" t="s">
        <v>115</v>
      </c>
      <c r="Q423">
        <v>0.9</v>
      </c>
      <c r="R423" t="s">
        <v>144</v>
      </c>
    </row>
    <row r="424" spans="1:18" x14ac:dyDescent="0.25">
      <c r="A424" t="s">
        <v>721</v>
      </c>
      <c r="B424" s="2">
        <v>45467</v>
      </c>
      <c r="C424" t="s">
        <v>30</v>
      </c>
      <c r="D424" t="s">
        <v>31</v>
      </c>
      <c r="E424" t="s">
        <v>142</v>
      </c>
      <c r="F424">
        <v>5.4829999999999997</v>
      </c>
      <c r="G424">
        <v>0</v>
      </c>
      <c r="H424">
        <v>0</v>
      </c>
      <c r="I424">
        <v>20</v>
      </c>
      <c r="J424">
        <v>0</v>
      </c>
      <c r="K424">
        <v>0</v>
      </c>
      <c r="L424" t="s">
        <v>143</v>
      </c>
      <c r="M424">
        <v>20</v>
      </c>
      <c r="N424">
        <v>1</v>
      </c>
      <c r="O424">
        <v>0.9</v>
      </c>
      <c r="P424" t="s">
        <v>115</v>
      </c>
      <c r="Q424">
        <v>0.9</v>
      </c>
      <c r="R424" t="s">
        <v>144</v>
      </c>
    </row>
    <row r="425" spans="1:18" x14ac:dyDescent="0.25">
      <c r="A425" t="s">
        <v>722</v>
      </c>
      <c r="B425" s="2">
        <v>45467</v>
      </c>
      <c r="C425" t="s">
        <v>30</v>
      </c>
      <c r="D425" t="s">
        <v>31</v>
      </c>
      <c r="E425" t="s">
        <v>142</v>
      </c>
      <c r="F425">
        <v>3.1419999999999999</v>
      </c>
      <c r="G425">
        <v>0</v>
      </c>
      <c r="H425">
        <v>0</v>
      </c>
      <c r="I425">
        <v>20</v>
      </c>
      <c r="J425">
        <v>0</v>
      </c>
      <c r="K425">
        <v>0</v>
      </c>
      <c r="L425" t="s">
        <v>143</v>
      </c>
      <c r="M425">
        <v>20</v>
      </c>
      <c r="N425">
        <v>1</v>
      </c>
      <c r="O425">
        <v>0.9</v>
      </c>
      <c r="P425" t="s">
        <v>115</v>
      </c>
      <c r="Q425">
        <v>0.9</v>
      </c>
      <c r="R425" t="s">
        <v>144</v>
      </c>
    </row>
    <row r="426" spans="1:18" x14ac:dyDescent="0.25">
      <c r="A426" t="s">
        <v>723</v>
      </c>
      <c r="B426" s="2">
        <v>45467</v>
      </c>
      <c r="C426" t="s">
        <v>30</v>
      </c>
      <c r="D426" t="s">
        <v>31</v>
      </c>
      <c r="E426" t="s">
        <v>142</v>
      </c>
      <c r="F426">
        <v>1.607</v>
      </c>
      <c r="G426">
        <v>0</v>
      </c>
      <c r="H426">
        <v>0</v>
      </c>
      <c r="I426">
        <v>20</v>
      </c>
      <c r="J426">
        <v>0</v>
      </c>
      <c r="K426">
        <v>0</v>
      </c>
      <c r="L426" t="s">
        <v>143</v>
      </c>
      <c r="M426">
        <v>20</v>
      </c>
      <c r="N426">
        <v>1</v>
      </c>
      <c r="O426">
        <v>0.9</v>
      </c>
      <c r="P426" t="s">
        <v>115</v>
      </c>
      <c r="Q426">
        <v>0.9</v>
      </c>
      <c r="R426" t="s">
        <v>144</v>
      </c>
    </row>
    <row r="427" spans="1:18" x14ac:dyDescent="0.25">
      <c r="A427" t="s">
        <v>724</v>
      </c>
      <c r="B427" s="2">
        <v>45467</v>
      </c>
      <c r="C427" t="s">
        <v>30</v>
      </c>
      <c r="D427" t="s">
        <v>31</v>
      </c>
      <c r="E427" t="s">
        <v>142</v>
      </c>
      <c r="F427">
        <v>3.5369999999999999</v>
      </c>
      <c r="G427">
        <v>0</v>
      </c>
      <c r="H427">
        <v>0</v>
      </c>
      <c r="I427">
        <v>20</v>
      </c>
      <c r="J427">
        <v>0</v>
      </c>
      <c r="K427">
        <v>0</v>
      </c>
      <c r="L427" t="s">
        <v>143</v>
      </c>
      <c r="M427">
        <v>20</v>
      </c>
      <c r="N427">
        <v>1</v>
      </c>
      <c r="O427">
        <v>0.9</v>
      </c>
      <c r="P427" t="s">
        <v>115</v>
      </c>
      <c r="Q427">
        <v>0.9</v>
      </c>
      <c r="R427" t="s">
        <v>144</v>
      </c>
    </row>
    <row r="428" spans="1:18" x14ac:dyDescent="0.25">
      <c r="A428" t="s">
        <v>725</v>
      </c>
      <c r="B428" s="2">
        <v>45467</v>
      </c>
      <c r="C428" t="s">
        <v>30</v>
      </c>
      <c r="D428" t="s">
        <v>31</v>
      </c>
      <c r="E428" t="s">
        <v>142</v>
      </c>
      <c r="F428">
        <v>3.5289999999999999</v>
      </c>
      <c r="G428">
        <v>0</v>
      </c>
      <c r="H428">
        <v>0</v>
      </c>
      <c r="I428">
        <v>20</v>
      </c>
      <c r="J428">
        <v>0</v>
      </c>
      <c r="K428">
        <v>0</v>
      </c>
      <c r="L428" t="s">
        <v>143</v>
      </c>
      <c r="M428">
        <v>20</v>
      </c>
      <c r="N428">
        <v>1</v>
      </c>
      <c r="O428">
        <v>0.9</v>
      </c>
      <c r="P428" t="s">
        <v>115</v>
      </c>
      <c r="Q428">
        <v>0.9</v>
      </c>
      <c r="R428" t="s">
        <v>144</v>
      </c>
    </row>
    <row r="429" spans="1:18" x14ac:dyDescent="0.25">
      <c r="A429" t="s">
        <v>726</v>
      </c>
      <c r="B429" s="2">
        <v>45467</v>
      </c>
      <c r="C429" t="s">
        <v>30</v>
      </c>
      <c r="D429" t="s">
        <v>31</v>
      </c>
      <c r="E429" t="s">
        <v>142</v>
      </c>
      <c r="F429">
        <v>10</v>
      </c>
      <c r="G429">
        <v>0.443</v>
      </c>
      <c r="H429">
        <v>0</v>
      </c>
      <c r="I429">
        <v>5</v>
      </c>
      <c r="J429">
        <v>0</v>
      </c>
      <c r="K429">
        <v>0</v>
      </c>
      <c r="L429" t="s">
        <v>727</v>
      </c>
      <c r="M429">
        <v>5</v>
      </c>
      <c r="N429">
        <v>0</v>
      </c>
      <c r="O429">
        <v>0.9</v>
      </c>
      <c r="P429" t="s">
        <v>115</v>
      </c>
      <c r="Q429">
        <v>0</v>
      </c>
      <c r="R429" t="s">
        <v>144</v>
      </c>
    </row>
    <row r="430" spans="1:18" x14ac:dyDescent="0.25">
      <c r="A430" t="s">
        <v>728</v>
      </c>
      <c r="B430" s="2">
        <v>45467</v>
      </c>
      <c r="C430" t="s">
        <v>30</v>
      </c>
      <c r="D430" t="s">
        <v>31</v>
      </c>
      <c r="E430" t="s">
        <v>142</v>
      </c>
      <c r="F430">
        <v>1.986</v>
      </c>
      <c r="G430">
        <v>0</v>
      </c>
      <c r="H430">
        <v>0</v>
      </c>
      <c r="I430">
        <v>5</v>
      </c>
      <c r="J430">
        <v>0</v>
      </c>
      <c r="K430">
        <v>0</v>
      </c>
      <c r="L430" t="s">
        <v>729</v>
      </c>
      <c r="M430">
        <v>5</v>
      </c>
      <c r="N430">
        <v>0</v>
      </c>
      <c r="O430">
        <v>0.9</v>
      </c>
      <c r="P430" t="s">
        <v>115</v>
      </c>
      <c r="Q430">
        <v>0</v>
      </c>
      <c r="R430" t="s">
        <v>144</v>
      </c>
    </row>
    <row r="431" spans="1:18" x14ac:dyDescent="0.25">
      <c r="A431" t="s">
        <v>730</v>
      </c>
      <c r="B431" s="2">
        <v>45467</v>
      </c>
      <c r="C431" t="s">
        <v>30</v>
      </c>
      <c r="D431" t="s">
        <v>31</v>
      </c>
      <c r="E431" t="s">
        <v>142</v>
      </c>
      <c r="F431">
        <v>4.1449999999999996</v>
      </c>
      <c r="G431">
        <v>0</v>
      </c>
      <c r="H431">
        <v>0</v>
      </c>
      <c r="I431">
        <v>20</v>
      </c>
      <c r="J431">
        <v>0</v>
      </c>
      <c r="K431">
        <v>0</v>
      </c>
      <c r="L431" t="s">
        <v>143</v>
      </c>
      <c r="M431">
        <v>20</v>
      </c>
      <c r="N431">
        <v>1</v>
      </c>
      <c r="O431">
        <v>0.9</v>
      </c>
      <c r="P431" t="s">
        <v>115</v>
      </c>
      <c r="Q431">
        <v>0.9</v>
      </c>
      <c r="R431" t="s">
        <v>144</v>
      </c>
    </row>
    <row r="432" spans="1:18" x14ac:dyDescent="0.25">
      <c r="A432" t="s">
        <v>731</v>
      </c>
      <c r="B432" s="2">
        <v>45467</v>
      </c>
      <c r="C432" t="s">
        <v>30</v>
      </c>
      <c r="D432" t="s">
        <v>31</v>
      </c>
      <c r="E432" t="s">
        <v>142</v>
      </c>
      <c r="F432">
        <v>1.214</v>
      </c>
      <c r="G432">
        <v>0</v>
      </c>
      <c r="H432">
        <v>0</v>
      </c>
      <c r="I432">
        <v>5</v>
      </c>
      <c r="J432">
        <v>0</v>
      </c>
      <c r="K432">
        <v>0</v>
      </c>
      <c r="L432" t="s">
        <v>643</v>
      </c>
      <c r="M432">
        <v>5</v>
      </c>
      <c r="N432">
        <v>0</v>
      </c>
      <c r="O432">
        <v>0.9</v>
      </c>
      <c r="P432" t="s">
        <v>115</v>
      </c>
      <c r="Q432">
        <v>0</v>
      </c>
      <c r="R432" t="s">
        <v>144</v>
      </c>
    </row>
    <row r="433" spans="1:18" x14ac:dyDescent="0.25">
      <c r="A433" t="s">
        <v>732</v>
      </c>
      <c r="B433" s="2">
        <v>45468</v>
      </c>
      <c r="C433" t="s">
        <v>30</v>
      </c>
      <c r="D433" t="s">
        <v>31</v>
      </c>
      <c r="E433" t="s">
        <v>142</v>
      </c>
      <c r="F433">
        <v>4.5510000000000002</v>
      </c>
      <c r="G433">
        <v>0</v>
      </c>
      <c r="H433">
        <v>0</v>
      </c>
      <c r="I433">
        <v>20</v>
      </c>
      <c r="J433">
        <v>0</v>
      </c>
      <c r="K433">
        <v>0</v>
      </c>
      <c r="L433" t="s">
        <v>733</v>
      </c>
      <c r="M433">
        <v>20</v>
      </c>
      <c r="N433">
        <v>1</v>
      </c>
      <c r="O433">
        <v>0.9</v>
      </c>
      <c r="P433" t="s">
        <v>115</v>
      </c>
      <c r="Q433">
        <v>0.9</v>
      </c>
      <c r="R433" t="s">
        <v>144</v>
      </c>
    </row>
    <row r="434" spans="1:18" x14ac:dyDescent="0.25">
      <c r="A434" t="s">
        <v>734</v>
      </c>
      <c r="B434" s="2">
        <v>45468</v>
      </c>
      <c r="C434" t="s">
        <v>30</v>
      </c>
      <c r="D434" t="s">
        <v>31</v>
      </c>
      <c r="E434" t="s">
        <v>142</v>
      </c>
      <c r="F434">
        <v>1.97</v>
      </c>
      <c r="G434">
        <v>0</v>
      </c>
      <c r="H434">
        <v>0</v>
      </c>
      <c r="I434">
        <v>20</v>
      </c>
      <c r="J434">
        <v>0</v>
      </c>
      <c r="K434">
        <v>0</v>
      </c>
      <c r="L434" t="s">
        <v>735</v>
      </c>
      <c r="M434">
        <v>20</v>
      </c>
      <c r="N434">
        <v>1</v>
      </c>
      <c r="O434">
        <v>0.9</v>
      </c>
      <c r="P434" t="s">
        <v>115</v>
      </c>
      <c r="Q434">
        <v>0.9</v>
      </c>
      <c r="R434" t="s">
        <v>144</v>
      </c>
    </row>
    <row r="435" spans="1:18" x14ac:dyDescent="0.25">
      <c r="A435" t="s">
        <v>736</v>
      </c>
      <c r="B435" s="2">
        <v>45468</v>
      </c>
      <c r="C435" t="s">
        <v>30</v>
      </c>
      <c r="D435" t="s">
        <v>31</v>
      </c>
      <c r="E435" t="s">
        <v>142</v>
      </c>
      <c r="F435">
        <v>1.6639999999999999</v>
      </c>
      <c r="G435">
        <v>0</v>
      </c>
      <c r="H435">
        <v>0</v>
      </c>
      <c r="I435">
        <v>20</v>
      </c>
      <c r="J435">
        <v>0</v>
      </c>
      <c r="K435">
        <v>0</v>
      </c>
      <c r="L435" t="s">
        <v>143</v>
      </c>
      <c r="M435">
        <v>20</v>
      </c>
      <c r="N435">
        <v>1</v>
      </c>
      <c r="O435">
        <v>0.9</v>
      </c>
      <c r="P435" t="s">
        <v>115</v>
      </c>
      <c r="Q435">
        <v>0.9</v>
      </c>
      <c r="R435" t="s">
        <v>144</v>
      </c>
    </row>
    <row r="436" spans="1:18" x14ac:dyDescent="0.25">
      <c r="A436" t="s">
        <v>737</v>
      </c>
      <c r="B436" s="2">
        <v>45468</v>
      </c>
      <c r="C436" t="s">
        <v>30</v>
      </c>
      <c r="D436" t="s">
        <v>31</v>
      </c>
      <c r="E436" t="s">
        <v>142</v>
      </c>
      <c r="F436">
        <v>10</v>
      </c>
      <c r="G436">
        <v>2.1259999999999999</v>
      </c>
      <c r="H436">
        <v>3.1890000000000001</v>
      </c>
      <c r="I436">
        <v>20</v>
      </c>
      <c r="J436">
        <v>0</v>
      </c>
      <c r="K436">
        <v>0</v>
      </c>
      <c r="L436" t="s">
        <v>143</v>
      </c>
      <c r="M436">
        <v>23.189</v>
      </c>
      <c r="N436">
        <v>1</v>
      </c>
      <c r="O436">
        <v>0.9</v>
      </c>
      <c r="P436" t="s">
        <v>115</v>
      </c>
      <c r="Q436">
        <v>0.9</v>
      </c>
      <c r="R436" t="s">
        <v>144</v>
      </c>
    </row>
    <row r="437" spans="1:18" x14ac:dyDescent="0.25">
      <c r="A437" t="s">
        <v>738</v>
      </c>
      <c r="B437" s="2">
        <v>45468</v>
      </c>
      <c r="C437" t="s">
        <v>30</v>
      </c>
      <c r="D437" t="s">
        <v>31</v>
      </c>
      <c r="E437" t="s">
        <v>142</v>
      </c>
      <c r="F437">
        <v>10</v>
      </c>
      <c r="G437">
        <v>6.915</v>
      </c>
      <c r="H437">
        <v>10.3725</v>
      </c>
      <c r="I437">
        <v>20</v>
      </c>
      <c r="J437">
        <v>0</v>
      </c>
      <c r="K437">
        <v>0</v>
      </c>
      <c r="L437" t="s">
        <v>143</v>
      </c>
      <c r="M437">
        <v>30.372499999999999</v>
      </c>
      <c r="N437">
        <v>1</v>
      </c>
      <c r="O437">
        <v>0.9</v>
      </c>
      <c r="P437" t="s">
        <v>115</v>
      </c>
      <c r="Q437">
        <v>0.9</v>
      </c>
      <c r="R437" t="s">
        <v>144</v>
      </c>
    </row>
    <row r="438" spans="1:18" x14ac:dyDescent="0.25">
      <c r="A438" t="s">
        <v>739</v>
      </c>
      <c r="B438" s="2">
        <v>45468</v>
      </c>
      <c r="C438" t="s">
        <v>30</v>
      </c>
      <c r="D438" t="s">
        <v>31</v>
      </c>
      <c r="E438" t="s">
        <v>142</v>
      </c>
      <c r="F438">
        <v>1.0629999999999999</v>
      </c>
      <c r="G438">
        <v>0</v>
      </c>
      <c r="H438">
        <v>0</v>
      </c>
      <c r="I438">
        <v>20</v>
      </c>
      <c r="J438">
        <v>0</v>
      </c>
      <c r="K438">
        <v>0</v>
      </c>
      <c r="L438" t="s">
        <v>143</v>
      </c>
      <c r="M438">
        <v>20</v>
      </c>
      <c r="N438">
        <v>1</v>
      </c>
      <c r="O438">
        <v>0.9</v>
      </c>
      <c r="P438" t="s">
        <v>115</v>
      </c>
      <c r="Q438">
        <v>0.9</v>
      </c>
      <c r="R438" t="s">
        <v>144</v>
      </c>
    </row>
    <row r="439" spans="1:18" x14ac:dyDescent="0.25">
      <c r="A439" t="s">
        <v>740</v>
      </c>
      <c r="B439" s="2">
        <v>45468</v>
      </c>
      <c r="C439" t="s">
        <v>30</v>
      </c>
      <c r="D439" t="s">
        <v>31</v>
      </c>
      <c r="E439" t="s">
        <v>142</v>
      </c>
      <c r="F439">
        <v>0.89900000000000002</v>
      </c>
      <c r="G439">
        <v>0</v>
      </c>
      <c r="H439">
        <v>0</v>
      </c>
      <c r="I439">
        <v>5</v>
      </c>
      <c r="J439">
        <v>0</v>
      </c>
      <c r="K439">
        <v>0</v>
      </c>
      <c r="L439" t="s">
        <v>741</v>
      </c>
      <c r="M439">
        <v>5</v>
      </c>
      <c r="N439">
        <v>0</v>
      </c>
      <c r="O439">
        <v>0.9</v>
      </c>
      <c r="P439" t="s">
        <v>115</v>
      </c>
      <c r="Q439">
        <v>0</v>
      </c>
      <c r="R439" t="s">
        <v>144</v>
      </c>
    </row>
    <row r="440" spans="1:18" x14ac:dyDescent="0.25">
      <c r="A440" t="s">
        <v>742</v>
      </c>
      <c r="B440" s="2">
        <v>45468</v>
      </c>
      <c r="C440" t="s">
        <v>30</v>
      </c>
      <c r="D440" t="s">
        <v>31</v>
      </c>
      <c r="E440" t="s">
        <v>142</v>
      </c>
      <c r="F440">
        <v>1.113</v>
      </c>
      <c r="G440">
        <v>0</v>
      </c>
      <c r="H440">
        <v>0</v>
      </c>
      <c r="I440">
        <v>20</v>
      </c>
      <c r="J440">
        <v>0</v>
      </c>
      <c r="K440">
        <v>0</v>
      </c>
      <c r="L440" t="s">
        <v>143</v>
      </c>
      <c r="M440">
        <v>20</v>
      </c>
      <c r="N440">
        <v>1</v>
      </c>
      <c r="O440">
        <v>0.9</v>
      </c>
      <c r="P440" t="s">
        <v>115</v>
      </c>
      <c r="Q440">
        <v>0.9</v>
      </c>
      <c r="R440" t="s">
        <v>144</v>
      </c>
    </row>
    <row r="441" spans="1:18" x14ac:dyDescent="0.25">
      <c r="A441" t="s">
        <v>743</v>
      </c>
      <c r="B441" s="2">
        <v>45468</v>
      </c>
      <c r="C441" t="s">
        <v>30</v>
      </c>
      <c r="D441" t="s">
        <v>31</v>
      </c>
      <c r="E441" t="s">
        <v>142</v>
      </c>
      <c r="F441">
        <v>0.86399999999999999</v>
      </c>
      <c r="G441">
        <v>0</v>
      </c>
      <c r="H441">
        <v>0</v>
      </c>
      <c r="I441">
        <v>20</v>
      </c>
      <c r="J441">
        <v>0</v>
      </c>
      <c r="K441">
        <v>0</v>
      </c>
      <c r="L441" t="s">
        <v>143</v>
      </c>
      <c r="M441">
        <v>20</v>
      </c>
      <c r="N441">
        <v>1</v>
      </c>
      <c r="O441">
        <v>0.9</v>
      </c>
      <c r="P441" t="s">
        <v>115</v>
      </c>
      <c r="Q441">
        <v>0.9</v>
      </c>
      <c r="R441" t="s">
        <v>144</v>
      </c>
    </row>
    <row r="442" spans="1:18" x14ac:dyDescent="0.25">
      <c r="A442" t="s">
        <v>744</v>
      </c>
      <c r="B442" s="2">
        <v>45468</v>
      </c>
      <c r="C442" t="s">
        <v>30</v>
      </c>
      <c r="D442" t="s">
        <v>31</v>
      </c>
      <c r="E442" t="s">
        <v>142</v>
      </c>
      <c r="F442">
        <v>5.9050000000000002</v>
      </c>
      <c r="G442">
        <v>0</v>
      </c>
      <c r="H442">
        <v>0</v>
      </c>
      <c r="I442">
        <v>20</v>
      </c>
      <c r="J442">
        <v>0</v>
      </c>
      <c r="K442">
        <v>0</v>
      </c>
      <c r="L442" t="s">
        <v>143</v>
      </c>
      <c r="M442">
        <v>20</v>
      </c>
      <c r="N442">
        <v>1</v>
      </c>
      <c r="O442">
        <v>0.9</v>
      </c>
      <c r="P442" t="s">
        <v>115</v>
      </c>
      <c r="Q442">
        <v>0.9</v>
      </c>
      <c r="R442" t="s">
        <v>144</v>
      </c>
    </row>
    <row r="443" spans="1:18" x14ac:dyDescent="0.25">
      <c r="A443" t="s">
        <v>745</v>
      </c>
      <c r="B443" s="2">
        <v>45468</v>
      </c>
      <c r="C443" t="s">
        <v>30</v>
      </c>
      <c r="D443" t="s">
        <v>31</v>
      </c>
      <c r="E443" t="s">
        <v>142</v>
      </c>
      <c r="F443">
        <v>4.7210000000000001</v>
      </c>
      <c r="G443">
        <v>0</v>
      </c>
      <c r="H443">
        <v>0</v>
      </c>
      <c r="I443">
        <v>20</v>
      </c>
      <c r="J443">
        <v>0</v>
      </c>
      <c r="K443">
        <v>0</v>
      </c>
      <c r="L443" t="s">
        <v>143</v>
      </c>
      <c r="M443">
        <v>20</v>
      </c>
      <c r="N443">
        <v>1</v>
      </c>
      <c r="O443">
        <v>0.9</v>
      </c>
      <c r="P443" t="s">
        <v>115</v>
      </c>
      <c r="Q443">
        <v>0.9</v>
      </c>
      <c r="R443" t="s">
        <v>144</v>
      </c>
    </row>
    <row r="444" spans="1:18" x14ac:dyDescent="0.25">
      <c r="A444" t="s">
        <v>746</v>
      </c>
      <c r="B444" s="2">
        <v>45468</v>
      </c>
      <c r="C444" t="s">
        <v>30</v>
      </c>
      <c r="D444" t="s">
        <v>31</v>
      </c>
      <c r="E444" t="s">
        <v>142</v>
      </c>
      <c r="F444">
        <v>10</v>
      </c>
      <c r="G444">
        <v>2.0830000000000002</v>
      </c>
      <c r="H444">
        <v>3.1244999999999998</v>
      </c>
      <c r="I444">
        <v>20</v>
      </c>
      <c r="J444">
        <v>0</v>
      </c>
      <c r="K444">
        <v>0</v>
      </c>
      <c r="L444" t="s">
        <v>747</v>
      </c>
      <c r="M444">
        <v>23.124500000000001</v>
      </c>
      <c r="N444">
        <v>1</v>
      </c>
      <c r="O444">
        <v>0.9</v>
      </c>
      <c r="P444" t="s">
        <v>115</v>
      </c>
      <c r="Q444">
        <v>0.9</v>
      </c>
      <c r="R444" t="s">
        <v>144</v>
      </c>
    </row>
    <row r="445" spans="1:18" x14ac:dyDescent="0.25">
      <c r="A445" t="s">
        <v>748</v>
      </c>
      <c r="B445" s="2">
        <v>45469</v>
      </c>
      <c r="C445" t="s">
        <v>30</v>
      </c>
      <c r="D445" t="s">
        <v>31</v>
      </c>
      <c r="E445" t="s">
        <v>142</v>
      </c>
      <c r="F445">
        <v>8.6950000000000003</v>
      </c>
      <c r="G445">
        <v>0</v>
      </c>
      <c r="H445">
        <v>0</v>
      </c>
      <c r="I445">
        <v>5</v>
      </c>
      <c r="J445">
        <v>0</v>
      </c>
      <c r="K445">
        <v>0</v>
      </c>
      <c r="L445" t="s">
        <v>749</v>
      </c>
      <c r="M445">
        <v>5</v>
      </c>
      <c r="N445">
        <v>0</v>
      </c>
      <c r="O445">
        <v>0.9</v>
      </c>
      <c r="P445" t="s">
        <v>115</v>
      </c>
      <c r="Q445">
        <v>0</v>
      </c>
      <c r="R445" t="s">
        <v>144</v>
      </c>
    </row>
    <row r="446" spans="1:18" x14ac:dyDescent="0.25">
      <c r="A446" t="s">
        <v>750</v>
      </c>
      <c r="B446" s="2">
        <v>45469</v>
      </c>
      <c r="C446" t="s">
        <v>30</v>
      </c>
      <c r="D446" t="s">
        <v>31</v>
      </c>
      <c r="E446" t="s">
        <v>142</v>
      </c>
      <c r="F446">
        <v>6.2939999999999996</v>
      </c>
      <c r="G446">
        <v>0</v>
      </c>
      <c r="H446">
        <v>0</v>
      </c>
      <c r="I446">
        <v>20</v>
      </c>
      <c r="J446">
        <v>0</v>
      </c>
      <c r="K446">
        <v>0</v>
      </c>
      <c r="L446" t="s">
        <v>143</v>
      </c>
      <c r="M446">
        <v>20</v>
      </c>
      <c r="N446">
        <v>1</v>
      </c>
      <c r="O446">
        <v>0.9</v>
      </c>
      <c r="P446" t="s">
        <v>115</v>
      </c>
      <c r="Q446">
        <v>0.9</v>
      </c>
      <c r="R446" t="s">
        <v>144</v>
      </c>
    </row>
    <row r="447" spans="1:18" x14ac:dyDescent="0.25">
      <c r="A447" t="s">
        <v>751</v>
      </c>
      <c r="B447" s="2">
        <v>45469</v>
      </c>
      <c r="C447" t="s">
        <v>30</v>
      </c>
      <c r="D447" t="s">
        <v>31</v>
      </c>
      <c r="E447" t="s">
        <v>142</v>
      </c>
      <c r="F447">
        <v>8.6039999999999992</v>
      </c>
      <c r="G447">
        <v>0</v>
      </c>
      <c r="H447">
        <v>0</v>
      </c>
      <c r="I447">
        <v>5</v>
      </c>
      <c r="J447">
        <v>0</v>
      </c>
      <c r="K447">
        <v>0</v>
      </c>
      <c r="L447" t="s">
        <v>752</v>
      </c>
      <c r="M447">
        <v>5</v>
      </c>
      <c r="N447">
        <v>0</v>
      </c>
      <c r="O447">
        <v>0.9</v>
      </c>
      <c r="P447" t="s">
        <v>115</v>
      </c>
      <c r="Q447">
        <v>0</v>
      </c>
      <c r="R447" t="s">
        <v>144</v>
      </c>
    </row>
    <row r="448" spans="1:18" x14ac:dyDescent="0.25">
      <c r="A448" t="s">
        <v>753</v>
      </c>
      <c r="B448" s="2">
        <v>45469</v>
      </c>
      <c r="C448" t="s">
        <v>30</v>
      </c>
      <c r="D448" t="s">
        <v>31</v>
      </c>
      <c r="E448" t="s">
        <v>142</v>
      </c>
      <c r="F448">
        <v>3.0649999999999999</v>
      </c>
      <c r="G448">
        <v>0</v>
      </c>
      <c r="H448">
        <v>0</v>
      </c>
      <c r="I448">
        <v>20</v>
      </c>
      <c r="J448">
        <v>0</v>
      </c>
      <c r="K448">
        <v>0</v>
      </c>
      <c r="L448" t="s">
        <v>143</v>
      </c>
      <c r="M448">
        <v>20</v>
      </c>
      <c r="N448">
        <v>1</v>
      </c>
      <c r="O448">
        <v>0.9</v>
      </c>
      <c r="P448" t="s">
        <v>115</v>
      </c>
      <c r="Q448">
        <v>0.9</v>
      </c>
      <c r="R448" t="s">
        <v>144</v>
      </c>
    </row>
    <row r="449" spans="1:18" x14ac:dyDescent="0.25">
      <c r="A449" t="s">
        <v>754</v>
      </c>
      <c r="B449" s="2">
        <v>45469</v>
      </c>
      <c r="C449" t="s">
        <v>30</v>
      </c>
      <c r="D449" t="s">
        <v>31</v>
      </c>
      <c r="E449" t="s">
        <v>142</v>
      </c>
      <c r="F449">
        <v>0.80800000000000005</v>
      </c>
      <c r="G449">
        <v>0</v>
      </c>
      <c r="H449">
        <v>0</v>
      </c>
      <c r="I449">
        <v>20</v>
      </c>
      <c r="J449">
        <v>0</v>
      </c>
      <c r="K449">
        <v>0</v>
      </c>
      <c r="L449" t="s">
        <v>143</v>
      </c>
      <c r="M449">
        <v>20</v>
      </c>
      <c r="N449">
        <v>1</v>
      </c>
      <c r="O449">
        <v>0.9</v>
      </c>
      <c r="P449" t="s">
        <v>115</v>
      </c>
      <c r="Q449">
        <v>0.9</v>
      </c>
      <c r="R449" t="s">
        <v>144</v>
      </c>
    </row>
    <row r="450" spans="1:18" x14ac:dyDescent="0.25">
      <c r="A450" t="s">
        <v>755</v>
      </c>
      <c r="B450" s="2">
        <v>45469</v>
      </c>
      <c r="C450" t="s">
        <v>30</v>
      </c>
      <c r="D450" t="s">
        <v>31</v>
      </c>
      <c r="E450" t="s">
        <v>142</v>
      </c>
      <c r="F450">
        <v>5.8920000000000003</v>
      </c>
      <c r="G450">
        <v>0</v>
      </c>
      <c r="H450">
        <v>0</v>
      </c>
      <c r="I450">
        <v>20</v>
      </c>
      <c r="J450">
        <v>0</v>
      </c>
      <c r="K450">
        <v>0</v>
      </c>
      <c r="L450" t="s">
        <v>143</v>
      </c>
      <c r="M450">
        <v>20</v>
      </c>
      <c r="N450">
        <v>1</v>
      </c>
      <c r="O450">
        <v>0.9</v>
      </c>
      <c r="P450" t="s">
        <v>115</v>
      </c>
      <c r="Q450">
        <v>0.9</v>
      </c>
      <c r="R450" t="s">
        <v>144</v>
      </c>
    </row>
    <row r="451" spans="1:18" x14ac:dyDescent="0.25">
      <c r="A451" t="s">
        <v>756</v>
      </c>
      <c r="B451" s="2">
        <v>45469</v>
      </c>
      <c r="C451" t="s">
        <v>30</v>
      </c>
      <c r="D451" t="s">
        <v>31</v>
      </c>
      <c r="E451" t="s">
        <v>142</v>
      </c>
      <c r="F451">
        <v>5.84</v>
      </c>
      <c r="G451">
        <v>0</v>
      </c>
      <c r="H451">
        <v>0</v>
      </c>
      <c r="I451">
        <v>20</v>
      </c>
      <c r="J451">
        <v>0</v>
      </c>
      <c r="K451">
        <v>0</v>
      </c>
      <c r="L451" t="s">
        <v>143</v>
      </c>
      <c r="M451">
        <v>20</v>
      </c>
      <c r="N451">
        <v>1</v>
      </c>
      <c r="O451">
        <v>0.9</v>
      </c>
      <c r="P451" t="s">
        <v>115</v>
      </c>
      <c r="Q451">
        <v>0.9</v>
      </c>
      <c r="R451" t="s">
        <v>144</v>
      </c>
    </row>
    <row r="452" spans="1:18" x14ac:dyDescent="0.25">
      <c r="A452" t="s">
        <v>757</v>
      </c>
      <c r="B452" s="2">
        <v>45469</v>
      </c>
      <c r="C452" t="s">
        <v>30</v>
      </c>
      <c r="D452" t="s">
        <v>31</v>
      </c>
      <c r="E452" t="s">
        <v>142</v>
      </c>
      <c r="F452">
        <v>10</v>
      </c>
      <c r="G452">
        <v>1.879</v>
      </c>
      <c r="H452">
        <v>0</v>
      </c>
      <c r="I452">
        <v>5</v>
      </c>
      <c r="J452">
        <v>0</v>
      </c>
      <c r="K452">
        <v>0</v>
      </c>
      <c r="L452" t="s">
        <v>758</v>
      </c>
      <c r="M452">
        <v>5</v>
      </c>
      <c r="N452">
        <v>0</v>
      </c>
      <c r="O452">
        <v>0.9</v>
      </c>
      <c r="P452" t="s">
        <v>115</v>
      </c>
      <c r="Q452">
        <v>0</v>
      </c>
      <c r="R452" t="s">
        <v>144</v>
      </c>
    </row>
    <row r="453" spans="1:18" x14ac:dyDescent="0.25">
      <c r="A453" t="s">
        <v>759</v>
      </c>
      <c r="B453" s="2">
        <v>45469</v>
      </c>
      <c r="C453" t="s">
        <v>30</v>
      </c>
      <c r="D453" t="s">
        <v>31</v>
      </c>
      <c r="E453" t="s">
        <v>142</v>
      </c>
      <c r="F453">
        <v>7.548</v>
      </c>
      <c r="G453">
        <v>0</v>
      </c>
      <c r="H453">
        <v>0</v>
      </c>
      <c r="I453">
        <v>20</v>
      </c>
      <c r="J453">
        <v>0</v>
      </c>
      <c r="K453">
        <v>0</v>
      </c>
      <c r="L453" t="s">
        <v>143</v>
      </c>
      <c r="M453">
        <v>20</v>
      </c>
      <c r="N453">
        <v>1</v>
      </c>
      <c r="O453">
        <v>0.9</v>
      </c>
      <c r="P453" t="s">
        <v>115</v>
      </c>
      <c r="Q453">
        <v>0.9</v>
      </c>
      <c r="R453" t="s">
        <v>144</v>
      </c>
    </row>
    <row r="454" spans="1:18" x14ac:dyDescent="0.25">
      <c r="A454" t="s">
        <v>760</v>
      </c>
      <c r="B454" s="2">
        <v>45469</v>
      </c>
      <c r="C454" t="s">
        <v>30</v>
      </c>
      <c r="D454" t="s">
        <v>31</v>
      </c>
      <c r="E454" t="s">
        <v>142</v>
      </c>
      <c r="F454">
        <v>7.67</v>
      </c>
      <c r="G454">
        <v>0</v>
      </c>
      <c r="H454">
        <v>0</v>
      </c>
      <c r="I454">
        <v>20</v>
      </c>
      <c r="J454">
        <v>0</v>
      </c>
      <c r="K454">
        <v>0</v>
      </c>
      <c r="L454" t="s">
        <v>761</v>
      </c>
      <c r="M454">
        <v>20</v>
      </c>
      <c r="N454">
        <v>1</v>
      </c>
      <c r="O454">
        <v>0.9</v>
      </c>
      <c r="P454" t="s">
        <v>115</v>
      </c>
      <c r="Q454">
        <v>0.9</v>
      </c>
      <c r="R454" t="s">
        <v>144</v>
      </c>
    </row>
    <row r="455" spans="1:18" x14ac:dyDescent="0.25">
      <c r="A455" t="s">
        <v>762</v>
      </c>
      <c r="B455" s="2">
        <v>45470</v>
      </c>
      <c r="C455" t="s">
        <v>30</v>
      </c>
      <c r="D455" t="s">
        <v>31</v>
      </c>
      <c r="E455" t="s">
        <v>142</v>
      </c>
      <c r="F455">
        <v>7.6859999999999999</v>
      </c>
      <c r="G455">
        <v>0</v>
      </c>
      <c r="H455">
        <v>0</v>
      </c>
      <c r="I455">
        <v>20</v>
      </c>
      <c r="J455">
        <v>0</v>
      </c>
      <c r="K455">
        <v>0</v>
      </c>
      <c r="L455" t="s">
        <v>763</v>
      </c>
      <c r="M455">
        <v>20</v>
      </c>
      <c r="N455">
        <v>1</v>
      </c>
      <c r="O455">
        <v>0.9</v>
      </c>
      <c r="P455" t="s">
        <v>115</v>
      </c>
      <c r="Q455">
        <v>0.9</v>
      </c>
      <c r="R455" t="s">
        <v>144</v>
      </c>
    </row>
    <row r="456" spans="1:18" x14ac:dyDescent="0.25">
      <c r="A456" t="s">
        <v>764</v>
      </c>
      <c r="B456" s="2">
        <v>45470</v>
      </c>
      <c r="C456" t="s">
        <v>30</v>
      </c>
      <c r="D456" t="s">
        <v>31</v>
      </c>
      <c r="E456" t="s">
        <v>142</v>
      </c>
      <c r="F456">
        <v>2.7629999999999999</v>
      </c>
      <c r="G456">
        <v>0</v>
      </c>
      <c r="H456">
        <v>0</v>
      </c>
      <c r="I456">
        <v>20</v>
      </c>
      <c r="J456">
        <v>0</v>
      </c>
      <c r="K456">
        <v>0</v>
      </c>
      <c r="L456" t="s">
        <v>143</v>
      </c>
      <c r="M456">
        <v>20</v>
      </c>
      <c r="N456">
        <v>1</v>
      </c>
      <c r="O456">
        <v>0.9</v>
      </c>
      <c r="P456" t="s">
        <v>115</v>
      </c>
      <c r="Q456">
        <v>0.9</v>
      </c>
      <c r="R456" t="s">
        <v>144</v>
      </c>
    </row>
    <row r="457" spans="1:18" x14ac:dyDescent="0.25">
      <c r="A457" t="s">
        <v>765</v>
      </c>
      <c r="B457" s="2">
        <v>45470</v>
      </c>
      <c r="C457" t="s">
        <v>30</v>
      </c>
      <c r="D457" t="s">
        <v>31</v>
      </c>
      <c r="E457" t="s">
        <v>142</v>
      </c>
      <c r="F457">
        <v>1.823</v>
      </c>
      <c r="G457">
        <v>0</v>
      </c>
      <c r="H457">
        <v>0</v>
      </c>
      <c r="I457">
        <v>20</v>
      </c>
      <c r="J457">
        <v>0</v>
      </c>
      <c r="K457">
        <v>0</v>
      </c>
      <c r="L457" t="s">
        <v>143</v>
      </c>
      <c r="M457">
        <v>20</v>
      </c>
      <c r="N457">
        <v>1</v>
      </c>
      <c r="O457">
        <v>0.9</v>
      </c>
      <c r="P457" t="s">
        <v>115</v>
      </c>
      <c r="Q457">
        <v>0.9</v>
      </c>
      <c r="R457" t="s">
        <v>144</v>
      </c>
    </row>
    <row r="458" spans="1:18" x14ac:dyDescent="0.25">
      <c r="A458" t="s">
        <v>766</v>
      </c>
      <c r="B458" s="2">
        <v>45470</v>
      </c>
      <c r="C458" t="s">
        <v>30</v>
      </c>
      <c r="D458" t="s">
        <v>31</v>
      </c>
      <c r="E458" t="s">
        <v>142</v>
      </c>
      <c r="F458">
        <v>0.89900000000000002</v>
      </c>
      <c r="G458">
        <v>0</v>
      </c>
      <c r="H458">
        <v>0</v>
      </c>
      <c r="I458">
        <v>5</v>
      </c>
      <c r="J458">
        <v>0</v>
      </c>
      <c r="K458">
        <v>0</v>
      </c>
      <c r="L458" t="s">
        <v>767</v>
      </c>
      <c r="M458">
        <v>5</v>
      </c>
      <c r="N458">
        <v>0</v>
      </c>
      <c r="O458">
        <v>0.9</v>
      </c>
      <c r="P458" t="s">
        <v>115</v>
      </c>
      <c r="Q458">
        <v>0</v>
      </c>
      <c r="R458" t="s">
        <v>144</v>
      </c>
    </row>
    <row r="459" spans="1:18" x14ac:dyDescent="0.25">
      <c r="A459" t="s">
        <v>768</v>
      </c>
      <c r="B459" s="2">
        <v>45470</v>
      </c>
      <c r="C459" t="s">
        <v>30</v>
      </c>
      <c r="D459" t="s">
        <v>31</v>
      </c>
      <c r="E459" t="s">
        <v>142</v>
      </c>
      <c r="F459">
        <v>1.0740000000000001</v>
      </c>
      <c r="G459">
        <v>0</v>
      </c>
      <c r="H459">
        <v>0</v>
      </c>
      <c r="I459">
        <v>20</v>
      </c>
      <c r="J459">
        <v>0</v>
      </c>
      <c r="K459">
        <v>0</v>
      </c>
      <c r="L459" t="s">
        <v>143</v>
      </c>
      <c r="M459">
        <v>20</v>
      </c>
      <c r="N459">
        <v>1</v>
      </c>
      <c r="O459">
        <v>0.9</v>
      </c>
      <c r="P459" t="s">
        <v>115</v>
      </c>
      <c r="Q459">
        <v>0.9</v>
      </c>
      <c r="R459" t="s">
        <v>144</v>
      </c>
    </row>
    <row r="460" spans="1:18" x14ac:dyDescent="0.25">
      <c r="A460" t="s">
        <v>769</v>
      </c>
      <c r="B460" s="2">
        <v>45470</v>
      </c>
      <c r="C460" t="s">
        <v>30</v>
      </c>
      <c r="D460" t="s">
        <v>31</v>
      </c>
      <c r="E460" t="s">
        <v>142</v>
      </c>
      <c r="F460">
        <v>2.661</v>
      </c>
      <c r="G460">
        <v>0</v>
      </c>
      <c r="H460">
        <v>0</v>
      </c>
      <c r="I460">
        <v>5</v>
      </c>
      <c r="J460">
        <v>0</v>
      </c>
      <c r="K460">
        <v>0</v>
      </c>
      <c r="L460" t="s">
        <v>770</v>
      </c>
      <c r="M460">
        <v>5</v>
      </c>
      <c r="N460">
        <v>0</v>
      </c>
      <c r="O460">
        <v>0.9</v>
      </c>
      <c r="P460" t="s">
        <v>115</v>
      </c>
      <c r="Q460">
        <v>0</v>
      </c>
      <c r="R460" t="s">
        <v>144</v>
      </c>
    </row>
    <row r="461" spans="1:18" x14ac:dyDescent="0.25">
      <c r="A461" t="s">
        <v>771</v>
      </c>
      <c r="B461" s="2">
        <v>45470</v>
      </c>
      <c r="C461" t="s">
        <v>30</v>
      </c>
      <c r="D461" t="s">
        <v>31</v>
      </c>
      <c r="E461" t="s">
        <v>142</v>
      </c>
      <c r="F461">
        <v>0.96799999999999997</v>
      </c>
      <c r="G461">
        <v>0</v>
      </c>
      <c r="H461">
        <v>0</v>
      </c>
      <c r="I461">
        <v>20</v>
      </c>
      <c r="J461">
        <v>0</v>
      </c>
      <c r="K461">
        <v>0</v>
      </c>
      <c r="L461" t="s">
        <v>143</v>
      </c>
      <c r="M461">
        <v>20</v>
      </c>
      <c r="N461">
        <v>1</v>
      </c>
      <c r="O461">
        <v>0.9</v>
      </c>
      <c r="P461" t="s">
        <v>115</v>
      </c>
      <c r="Q461">
        <v>0.9</v>
      </c>
      <c r="R461" t="s">
        <v>144</v>
      </c>
    </row>
    <row r="462" spans="1:18" x14ac:dyDescent="0.25">
      <c r="A462" t="s">
        <v>772</v>
      </c>
      <c r="B462" s="2">
        <v>45470</v>
      </c>
      <c r="C462" t="s">
        <v>30</v>
      </c>
      <c r="D462" t="s">
        <v>31</v>
      </c>
      <c r="E462" t="s">
        <v>142</v>
      </c>
      <c r="F462">
        <v>1.129</v>
      </c>
      <c r="G462">
        <v>0</v>
      </c>
      <c r="H462">
        <v>0</v>
      </c>
      <c r="I462">
        <v>20</v>
      </c>
      <c r="J462">
        <v>0</v>
      </c>
      <c r="K462">
        <v>0</v>
      </c>
      <c r="L462" t="s">
        <v>143</v>
      </c>
      <c r="M462">
        <v>20</v>
      </c>
      <c r="N462">
        <v>1</v>
      </c>
      <c r="O462">
        <v>0.9</v>
      </c>
      <c r="P462" t="s">
        <v>115</v>
      </c>
      <c r="Q462">
        <v>0.9</v>
      </c>
      <c r="R462" t="s">
        <v>144</v>
      </c>
    </row>
    <row r="463" spans="1:18" x14ac:dyDescent="0.25">
      <c r="A463" t="s">
        <v>773</v>
      </c>
      <c r="B463" s="2">
        <v>45470</v>
      </c>
      <c r="C463" t="s">
        <v>30</v>
      </c>
      <c r="D463" t="s">
        <v>31</v>
      </c>
      <c r="E463" t="s">
        <v>142</v>
      </c>
      <c r="F463">
        <v>1.734</v>
      </c>
      <c r="G463">
        <v>0</v>
      </c>
      <c r="H463">
        <v>0</v>
      </c>
      <c r="I463">
        <v>5</v>
      </c>
      <c r="J463">
        <v>0</v>
      </c>
      <c r="K463">
        <v>0</v>
      </c>
      <c r="L463" t="s">
        <v>774</v>
      </c>
      <c r="M463">
        <v>5</v>
      </c>
      <c r="N463">
        <v>0</v>
      </c>
      <c r="O463">
        <v>0.9</v>
      </c>
      <c r="P463" t="s">
        <v>115</v>
      </c>
      <c r="Q463">
        <v>0</v>
      </c>
      <c r="R463" t="s">
        <v>144</v>
      </c>
    </row>
    <row r="464" spans="1:18" x14ac:dyDescent="0.25">
      <c r="A464" t="s">
        <v>775</v>
      </c>
      <c r="B464" s="2">
        <v>45470</v>
      </c>
      <c r="C464" t="s">
        <v>30</v>
      </c>
      <c r="D464" t="s">
        <v>31</v>
      </c>
      <c r="E464" t="s">
        <v>142</v>
      </c>
      <c r="F464">
        <v>6.1859999999999999</v>
      </c>
      <c r="G464">
        <v>0</v>
      </c>
      <c r="H464">
        <v>0</v>
      </c>
      <c r="I464">
        <v>20</v>
      </c>
      <c r="J464">
        <v>0</v>
      </c>
      <c r="K464">
        <v>0</v>
      </c>
      <c r="L464" t="s">
        <v>776</v>
      </c>
      <c r="M464">
        <v>20</v>
      </c>
      <c r="N464">
        <v>1</v>
      </c>
      <c r="O464">
        <v>0.9</v>
      </c>
      <c r="P464" t="s">
        <v>115</v>
      </c>
      <c r="Q464">
        <v>0.9</v>
      </c>
      <c r="R464" t="s">
        <v>144</v>
      </c>
    </row>
    <row r="465" spans="1:18" x14ac:dyDescent="0.25">
      <c r="A465" t="s">
        <v>777</v>
      </c>
      <c r="B465" s="2">
        <v>45470</v>
      </c>
      <c r="C465" t="s">
        <v>30</v>
      </c>
      <c r="D465" t="s">
        <v>31</v>
      </c>
      <c r="E465" t="s">
        <v>142</v>
      </c>
      <c r="F465">
        <v>10</v>
      </c>
      <c r="G465">
        <v>3.4950000000000001</v>
      </c>
      <c r="H465">
        <v>5.2424999999999997</v>
      </c>
      <c r="I465">
        <v>20</v>
      </c>
      <c r="J465">
        <v>0</v>
      </c>
      <c r="K465">
        <v>0</v>
      </c>
      <c r="L465" t="s">
        <v>143</v>
      </c>
      <c r="M465">
        <v>25.2425</v>
      </c>
      <c r="N465">
        <v>1</v>
      </c>
      <c r="O465">
        <v>0.9</v>
      </c>
      <c r="P465" t="s">
        <v>115</v>
      </c>
      <c r="Q465">
        <v>0.9</v>
      </c>
      <c r="R465" t="s">
        <v>144</v>
      </c>
    </row>
    <row r="466" spans="1:18" x14ac:dyDescent="0.25">
      <c r="A466" t="s">
        <v>778</v>
      </c>
      <c r="B466" s="2">
        <v>45470</v>
      </c>
      <c r="C466" t="s">
        <v>30</v>
      </c>
      <c r="D466" t="s">
        <v>31</v>
      </c>
      <c r="E466" t="s">
        <v>142</v>
      </c>
      <c r="F466">
        <v>4.0540000000000003</v>
      </c>
      <c r="G466">
        <v>0</v>
      </c>
      <c r="H466">
        <v>0</v>
      </c>
      <c r="I466">
        <v>20</v>
      </c>
      <c r="J466">
        <v>0</v>
      </c>
      <c r="K466">
        <v>0</v>
      </c>
      <c r="L466" t="s">
        <v>143</v>
      </c>
      <c r="M466">
        <v>20</v>
      </c>
      <c r="N466">
        <v>1</v>
      </c>
      <c r="O466">
        <v>0.9</v>
      </c>
      <c r="P466" t="s">
        <v>115</v>
      </c>
      <c r="Q466">
        <v>0.9</v>
      </c>
      <c r="R466" t="s">
        <v>144</v>
      </c>
    </row>
    <row r="467" spans="1:18" x14ac:dyDescent="0.25">
      <c r="A467" t="s">
        <v>779</v>
      </c>
      <c r="B467" s="2">
        <v>45470</v>
      </c>
      <c r="C467" t="s">
        <v>30</v>
      </c>
      <c r="D467" t="s">
        <v>31</v>
      </c>
      <c r="E467" t="s">
        <v>142</v>
      </c>
      <c r="F467">
        <v>4.3310000000000004</v>
      </c>
      <c r="G467">
        <v>0</v>
      </c>
      <c r="H467">
        <v>0</v>
      </c>
      <c r="I467">
        <v>20</v>
      </c>
      <c r="J467">
        <v>0</v>
      </c>
      <c r="K467">
        <v>0</v>
      </c>
      <c r="L467" t="s">
        <v>143</v>
      </c>
      <c r="M467">
        <v>20</v>
      </c>
      <c r="N467">
        <v>1</v>
      </c>
      <c r="O467">
        <v>0.9</v>
      </c>
      <c r="P467" t="s">
        <v>115</v>
      </c>
      <c r="Q467">
        <v>0.9</v>
      </c>
      <c r="R467" t="s">
        <v>144</v>
      </c>
    </row>
    <row r="468" spans="1:18" x14ac:dyDescent="0.25">
      <c r="A468" t="s">
        <v>780</v>
      </c>
      <c r="B468" s="2">
        <v>45470</v>
      </c>
      <c r="C468" t="s">
        <v>30</v>
      </c>
      <c r="D468" t="s">
        <v>31</v>
      </c>
      <c r="E468" t="s">
        <v>142</v>
      </c>
      <c r="F468">
        <v>1.1439999999999999</v>
      </c>
      <c r="G468">
        <v>0</v>
      </c>
      <c r="H468">
        <v>0</v>
      </c>
      <c r="I468">
        <v>20</v>
      </c>
      <c r="J468">
        <v>0</v>
      </c>
      <c r="K468">
        <v>0</v>
      </c>
      <c r="L468" t="s">
        <v>143</v>
      </c>
      <c r="M468">
        <v>20</v>
      </c>
      <c r="N468">
        <v>1</v>
      </c>
      <c r="O468">
        <v>0.9</v>
      </c>
      <c r="P468" t="s">
        <v>115</v>
      </c>
      <c r="Q468">
        <v>0.9</v>
      </c>
      <c r="R468" t="s">
        <v>144</v>
      </c>
    </row>
    <row r="469" spans="1:18" x14ac:dyDescent="0.25">
      <c r="A469" t="s">
        <v>781</v>
      </c>
      <c r="B469" s="2">
        <v>45470</v>
      </c>
      <c r="C469" t="s">
        <v>30</v>
      </c>
      <c r="D469" t="s">
        <v>31</v>
      </c>
      <c r="E469" t="s">
        <v>142</v>
      </c>
      <c r="F469">
        <v>2.7930000000000001</v>
      </c>
      <c r="G469">
        <v>0</v>
      </c>
      <c r="H469">
        <v>0</v>
      </c>
      <c r="I469">
        <v>5</v>
      </c>
      <c r="J469">
        <v>0</v>
      </c>
      <c r="K469">
        <v>0</v>
      </c>
      <c r="L469" t="s">
        <v>782</v>
      </c>
      <c r="M469">
        <v>5</v>
      </c>
      <c r="N469">
        <v>0</v>
      </c>
      <c r="O469">
        <v>0.9</v>
      </c>
      <c r="P469" t="s">
        <v>115</v>
      </c>
      <c r="Q469">
        <v>0</v>
      </c>
      <c r="R469" t="s">
        <v>144</v>
      </c>
    </row>
    <row r="470" spans="1:18" x14ac:dyDescent="0.25">
      <c r="A470" t="s">
        <v>783</v>
      </c>
      <c r="B470" s="2">
        <v>45470</v>
      </c>
      <c r="C470" t="s">
        <v>30</v>
      </c>
      <c r="D470" t="s">
        <v>31</v>
      </c>
      <c r="E470" t="s">
        <v>142</v>
      </c>
      <c r="F470">
        <v>4.1239999999999997</v>
      </c>
      <c r="G470">
        <v>0</v>
      </c>
      <c r="H470">
        <v>0</v>
      </c>
      <c r="I470">
        <v>20</v>
      </c>
      <c r="J470">
        <v>0</v>
      </c>
      <c r="K470">
        <v>0</v>
      </c>
      <c r="L470" t="s">
        <v>143</v>
      </c>
      <c r="M470">
        <v>20</v>
      </c>
      <c r="N470">
        <v>1</v>
      </c>
      <c r="O470">
        <v>0.9</v>
      </c>
      <c r="P470" t="s">
        <v>115</v>
      </c>
      <c r="Q470">
        <v>0.9</v>
      </c>
      <c r="R470" t="s">
        <v>144</v>
      </c>
    </row>
    <row r="471" spans="1:18" x14ac:dyDescent="0.25">
      <c r="A471" t="s">
        <v>784</v>
      </c>
      <c r="B471" s="2">
        <v>45470</v>
      </c>
      <c r="C471" t="s">
        <v>30</v>
      </c>
      <c r="D471" t="s">
        <v>31</v>
      </c>
      <c r="E471" t="s">
        <v>142</v>
      </c>
      <c r="F471">
        <v>1.6220000000000001</v>
      </c>
      <c r="G471">
        <v>0</v>
      </c>
      <c r="H471">
        <v>0</v>
      </c>
      <c r="I471">
        <v>20</v>
      </c>
      <c r="J471">
        <v>0</v>
      </c>
      <c r="K471">
        <v>0</v>
      </c>
      <c r="L471" t="s">
        <v>143</v>
      </c>
      <c r="M471">
        <v>20</v>
      </c>
      <c r="N471">
        <v>1</v>
      </c>
      <c r="O471">
        <v>0.9</v>
      </c>
      <c r="P471" t="s">
        <v>115</v>
      </c>
      <c r="Q471">
        <v>0.9</v>
      </c>
      <c r="R471" t="s">
        <v>144</v>
      </c>
    </row>
    <row r="472" spans="1:18" x14ac:dyDescent="0.25">
      <c r="A472" t="s">
        <v>785</v>
      </c>
      <c r="B472" s="2">
        <v>45470</v>
      </c>
      <c r="C472" t="s">
        <v>30</v>
      </c>
      <c r="D472" t="s">
        <v>31</v>
      </c>
      <c r="E472" t="s">
        <v>142</v>
      </c>
      <c r="F472">
        <v>1.113</v>
      </c>
      <c r="G472">
        <v>0</v>
      </c>
      <c r="H472">
        <v>0</v>
      </c>
      <c r="I472">
        <v>20</v>
      </c>
      <c r="J472">
        <v>0</v>
      </c>
      <c r="K472">
        <v>0</v>
      </c>
      <c r="L472" t="s">
        <v>143</v>
      </c>
      <c r="M472">
        <v>20</v>
      </c>
      <c r="N472">
        <v>1</v>
      </c>
      <c r="O472">
        <v>0.9</v>
      </c>
      <c r="P472" t="s">
        <v>115</v>
      </c>
      <c r="Q472">
        <v>0.9</v>
      </c>
      <c r="R472" t="s">
        <v>144</v>
      </c>
    </row>
    <row r="473" spans="1:18" x14ac:dyDescent="0.25">
      <c r="A473" t="s">
        <v>786</v>
      </c>
      <c r="B473" s="2">
        <v>45470</v>
      </c>
      <c r="C473" t="s">
        <v>30</v>
      </c>
      <c r="D473" t="s">
        <v>31</v>
      </c>
      <c r="E473" t="s">
        <v>142</v>
      </c>
      <c r="F473">
        <v>10</v>
      </c>
      <c r="G473">
        <v>0</v>
      </c>
      <c r="H473">
        <v>0</v>
      </c>
      <c r="I473">
        <v>5</v>
      </c>
      <c r="J473">
        <v>0</v>
      </c>
      <c r="K473">
        <v>0</v>
      </c>
      <c r="L473" t="s">
        <v>787</v>
      </c>
      <c r="M473">
        <v>5</v>
      </c>
      <c r="N473">
        <v>0</v>
      </c>
      <c r="O473">
        <v>0.9</v>
      </c>
      <c r="P473" t="s">
        <v>115</v>
      </c>
      <c r="Q473">
        <v>0</v>
      </c>
      <c r="R473" t="s">
        <v>144</v>
      </c>
    </row>
    <row r="474" spans="1:18" x14ac:dyDescent="0.25">
      <c r="A474" t="s">
        <v>788</v>
      </c>
      <c r="B474" s="2">
        <v>45471</v>
      </c>
      <c r="C474" t="s">
        <v>30</v>
      </c>
      <c r="D474" t="s">
        <v>31</v>
      </c>
      <c r="E474" t="s">
        <v>142</v>
      </c>
      <c r="F474">
        <v>6.6950000000000003</v>
      </c>
      <c r="G474">
        <v>0</v>
      </c>
      <c r="H474">
        <v>0</v>
      </c>
      <c r="I474">
        <v>20</v>
      </c>
      <c r="J474">
        <v>0</v>
      </c>
      <c r="K474">
        <v>0</v>
      </c>
      <c r="L474" t="s">
        <v>143</v>
      </c>
      <c r="M474">
        <v>20</v>
      </c>
      <c r="N474">
        <v>1</v>
      </c>
      <c r="O474">
        <v>0.9</v>
      </c>
      <c r="P474" t="s">
        <v>115</v>
      </c>
      <c r="Q474">
        <v>0.9</v>
      </c>
      <c r="R474" t="s">
        <v>144</v>
      </c>
    </row>
    <row r="475" spans="1:18" x14ac:dyDescent="0.25">
      <c r="A475" t="s">
        <v>789</v>
      </c>
      <c r="B475" s="2">
        <v>45471</v>
      </c>
      <c r="C475" t="s">
        <v>30</v>
      </c>
      <c r="D475" t="s">
        <v>31</v>
      </c>
      <c r="E475" t="s">
        <v>142</v>
      </c>
      <c r="F475">
        <v>4.3819999999999997</v>
      </c>
      <c r="G475">
        <v>0</v>
      </c>
      <c r="H475">
        <v>0</v>
      </c>
      <c r="I475">
        <v>20</v>
      </c>
      <c r="J475">
        <v>0</v>
      </c>
      <c r="K475">
        <v>0</v>
      </c>
      <c r="L475" t="s">
        <v>143</v>
      </c>
      <c r="M475">
        <v>20</v>
      </c>
      <c r="N475">
        <v>1</v>
      </c>
      <c r="O475">
        <v>0.9</v>
      </c>
      <c r="P475" t="s">
        <v>115</v>
      </c>
      <c r="Q475">
        <v>0.9</v>
      </c>
      <c r="R475" t="s">
        <v>144</v>
      </c>
    </row>
    <row r="476" spans="1:18" x14ac:dyDescent="0.25">
      <c r="A476" t="s">
        <v>790</v>
      </c>
      <c r="B476" s="2">
        <v>45471</v>
      </c>
      <c r="C476" t="s">
        <v>30</v>
      </c>
      <c r="D476" t="s">
        <v>31</v>
      </c>
      <c r="E476" t="s">
        <v>142</v>
      </c>
      <c r="F476">
        <v>1.2669999999999999</v>
      </c>
      <c r="G476">
        <v>0</v>
      </c>
      <c r="H476">
        <v>0</v>
      </c>
      <c r="I476">
        <v>20</v>
      </c>
      <c r="J476">
        <v>0</v>
      </c>
      <c r="K476">
        <v>0</v>
      </c>
      <c r="L476" t="s">
        <v>143</v>
      </c>
      <c r="M476">
        <v>20</v>
      </c>
      <c r="N476">
        <v>1</v>
      </c>
      <c r="O476">
        <v>0.9</v>
      </c>
      <c r="P476" t="s">
        <v>115</v>
      </c>
      <c r="Q476">
        <v>0.9</v>
      </c>
      <c r="R476" t="s">
        <v>144</v>
      </c>
    </row>
    <row r="477" spans="1:18" x14ac:dyDescent="0.25">
      <c r="A477" t="s">
        <v>791</v>
      </c>
      <c r="B477" s="2">
        <v>45471</v>
      </c>
      <c r="C477" t="s">
        <v>30</v>
      </c>
      <c r="D477" t="s">
        <v>31</v>
      </c>
      <c r="E477" t="s">
        <v>142</v>
      </c>
      <c r="F477">
        <v>1.0900000000000001</v>
      </c>
      <c r="G477">
        <v>0</v>
      </c>
      <c r="H477">
        <v>0</v>
      </c>
      <c r="I477">
        <v>5</v>
      </c>
      <c r="J477">
        <v>0</v>
      </c>
      <c r="K477">
        <v>0</v>
      </c>
      <c r="L477" t="s">
        <v>792</v>
      </c>
      <c r="M477">
        <v>5</v>
      </c>
      <c r="N477">
        <v>0</v>
      </c>
      <c r="O477">
        <v>0.9</v>
      </c>
      <c r="P477" t="s">
        <v>115</v>
      </c>
      <c r="Q477">
        <v>0</v>
      </c>
      <c r="R477" t="s">
        <v>144</v>
      </c>
    </row>
    <row r="478" spans="1:18" x14ac:dyDescent="0.25">
      <c r="A478" t="s">
        <v>793</v>
      </c>
      <c r="B478" s="2">
        <v>45471</v>
      </c>
      <c r="C478" t="s">
        <v>30</v>
      </c>
      <c r="D478" t="s">
        <v>31</v>
      </c>
      <c r="E478" t="s">
        <v>142</v>
      </c>
      <c r="F478">
        <v>4.0030000000000001</v>
      </c>
      <c r="G478">
        <v>0</v>
      </c>
      <c r="H478">
        <v>0</v>
      </c>
      <c r="I478">
        <v>20</v>
      </c>
      <c r="J478">
        <v>0</v>
      </c>
      <c r="K478">
        <v>0</v>
      </c>
      <c r="L478" t="s">
        <v>143</v>
      </c>
      <c r="M478">
        <v>20</v>
      </c>
      <c r="N478">
        <v>1</v>
      </c>
      <c r="O478">
        <v>0.9</v>
      </c>
      <c r="P478" t="s">
        <v>115</v>
      </c>
      <c r="Q478">
        <v>0.9</v>
      </c>
      <c r="R478" t="s">
        <v>144</v>
      </c>
    </row>
    <row r="479" spans="1:18" x14ac:dyDescent="0.25">
      <c r="A479" t="s">
        <v>794</v>
      </c>
      <c r="B479" s="2">
        <v>45471</v>
      </c>
      <c r="C479" t="s">
        <v>30</v>
      </c>
      <c r="D479" t="s">
        <v>31</v>
      </c>
      <c r="E479" t="s">
        <v>142</v>
      </c>
      <c r="F479">
        <v>6.36</v>
      </c>
      <c r="G479">
        <v>0</v>
      </c>
      <c r="H479">
        <v>0</v>
      </c>
      <c r="I479">
        <v>20</v>
      </c>
      <c r="J479">
        <v>0</v>
      </c>
      <c r="K479">
        <v>0</v>
      </c>
      <c r="L479" t="s">
        <v>143</v>
      </c>
      <c r="M479">
        <v>20</v>
      </c>
      <c r="N479">
        <v>1</v>
      </c>
      <c r="O479">
        <v>0.9</v>
      </c>
      <c r="P479" t="s">
        <v>115</v>
      </c>
      <c r="Q479">
        <v>0.9</v>
      </c>
      <c r="R479" t="s">
        <v>144</v>
      </c>
    </row>
    <row r="480" spans="1:18" x14ac:dyDescent="0.25">
      <c r="A480" t="s">
        <v>795</v>
      </c>
      <c r="B480" s="2">
        <v>45471</v>
      </c>
      <c r="C480" t="s">
        <v>30</v>
      </c>
      <c r="D480" t="s">
        <v>31</v>
      </c>
      <c r="E480" t="s">
        <v>142</v>
      </c>
      <c r="F480">
        <v>1.607</v>
      </c>
      <c r="G480">
        <v>0</v>
      </c>
      <c r="H480">
        <v>0</v>
      </c>
      <c r="I480">
        <v>20</v>
      </c>
      <c r="J480">
        <v>0</v>
      </c>
      <c r="K480">
        <v>0</v>
      </c>
      <c r="L480" t="s">
        <v>143</v>
      </c>
      <c r="M480">
        <v>20</v>
      </c>
      <c r="N480">
        <v>1</v>
      </c>
      <c r="O480">
        <v>0.9</v>
      </c>
      <c r="P480" t="s">
        <v>115</v>
      </c>
      <c r="Q480">
        <v>0.9</v>
      </c>
      <c r="R480" t="s">
        <v>144</v>
      </c>
    </row>
    <row r="481" spans="1:18" x14ac:dyDescent="0.25">
      <c r="A481" t="s">
        <v>796</v>
      </c>
      <c r="B481" s="2">
        <v>45471</v>
      </c>
      <c r="C481" t="s">
        <v>30</v>
      </c>
      <c r="D481" t="s">
        <v>31</v>
      </c>
      <c r="E481" t="s">
        <v>142</v>
      </c>
      <c r="F481">
        <v>1.214</v>
      </c>
      <c r="G481">
        <v>0</v>
      </c>
      <c r="H481">
        <v>0</v>
      </c>
      <c r="I481">
        <v>20</v>
      </c>
      <c r="J481">
        <v>0</v>
      </c>
      <c r="K481">
        <v>0</v>
      </c>
      <c r="L481" t="s">
        <v>143</v>
      </c>
      <c r="M481">
        <v>20</v>
      </c>
      <c r="N481">
        <v>1</v>
      </c>
      <c r="O481">
        <v>0.9</v>
      </c>
      <c r="P481" t="s">
        <v>115</v>
      </c>
      <c r="Q481">
        <v>0.9</v>
      </c>
      <c r="R481" t="s">
        <v>144</v>
      </c>
    </row>
    <row r="482" spans="1:18" x14ac:dyDescent="0.25">
      <c r="A482" t="s">
        <v>797</v>
      </c>
      <c r="B482" s="2">
        <v>45471</v>
      </c>
      <c r="C482" t="s">
        <v>30</v>
      </c>
      <c r="D482" t="s">
        <v>31</v>
      </c>
      <c r="E482" t="s">
        <v>142</v>
      </c>
      <c r="F482">
        <v>1.986</v>
      </c>
      <c r="G482">
        <v>0</v>
      </c>
      <c r="H482">
        <v>0</v>
      </c>
      <c r="I482">
        <v>20</v>
      </c>
      <c r="J482">
        <v>0</v>
      </c>
      <c r="K482">
        <v>0</v>
      </c>
      <c r="L482" t="s">
        <v>143</v>
      </c>
      <c r="M482">
        <v>20</v>
      </c>
      <c r="N482">
        <v>1</v>
      </c>
      <c r="O482">
        <v>0.9</v>
      </c>
      <c r="P482" t="s">
        <v>115</v>
      </c>
      <c r="Q482">
        <v>0.9</v>
      </c>
      <c r="R482" t="s">
        <v>144</v>
      </c>
    </row>
    <row r="483" spans="1:18" x14ac:dyDescent="0.25">
      <c r="A483" t="s">
        <v>798</v>
      </c>
      <c r="B483" s="2">
        <v>45471</v>
      </c>
      <c r="C483" t="s">
        <v>30</v>
      </c>
      <c r="D483" t="s">
        <v>31</v>
      </c>
      <c r="E483" t="s">
        <v>142</v>
      </c>
      <c r="F483">
        <v>3.5369999999999999</v>
      </c>
      <c r="G483">
        <v>0</v>
      </c>
      <c r="H483">
        <v>0</v>
      </c>
      <c r="I483">
        <v>20</v>
      </c>
      <c r="J483">
        <v>0</v>
      </c>
      <c r="K483">
        <v>0</v>
      </c>
      <c r="L483" t="s">
        <v>143</v>
      </c>
      <c r="M483">
        <v>20</v>
      </c>
      <c r="N483">
        <v>1</v>
      </c>
      <c r="O483">
        <v>0.9</v>
      </c>
      <c r="P483" t="s">
        <v>115</v>
      </c>
      <c r="Q483">
        <v>0.9</v>
      </c>
      <c r="R483" t="s">
        <v>144</v>
      </c>
    </row>
    <row r="484" spans="1:18" x14ac:dyDescent="0.25">
      <c r="A484" t="s">
        <v>799</v>
      </c>
      <c r="B484" s="2">
        <v>45471</v>
      </c>
      <c r="C484" t="s">
        <v>30</v>
      </c>
      <c r="D484" t="s">
        <v>31</v>
      </c>
      <c r="E484" t="s">
        <v>142</v>
      </c>
      <c r="F484">
        <v>3.1419999999999999</v>
      </c>
      <c r="G484">
        <v>0</v>
      </c>
      <c r="H484">
        <v>0</v>
      </c>
      <c r="I484">
        <v>20</v>
      </c>
      <c r="J484">
        <v>0</v>
      </c>
      <c r="K484">
        <v>0</v>
      </c>
      <c r="L484" t="s">
        <v>143</v>
      </c>
      <c r="M484">
        <v>20</v>
      </c>
      <c r="N484">
        <v>1</v>
      </c>
      <c r="O484">
        <v>0.9</v>
      </c>
      <c r="P484" t="s">
        <v>115</v>
      </c>
      <c r="Q484">
        <v>0.9</v>
      </c>
      <c r="R484" t="s">
        <v>144</v>
      </c>
    </row>
    <row r="485" spans="1:18" x14ac:dyDescent="0.25">
      <c r="A485" t="s">
        <v>800</v>
      </c>
      <c r="B485" s="2">
        <v>45471</v>
      </c>
      <c r="C485" t="s">
        <v>30</v>
      </c>
      <c r="D485" t="s">
        <v>31</v>
      </c>
      <c r="E485" t="s">
        <v>142</v>
      </c>
      <c r="F485">
        <v>1.607</v>
      </c>
      <c r="G485">
        <v>0</v>
      </c>
      <c r="H485">
        <v>0</v>
      </c>
      <c r="I485">
        <v>20</v>
      </c>
      <c r="J485">
        <v>0</v>
      </c>
      <c r="K485">
        <v>0</v>
      </c>
      <c r="L485" t="s">
        <v>143</v>
      </c>
      <c r="M485">
        <v>20</v>
      </c>
      <c r="N485">
        <v>1</v>
      </c>
      <c r="O485">
        <v>0.9</v>
      </c>
      <c r="P485" t="s">
        <v>115</v>
      </c>
      <c r="Q485">
        <v>0.9</v>
      </c>
      <c r="R485" t="s">
        <v>144</v>
      </c>
    </row>
    <row r="486" spans="1:18" x14ac:dyDescent="0.25">
      <c r="A486" t="s">
        <v>801</v>
      </c>
      <c r="B486" s="2">
        <v>45471</v>
      </c>
      <c r="C486" t="s">
        <v>30</v>
      </c>
      <c r="D486" t="s">
        <v>31</v>
      </c>
      <c r="E486" t="s">
        <v>142</v>
      </c>
      <c r="F486">
        <v>6.6769999999999996</v>
      </c>
      <c r="G486">
        <v>0</v>
      </c>
      <c r="H486">
        <v>0</v>
      </c>
      <c r="I486">
        <v>5</v>
      </c>
      <c r="J486">
        <v>0</v>
      </c>
      <c r="K486">
        <v>0</v>
      </c>
      <c r="L486" t="s">
        <v>802</v>
      </c>
      <c r="M486">
        <v>5</v>
      </c>
      <c r="N486">
        <v>0</v>
      </c>
      <c r="O486">
        <v>0.9</v>
      </c>
      <c r="P486" t="s">
        <v>115</v>
      </c>
      <c r="Q486">
        <v>0</v>
      </c>
      <c r="R486" t="s">
        <v>144</v>
      </c>
    </row>
    <row r="487" spans="1:18" x14ac:dyDescent="0.25">
      <c r="A487" t="s">
        <v>803</v>
      </c>
      <c r="B487" s="2">
        <v>45460</v>
      </c>
      <c r="C487" t="s">
        <v>132</v>
      </c>
      <c r="D487" t="s">
        <v>29</v>
      </c>
      <c r="E487" t="s">
        <v>142</v>
      </c>
      <c r="F487">
        <v>5.6790000000000003</v>
      </c>
      <c r="G487">
        <v>0</v>
      </c>
      <c r="H487">
        <v>0</v>
      </c>
      <c r="I487">
        <v>20</v>
      </c>
      <c r="J487">
        <v>0</v>
      </c>
      <c r="K487">
        <v>0</v>
      </c>
      <c r="L487" t="s">
        <v>143</v>
      </c>
      <c r="M487">
        <v>20</v>
      </c>
      <c r="N487">
        <v>1</v>
      </c>
      <c r="O487">
        <v>0.9</v>
      </c>
      <c r="P487" t="s">
        <v>114</v>
      </c>
      <c r="Q487">
        <v>0.9</v>
      </c>
      <c r="R487" t="s">
        <v>144</v>
      </c>
    </row>
    <row r="488" spans="1:18" x14ac:dyDescent="0.25">
      <c r="A488" t="s">
        <v>804</v>
      </c>
      <c r="B488" s="2">
        <v>45460</v>
      </c>
      <c r="C488" t="s">
        <v>132</v>
      </c>
      <c r="D488" t="s">
        <v>29</v>
      </c>
      <c r="E488" t="s">
        <v>142</v>
      </c>
      <c r="F488">
        <v>3.8690000000000002</v>
      </c>
      <c r="G488">
        <v>0</v>
      </c>
      <c r="H488">
        <v>0</v>
      </c>
      <c r="I488">
        <v>20</v>
      </c>
      <c r="J488">
        <v>0</v>
      </c>
      <c r="K488">
        <v>0</v>
      </c>
      <c r="L488" t="s">
        <v>805</v>
      </c>
      <c r="M488">
        <v>20</v>
      </c>
      <c r="N488">
        <v>1</v>
      </c>
      <c r="O488">
        <v>0.9</v>
      </c>
      <c r="P488" t="s">
        <v>114</v>
      </c>
      <c r="Q488">
        <v>0.9</v>
      </c>
      <c r="R488" t="s">
        <v>144</v>
      </c>
    </row>
    <row r="489" spans="1:18" x14ac:dyDescent="0.25">
      <c r="A489" t="s">
        <v>806</v>
      </c>
      <c r="B489" s="2">
        <v>45460</v>
      </c>
      <c r="C489" t="s">
        <v>132</v>
      </c>
      <c r="D489" t="s">
        <v>29</v>
      </c>
      <c r="E489" t="s">
        <v>142</v>
      </c>
      <c r="F489">
        <v>6.7060000000000004</v>
      </c>
      <c r="G489">
        <v>0</v>
      </c>
      <c r="H489">
        <v>0</v>
      </c>
      <c r="I489">
        <v>20</v>
      </c>
      <c r="J489">
        <v>0</v>
      </c>
      <c r="K489">
        <v>0</v>
      </c>
      <c r="L489" t="s">
        <v>143</v>
      </c>
      <c r="M489">
        <v>20</v>
      </c>
      <c r="N489">
        <v>1</v>
      </c>
      <c r="O489">
        <v>0.9</v>
      </c>
      <c r="P489" t="s">
        <v>114</v>
      </c>
      <c r="Q489">
        <v>0.9</v>
      </c>
      <c r="R489" t="s">
        <v>144</v>
      </c>
    </row>
    <row r="490" spans="1:18" x14ac:dyDescent="0.25">
      <c r="A490" t="s">
        <v>807</v>
      </c>
      <c r="B490" s="2">
        <v>45460</v>
      </c>
      <c r="C490" t="s">
        <v>132</v>
      </c>
      <c r="D490" t="s">
        <v>29</v>
      </c>
      <c r="E490" t="s">
        <v>142</v>
      </c>
      <c r="F490">
        <v>7.8479999999999999</v>
      </c>
      <c r="G490">
        <v>0</v>
      </c>
      <c r="H490">
        <v>0</v>
      </c>
      <c r="I490">
        <v>20</v>
      </c>
      <c r="J490">
        <v>0</v>
      </c>
      <c r="K490">
        <v>0</v>
      </c>
      <c r="L490" t="s">
        <v>143</v>
      </c>
      <c r="M490">
        <v>20</v>
      </c>
      <c r="N490">
        <v>1</v>
      </c>
      <c r="O490">
        <v>0.9</v>
      </c>
      <c r="P490" t="s">
        <v>114</v>
      </c>
      <c r="Q490">
        <v>0.9</v>
      </c>
      <c r="R490" t="s">
        <v>144</v>
      </c>
    </row>
    <row r="491" spans="1:18" x14ac:dyDescent="0.25">
      <c r="A491" t="s">
        <v>808</v>
      </c>
      <c r="B491" s="2">
        <v>45460</v>
      </c>
      <c r="C491" t="s">
        <v>132</v>
      </c>
      <c r="D491" t="s">
        <v>29</v>
      </c>
      <c r="E491" t="s">
        <v>142</v>
      </c>
      <c r="F491">
        <v>10</v>
      </c>
      <c r="G491">
        <v>9.0739999999999998</v>
      </c>
      <c r="H491">
        <v>13.611000000000001</v>
      </c>
      <c r="I491">
        <v>20</v>
      </c>
      <c r="J491">
        <v>0</v>
      </c>
      <c r="K491">
        <v>0</v>
      </c>
      <c r="L491" t="s">
        <v>143</v>
      </c>
      <c r="M491">
        <v>33.610999999999997</v>
      </c>
      <c r="N491">
        <v>1</v>
      </c>
      <c r="O491">
        <v>0.9</v>
      </c>
      <c r="P491" t="s">
        <v>114</v>
      </c>
      <c r="Q491">
        <v>0.9</v>
      </c>
      <c r="R491" t="s">
        <v>144</v>
      </c>
    </row>
    <row r="492" spans="1:18" x14ac:dyDescent="0.25">
      <c r="A492" t="s">
        <v>809</v>
      </c>
      <c r="B492" s="2">
        <v>45460</v>
      </c>
      <c r="C492" t="s">
        <v>132</v>
      </c>
      <c r="D492" t="s">
        <v>29</v>
      </c>
      <c r="E492" t="s">
        <v>142</v>
      </c>
      <c r="F492">
        <v>10</v>
      </c>
      <c r="G492">
        <v>2.5720000000000001</v>
      </c>
      <c r="H492">
        <v>3.8580000000000001</v>
      </c>
      <c r="I492">
        <v>20</v>
      </c>
      <c r="J492">
        <v>0</v>
      </c>
      <c r="K492">
        <v>0</v>
      </c>
      <c r="L492" t="s">
        <v>143</v>
      </c>
      <c r="M492">
        <v>23.858000000000001</v>
      </c>
      <c r="N492">
        <v>1</v>
      </c>
      <c r="O492">
        <v>0.9</v>
      </c>
      <c r="P492" t="s">
        <v>114</v>
      </c>
      <c r="Q492">
        <v>0.9</v>
      </c>
      <c r="R492" t="s">
        <v>144</v>
      </c>
    </row>
    <row r="493" spans="1:18" x14ac:dyDescent="0.25">
      <c r="A493" t="s">
        <v>810</v>
      </c>
      <c r="B493" s="2">
        <v>45460</v>
      </c>
      <c r="C493" t="s">
        <v>132</v>
      </c>
      <c r="D493" t="s">
        <v>29</v>
      </c>
      <c r="E493" t="s">
        <v>142</v>
      </c>
      <c r="F493">
        <v>1.76</v>
      </c>
      <c r="G493">
        <v>0</v>
      </c>
      <c r="H493">
        <v>0</v>
      </c>
      <c r="I493">
        <v>20</v>
      </c>
      <c r="J493">
        <v>0</v>
      </c>
      <c r="K493">
        <v>0</v>
      </c>
      <c r="L493" t="s">
        <v>143</v>
      </c>
      <c r="M493">
        <v>20</v>
      </c>
      <c r="N493">
        <v>1</v>
      </c>
      <c r="O493">
        <v>0.9</v>
      </c>
      <c r="P493" t="s">
        <v>114</v>
      </c>
      <c r="Q493">
        <v>0.9</v>
      </c>
      <c r="R493" t="s">
        <v>144</v>
      </c>
    </row>
    <row r="494" spans="1:18" x14ac:dyDescent="0.25">
      <c r="A494" t="s">
        <v>811</v>
      </c>
      <c r="B494" s="2">
        <v>45460</v>
      </c>
      <c r="C494" t="s">
        <v>132</v>
      </c>
      <c r="D494" t="s">
        <v>29</v>
      </c>
      <c r="E494" t="s">
        <v>142</v>
      </c>
      <c r="F494">
        <v>4.6420000000000003</v>
      </c>
      <c r="G494">
        <v>0</v>
      </c>
      <c r="H494">
        <v>0</v>
      </c>
      <c r="I494">
        <v>20</v>
      </c>
      <c r="J494">
        <v>0</v>
      </c>
      <c r="K494">
        <v>0</v>
      </c>
      <c r="L494" t="s">
        <v>143</v>
      </c>
      <c r="M494">
        <v>20</v>
      </c>
      <c r="N494">
        <v>1</v>
      </c>
      <c r="O494">
        <v>0.9</v>
      </c>
      <c r="P494" t="s">
        <v>114</v>
      </c>
      <c r="Q494">
        <v>0.9</v>
      </c>
      <c r="R494" t="s">
        <v>144</v>
      </c>
    </row>
    <row r="495" spans="1:18" x14ac:dyDescent="0.25">
      <c r="A495" t="s">
        <v>812</v>
      </c>
      <c r="B495" s="2">
        <v>45460</v>
      </c>
      <c r="C495" t="s">
        <v>132</v>
      </c>
      <c r="D495" t="s">
        <v>29</v>
      </c>
      <c r="E495" t="s">
        <v>142</v>
      </c>
      <c r="F495">
        <v>0.91600000000000004</v>
      </c>
      <c r="G495">
        <v>0</v>
      </c>
      <c r="H495">
        <v>0</v>
      </c>
      <c r="I495">
        <v>20</v>
      </c>
      <c r="J495">
        <v>0</v>
      </c>
      <c r="K495">
        <v>0</v>
      </c>
      <c r="L495" t="s">
        <v>143</v>
      </c>
      <c r="M495">
        <v>20</v>
      </c>
      <c r="N495">
        <v>1</v>
      </c>
      <c r="O495">
        <v>0.9</v>
      </c>
      <c r="P495" t="s">
        <v>114</v>
      </c>
      <c r="Q495">
        <v>0.9</v>
      </c>
      <c r="R495" t="s">
        <v>144</v>
      </c>
    </row>
    <row r="496" spans="1:18" x14ac:dyDescent="0.25">
      <c r="A496" t="s">
        <v>813</v>
      </c>
      <c r="B496" s="2">
        <v>45460</v>
      </c>
      <c r="C496" t="s">
        <v>132</v>
      </c>
      <c r="D496" t="s">
        <v>29</v>
      </c>
      <c r="E496" t="s">
        <v>142</v>
      </c>
      <c r="F496">
        <v>2.7469999999999999</v>
      </c>
      <c r="G496">
        <v>0</v>
      </c>
      <c r="H496">
        <v>0</v>
      </c>
      <c r="I496">
        <v>20</v>
      </c>
      <c r="J496">
        <v>0</v>
      </c>
      <c r="K496">
        <v>0</v>
      </c>
      <c r="L496" t="s">
        <v>143</v>
      </c>
      <c r="M496">
        <v>20</v>
      </c>
      <c r="N496">
        <v>1</v>
      </c>
      <c r="O496">
        <v>0.9</v>
      </c>
      <c r="P496" t="s">
        <v>114</v>
      </c>
      <c r="Q496">
        <v>0.9</v>
      </c>
      <c r="R496" t="s">
        <v>144</v>
      </c>
    </row>
    <row r="497" spans="1:18" x14ac:dyDescent="0.25">
      <c r="A497" t="s">
        <v>814</v>
      </c>
      <c r="B497" s="2">
        <v>45460</v>
      </c>
      <c r="C497" t="s">
        <v>132</v>
      </c>
      <c r="D497" t="s">
        <v>29</v>
      </c>
      <c r="E497" t="s">
        <v>142</v>
      </c>
      <c r="F497">
        <v>6.9809999999999999</v>
      </c>
      <c r="G497">
        <v>0</v>
      </c>
      <c r="H497">
        <v>0</v>
      </c>
      <c r="I497">
        <v>20</v>
      </c>
      <c r="J497">
        <v>0</v>
      </c>
      <c r="K497">
        <v>0</v>
      </c>
      <c r="L497" t="s">
        <v>143</v>
      </c>
      <c r="M497">
        <v>20</v>
      </c>
      <c r="N497">
        <v>1</v>
      </c>
      <c r="O497">
        <v>0.9</v>
      </c>
      <c r="P497" t="s">
        <v>114</v>
      </c>
      <c r="Q497">
        <v>0.9</v>
      </c>
      <c r="R497" t="s">
        <v>144</v>
      </c>
    </row>
    <row r="498" spans="1:18" x14ac:dyDescent="0.25">
      <c r="A498" t="s">
        <v>815</v>
      </c>
      <c r="B498" s="2">
        <v>45460</v>
      </c>
      <c r="C498" t="s">
        <v>132</v>
      </c>
      <c r="D498" t="s">
        <v>29</v>
      </c>
      <c r="E498" t="s">
        <v>142</v>
      </c>
      <c r="F498">
        <v>2.7250000000000001</v>
      </c>
      <c r="G498">
        <v>0</v>
      </c>
      <c r="H498">
        <v>0</v>
      </c>
      <c r="I498">
        <v>20</v>
      </c>
      <c r="J498">
        <v>0</v>
      </c>
      <c r="K498">
        <v>0</v>
      </c>
      <c r="L498" t="s">
        <v>143</v>
      </c>
      <c r="M498">
        <v>20</v>
      </c>
      <c r="N498">
        <v>1</v>
      </c>
      <c r="O498">
        <v>0.9</v>
      </c>
      <c r="P498" t="s">
        <v>114</v>
      </c>
      <c r="Q498">
        <v>0.9</v>
      </c>
      <c r="R498" t="s">
        <v>144</v>
      </c>
    </row>
    <row r="499" spans="1:18" x14ac:dyDescent="0.25">
      <c r="A499" t="s">
        <v>816</v>
      </c>
      <c r="B499" s="2">
        <v>45460</v>
      </c>
      <c r="C499" t="s">
        <v>132</v>
      </c>
      <c r="D499" t="s">
        <v>29</v>
      </c>
      <c r="E499" t="s">
        <v>142</v>
      </c>
      <c r="F499">
        <v>5.1340000000000003</v>
      </c>
      <c r="G499">
        <v>0</v>
      </c>
      <c r="H499">
        <v>0</v>
      </c>
      <c r="I499">
        <v>5</v>
      </c>
      <c r="J499">
        <v>0</v>
      </c>
      <c r="K499">
        <v>0</v>
      </c>
      <c r="L499" t="s">
        <v>817</v>
      </c>
      <c r="M499">
        <v>5</v>
      </c>
      <c r="N499">
        <v>0</v>
      </c>
      <c r="O499">
        <v>0.9</v>
      </c>
      <c r="P499" t="s">
        <v>114</v>
      </c>
      <c r="Q499">
        <v>0</v>
      </c>
      <c r="R499" t="s">
        <v>144</v>
      </c>
    </row>
    <row r="500" spans="1:18" x14ac:dyDescent="0.25">
      <c r="A500" t="s">
        <v>818</v>
      </c>
      <c r="B500" s="2">
        <v>45461</v>
      </c>
      <c r="C500" t="s">
        <v>132</v>
      </c>
      <c r="D500" t="s">
        <v>29</v>
      </c>
      <c r="E500" t="s">
        <v>142</v>
      </c>
      <c r="F500">
        <v>2.016</v>
      </c>
      <c r="G500">
        <v>0</v>
      </c>
      <c r="H500">
        <v>0</v>
      </c>
      <c r="I500">
        <v>20</v>
      </c>
      <c r="J500">
        <v>0</v>
      </c>
      <c r="K500">
        <v>0</v>
      </c>
      <c r="L500" t="s">
        <v>143</v>
      </c>
      <c r="M500">
        <v>20</v>
      </c>
      <c r="N500">
        <v>1</v>
      </c>
      <c r="O500">
        <v>0.9</v>
      </c>
      <c r="P500" t="s">
        <v>114</v>
      </c>
      <c r="Q500">
        <v>0.9</v>
      </c>
      <c r="R500" t="s">
        <v>144</v>
      </c>
    </row>
    <row r="501" spans="1:18" x14ac:dyDescent="0.25">
      <c r="A501" t="s">
        <v>819</v>
      </c>
      <c r="B501" s="2">
        <v>45461</v>
      </c>
      <c r="C501" t="s">
        <v>132</v>
      </c>
      <c r="D501" t="s">
        <v>29</v>
      </c>
      <c r="E501" t="s">
        <v>142</v>
      </c>
      <c r="F501">
        <v>10</v>
      </c>
      <c r="G501">
        <v>5.8159999999999998</v>
      </c>
      <c r="H501">
        <v>8.7240000000000002</v>
      </c>
      <c r="I501">
        <v>20</v>
      </c>
      <c r="J501">
        <v>0</v>
      </c>
      <c r="K501">
        <v>0</v>
      </c>
      <c r="L501" t="s">
        <v>143</v>
      </c>
      <c r="M501">
        <v>28.724</v>
      </c>
      <c r="N501">
        <v>1</v>
      </c>
      <c r="O501">
        <v>0.9</v>
      </c>
      <c r="P501" t="s">
        <v>114</v>
      </c>
      <c r="Q501">
        <v>0.9</v>
      </c>
      <c r="R501" t="s">
        <v>144</v>
      </c>
    </row>
    <row r="502" spans="1:18" x14ac:dyDescent="0.25">
      <c r="A502" t="s">
        <v>820</v>
      </c>
      <c r="B502" s="2">
        <v>45461</v>
      </c>
      <c r="C502" t="s">
        <v>132</v>
      </c>
      <c r="D502" t="s">
        <v>29</v>
      </c>
      <c r="E502" t="s">
        <v>142</v>
      </c>
      <c r="F502">
        <v>6.17</v>
      </c>
      <c r="G502">
        <v>0</v>
      </c>
      <c r="H502">
        <v>0</v>
      </c>
      <c r="I502">
        <v>20</v>
      </c>
      <c r="J502">
        <v>0</v>
      </c>
      <c r="K502">
        <v>0</v>
      </c>
      <c r="L502" t="s">
        <v>143</v>
      </c>
      <c r="M502">
        <v>20</v>
      </c>
      <c r="N502">
        <v>1</v>
      </c>
      <c r="O502">
        <v>0.9</v>
      </c>
      <c r="P502" t="s">
        <v>114</v>
      </c>
      <c r="Q502">
        <v>0.9</v>
      </c>
      <c r="R502" t="s">
        <v>144</v>
      </c>
    </row>
    <row r="503" spans="1:18" x14ac:dyDescent="0.25">
      <c r="A503" t="s">
        <v>821</v>
      </c>
      <c r="B503" s="2">
        <v>45461</v>
      </c>
      <c r="C503" t="s">
        <v>132</v>
      </c>
      <c r="D503" t="s">
        <v>29</v>
      </c>
      <c r="E503" t="s">
        <v>142</v>
      </c>
      <c r="F503">
        <v>6.0780000000000003</v>
      </c>
      <c r="G503">
        <v>0</v>
      </c>
      <c r="H503">
        <v>0</v>
      </c>
      <c r="I503">
        <v>20</v>
      </c>
      <c r="J503">
        <v>0</v>
      </c>
      <c r="K503">
        <v>0</v>
      </c>
      <c r="L503" t="s">
        <v>822</v>
      </c>
      <c r="M503">
        <v>20</v>
      </c>
      <c r="N503">
        <v>1</v>
      </c>
      <c r="O503">
        <v>0.9</v>
      </c>
      <c r="P503" t="s">
        <v>114</v>
      </c>
      <c r="Q503">
        <v>0.9</v>
      </c>
      <c r="R503" t="s">
        <v>144</v>
      </c>
    </row>
    <row r="504" spans="1:18" x14ac:dyDescent="0.25">
      <c r="A504" t="s">
        <v>823</v>
      </c>
      <c r="B504" s="2">
        <v>45461</v>
      </c>
      <c r="C504" t="s">
        <v>132</v>
      </c>
      <c r="D504" t="s">
        <v>29</v>
      </c>
      <c r="E504" t="s">
        <v>142</v>
      </c>
      <c r="F504">
        <v>3.8029999999999999</v>
      </c>
      <c r="G504">
        <v>0</v>
      </c>
      <c r="H504">
        <v>0</v>
      </c>
      <c r="I504">
        <v>20</v>
      </c>
      <c r="J504">
        <v>0</v>
      </c>
      <c r="K504">
        <v>0</v>
      </c>
      <c r="L504" t="s">
        <v>143</v>
      </c>
      <c r="M504">
        <v>20</v>
      </c>
      <c r="N504">
        <v>1</v>
      </c>
      <c r="O504">
        <v>0.9</v>
      </c>
      <c r="P504" t="s">
        <v>114</v>
      </c>
      <c r="Q504">
        <v>0.9</v>
      </c>
      <c r="R504" t="s">
        <v>144</v>
      </c>
    </row>
    <row r="505" spans="1:18" x14ac:dyDescent="0.25">
      <c r="A505" t="s">
        <v>824</v>
      </c>
      <c r="B505" s="2">
        <v>45461</v>
      </c>
      <c r="C505" t="s">
        <v>132</v>
      </c>
      <c r="D505" t="s">
        <v>29</v>
      </c>
      <c r="E505" t="s">
        <v>142</v>
      </c>
      <c r="F505">
        <v>1.734</v>
      </c>
      <c r="G505">
        <v>0</v>
      </c>
      <c r="H505">
        <v>0</v>
      </c>
      <c r="I505">
        <v>20</v>
      </c>
      <c r="J505">
        <v>0</v>
      </c>
      <c r="K505">
        <v>0</v>
      </c>
      <c r="L505" t="s">
        <v>143</v>
      </c>
      <c r="M505">
        <v>20</v>
      </c>
      <c r="N505">
        <v>1</v>
      </c>
      <c r="O505">
        <v>0.9</v>
      </c>
      <c r="P505" t="s">
        <v>114</v>
      </c>
      <c r="Q505">
        <v>0.9</v>
      </c>
      <c r="R505" t="s">
        <v>144</v>
      </c>
    </row>
    <row r="506" spans="1:18" x14ac:dyDescent="0.25">
      <c r="A506" t="s">
        <v>825</v>
      </c>
      <c r="B506" s="2">
        <v>45461</v>
      </c>
      <c r="C506" t="s">
        <v>132</v>
      </c>
      <c r="D506" t="s">
        <v>29</v>
      </c>
      <c r="E506" t="s">
        <v>142</v>
      </c>
      <c r="F506">
        <v>1.8220000000000001</v>
      </c>
      <c r="G506">
        <v>0</v>
      </c>
      <c r="H506">
        <v>0</v>
      </c>
      <c r="I506">
        <v>20</v>
      </c>
      <c r="J506">
        <v>0</v>
      </c>
      <c r="K506">
        <v>0</v>
      </c>
      <c r="L506" t="s">
        <v>143</v>
      </c>
      <c r="M506">
        <v>20</v>
      </c>
      <c r="N506">
        <v>1</v>
      </c>
      <c r="O506">
        <v>0.9</v>
      </c>
      <c r="P506" t="s">
        <v>114</v>
      </c>
      <c r="Q506">
        <v>0.9</v>
      </c>
      <c r="R506" t="s">
        <v>144</v>
      </c>
    </row>
    <row r="507" spans="1:18" x14ac:dyDescent="0.25">
      <c r="A507" t="s">
        <v>826</v>
      </c>
      <c r="B507" s="2">
        <v>45461</v>
      </c>
      <c r="C507" t="s">
        <v>132</v>
      </c>
      <c r="D507" t="s">
        <v>29</v>
      </c>
      <c r="E507" t="s">
        <v>142</v>
      </c>
      <c r="F507">
        <v>5.93</v>
      </c>
      <c r="G507">
        <v>0</v>
      </c>
      <c r="H507">
        <v>0</v>
      </c>
      <c r="I507">
        <v>20</v>
      </c>
      <c r="J507">
        <v>0</v>
      </c>
      <c r="K507">
        <v>0</v>
      </c>
      <c r="L507" t="s">
        <v>143</v>
      </c>
      <c r="M507">
        <v>20</v>
      </c>
      <c r="N507">
        <v>1</v>
      </c>
      <c r="O507">
        <v>0.9</v>
      </c>
      <c r="P507" t="s">
        <v>114</v>
      </c>
      <c r="Q507">
        <v>0.9</v>
      </c>
      <c r="R507" t="s">
        <v>144</v>
      </c>
    </row>
    <row r="508" spans="1:18" x14ac:dyDescent="0.25">
      <c r="A508" t="s">
        <v>827</v>
      </c>
      <c r="B508" s="2">
        <v>45461</v>
      </c>
      <c r="C508" t="s">
        <v>132</v>
      </c>
      <c r="D508" t="s">
        <v>29</v>
      </c>
      <c r="E508" t="s">
        <v>142</v>
      </c>
      <c r="F508">
        <v>9.2430000000000003</v>
      </c>
      <c r="G508">
        <v>0</v>
      </c>
      <c r="H508">
        <v>0</v>
      </c>
      <c r="I508">
        <v>20</v>
      </c>
      <c r="J508">
        <v>0</v>
      </c>
      <c r="K508">
        <v>0</v>
      </c>
      <c r="L508" t="s">
        <v>143</v>
      </c>
      <c r="M508">
        <v>20</v>
      </c>
      <c r="N508">
        <v>1</v>
      </c>
      <c r="O508">
        <v>0.9</v>
      </c>
      <c r="P508" t="s">
        <v>114</v>
      </c>
      <c r="Q508">
        <v>0.9</v>
      </c>
      <c r="R508" t="s">
        <v>144</v>
      </c>
    </row>
    <row r="509" spans="1:18" x14ac:dyDescent="0.25">
      <c r="A509" t="s">
        <v>828</v>
      </c>
      <c r="B509" s="2">
        <v>45461</v>
      </c>
      <c r="C509" t="s">
        <v>132</v>
      </c>
      <c r="D509" t="s">
        <v>29</v>
      </c>
      <c r="E509" t="s">
        <v>142</v>
      </c>
      <c r="F509">
        <v>4.6529999999999996</v>
      </c>
      <c r="G509">
        <v>0</v>
      </c>
      <c r="H509">
        <v>0</v>
      </c>
      <c r="I509">
        <v>20</v>
      </c>
      <c r="J509">
        <v>0</v>
      </c>
      <c r="K509">
        <v>0</v>
      </c>
      <c r="L509" t="s">
        <v>143</v>
      </c>
      <c r="M509">
        <v>20</v>
      </c>
      <c r="N509">
        <v>1</v>
      </c>
      <c r="O509">
        <v>0.9</v>
      </c>
      <c r="P509" t="s">
        <v>114</v>
      </c>
      <c r="Q509">
        <v>0.9</v>
      </c>
      <c r="R509" t="s">
        <v>144</v>
      </c>
    </row>
    <row r="510" spans="1:18" x14ac:dyDescent="0.25">
      <c r="A510" t="s">
        <v>829</v>
      </c>
      <c r="B510" s="2">
        <v>45461</v>
      </c>
      <c r="C510" t="s">
        <v>132</v>
      </c>
      <c r="D510" t="s">
        <v>29</v>
      </c>
      <c r="E510" t="s">
        <v>142</v>
      </c>
      <c r="F510">
        <v>2.395</v>
      </c>
      <c r="G510">
        <v>0</v>
      </c>
      <c r="H510">
        <v>0</v>
      </c>
      <c r="I510">
        <v>5</v>
      </c>
      <c r="J510">
        <v>0</v>
      </c>
      <c r="K510">
        <v>0</v>
      </c>
      <c r="L510" t="s">
        <v>830</v>
      </c>
      <c r="M510">
        <v>5</v>
      </c>
      <c r="N510">
        <v>0</v>
      </c>
      <c r="O510">
        <v>0.9</v>
      </c>
      <c r="P510" t="s">
        <v>114</v>
      </c>
      <c r="Q510">
        <v>0</v>
      </c>
      <c r="R510" t="s">
        <v>144</v>
      </c>
    </row>
    <row r="511" spans="1:18" x14ac:dyDescent="0.25">
      <c r="A511" t="s">
        <v>831</v>
      </c>
      <c r="B511" s="2">
        <v>45461</v>
      </c>
      <c r="C511" t="s">
        <v>132</v>
      </c>
      <c r="D511" t="s">
        <v>29</v>
      </c>
      <c r="E511" t="s">
        <v>142</v>
      </c>
      <c r="F511">
        <v>7.6349999999999998</v>
      </c>
      <c r="G511">
        <v>0</v>
      </c>
      <c r="H511">
        <v>0</v>
      </c>
      <c r="I511">
        <v>20</v>
      </c>
      <c r="J511">
        <v>0</v>
      </c>
      <c r="K511">
        <v>0</v>
      </c>
      <c r="L511" t="s">
        <v>143</v>
      </c>
      <c r="M511">
        <v>20</v>
      </c>
      <c r="N511">
        <v>1</v>
      </c>
      <c r="O511">
        <v>0.9</v>
      </c>
      <c r="P511" t="s">
        <v>114</v>
      </c>
      <c r="Q511">
        <v>0.9</v>
      </c>
      <c r="R511" t="s">
        <v>144</v>
      </c>
    </row>
    <row r="512" spans="1:18" x14ac:dyDescent="0.25">
      <c r="A512" t="s">
        <v>832</v>
      </c>
      <c r="B512" s="2">
        <v>45461</v>
      </c>
      <c r="C512" t="s">
        <v>132</v>
      </c>
      <c r="D512" t="s">
        <v>29</v>
      </c>
      <c r="E512" t="s">
        <v>142</v>
      </c>
      <c r="F512">
        <v>2.4710000000000001</v>
      </c>
      <c r="G512">
        <v>0</v>
      </c>
      <c r="H512">
        <v>0</v>
      </c>
      <c r="I512">
        <v>20</v>
      </c>
      <c r="J512">
        <v>0</v>
      </c>
      <c r="K512">
        <v>0</v>
      </c>
      <c r="L512" t="s">
        <v>143</v>
      </c>
      <c r="M512">
        <v>20</v>
      </c>
      <c r="N512">
        <v>1</v>
      </c>
      <c r="O512">
        <v>0.9</v>
      </c>
      <c r="P512" t="s">
        <v>114</v>
      </c>
      <c r="Q512">
        <v>0.9</v>
      </c>
      <c r="R512" t="s">
        <v>144</v>
      </c>
    </row>
    <row r="513" spans="1:18" x14ac:dyDescent="0.25">
      <c r="A513" t="s">
        <v>833</v>
      </c>
      <c r="B513" s="2">
        <v>45461</v>
      </c>
      <c r="C513" t="s">
        <v>132</v>
      </c>
      <c r="D513" t="s">
        <v>29</v>
      </c>
      <c r="E513" t="s">
        <v>142</v>
      </c>
      <c r="F513">
        <v>4.9210000000000003</v>
      </c>
      <c r="G513">
        <v>0</v>
      </c>
      <c r="H513">
        <v>0</v>
      </c>
      <c r="I513">
        <v>5</v>
      </c>
      <c r="J513">
        <v>0</v>
      </c>
      <c r="K513">
        <v>0</v>
      </c>
      <c r="L513" t="s">
        <v>834</v>
      </c>
      <c r="M513">
        <v>5</v>
      </c>
      <c r="N513">
        <v>0</v>
      </c>
      <c r="O513">
        <v>0.9</v>
      </c>
      <c r="P513" t="s">
        <v>114</v>
      </c>
      <c r="Q513">
        <v>0</v>
      </c>
      <c r="R513" t="s">
        <v>144</v>
      </c>
    </row>
    <row r="514" spans="1:18" x14ac:dyDescent="0.25">
      <c r="A514" t="s">
        <v>835</v>
      </c>
      <c r="B514" s="2">
        <v>45461</v>
      </c>
      <c r="C514" t="s">
        <v>132</v>
      </c>
      <c r="D514" t="s">
        <v>29</v>
      </c>
      <c r="E514" t="s">
        <v>142</v>
      </c>
      <c r="F514">
        <v>2.2160000000000002</v>
      </c>
      <c r="G514">
        <v>0</v>
      </c>
      <c r="H514">
        <v>0</v>
      </c>
      <c r="I514">
        <v>20</v>
      </c>
      <c r="J514">
        <v>0</v>
      </c>
      <c r="K514">
        <v>0</v>
      </c>
      <c r="L514" t="s">
        <v>143</v>
      </c>
      <c r="M514">
        <v>20</v>
      </c>
      <c r="N514">
        <v>1</v>
      </c>
      <c r="O514">
        <v>0.9</v>
      </c>
      <c r="P514" t="s">
        <v>114</v>
      </c>
      <c r="Q514">
        <v>0.9</v>
      </c>
      <c r="R514" t="s">
        <v>144</v>
      </c>
    </row>
    <row r="515" spans="1:18" x14ac:dyDescent="0.25">
      <c r="A515" t="s">
        <v>836</v>
      </c>
      <c r="B515" s="2">
        <v>45461</v>
      </c>
      <c r="C515" t="s">
        <v>132</v>
      </c>
      <c r="D515" t="s">
        <v>29</v>
      </c>
      <c r="E515" t="s">
        <v>142</v>
      </c>
      <c r="F515">
        <v>1</v>
      </c>
      <c r="G515">
        <v>0</v>
      </c>
      <c r="H515">
        <v>0</v>
      </c>
      <c r="I515">
        <v>20</v>
      </c>
      <c r="J515">
        <v>0</v>
      </c>
      <c r="K515">
        <v>0</v>
      </c>
      <c r="L515" t="s">
        <v>143</v>
      </c>
      <c r="M515">
        <v>20</v>
      </c>
      <c r="N515">
        <v>1</v>
      </c>
      <c r="O515">
        <v>0.9</v>
      </c>
      <c r="P515" t="s">
        <v>114</v>
      </c>
      <c r="Q515">
        <v>0.9</v>
      </c>
      <c r="R515" t="s">
        <v>144</v>
      </c>
    </row>
    <row r="516" spans="1:18" x14ac:dyDescent="0.25">
      <c r="A516" t="s">
        <v>837</v>
      </c>
      <c r="B516" s="2">
        <v>45462</v>
      </c>
      <c r="C516" t="s">
        <v>132</v>
      </c>
      <c r="D516" t="s">
        <v>29</v>
      </c>
      <c r="E516" t="s">
        <v>142</v>
      </c>
      <c r="F516">
        <v>6.9509999999999996</v>
      </c>
      <c r="G516">
        <v>0</v>
      </c>
      <c r="H516">
        <v>0</v>
      </c>
      <c r="I516">
        <v>20</v>
      </c>
      <c r="J516">
        <v>0</v>
      </c>
      <c r="K516">
        <v>0</v>
      </c>
      <c r="L516" t="s">
        <v>838</v>
      </c>
      <c r="M516">
        <v>20</v>
      </c>
      <c r="N516">
        <v>1</v>
      </c>
      <c r="O516">
        <v>0.9</v>
      </c>
      <c r="P516" t="s">
        <v>114</v>
      </c>
      <c r="Q516">
        <v>0.9</v>
      </c>
      <c r="R516" t="s">
        <v>144</v>
      </c>
    </row>
    <row r="517" spans="1:18" x14ac:dyDescent="0.25">
      <c r="A517" t="s">
        <v>839</v>
      </c>
      <c r="B517" s="2">
        <v>45462</v>
      </c>
      <c r="C517" t="s">
        <v>132</v>
      </c>
      <c r="D517" t="s">
        <v>29</v>
      </c>
      <c r="E517" t="s">
        <v>142</v>
      </c>
      <c r="F517">
        <v>6.9459999999999997</v>
      </c>
      <c r="G517">
        <v>0</v>
      </c>
      <c r="H517">
        <v>0</v>
      </c>
      <c r="I517">
        <v>20</v>
      </c>
      <c r="J517">
        <v>0</v>
      </c>
      <c r="K517">
        <v>0</v>
      </c>
      <c r="L517" t="s">
        <v>840</v>
      </c>
      <c r="M517">
        <v>20</v>
      </c>
      <c r="N517">
        <v>1</v>
      </c>
      <c r="O517">
        <v>0.9</v>
      </c>
      <c r="P517" t="s">
        <v>114</v>
      </c>
      <c r="Q517">
        <v>0.9</v>
      </c>
      <c r="R517" t="s">
        <v>144</v>
      </c>
    </row>
    <row r="518" spans="1:18" x14ac:dyDescent="0.25">
      <c r="A518" t="s">
        <v>841</v>
      </c>
      <c r="B518" s="2">
        <v>45462</v>
      </c>
      <c r="C518" t="s">
        <v>132</v>
      </c>
      <c r="D518" t="s">
        <v>29</v>
      </c>
      <c r="E518" t="s">
        <v>142</v>
      </c>
      <c r="F518">
        <v>5.0060000000000002</v>
      </c>
      <c r="G518">
        <v>0</v>
      </c>
      <c r="H518">
        <v>0</v>
      </c>
      <c r="I518">
        <v>20</v>
      </c>
      <c r="J518">
        <v>0</v>
      </c>
      <c r="K518">
        <v>0</v>
      </c>
      <c r="L518" t="s">
        <v>143</v>
      </c>
      <c r="M518">
        <v>20</v>
      </c>
      <c r="N518">
        <v>1</v>
      </c>
      <c r="O518">
        <v>0.9</v>
      </c>
      <c r="P518" t="s">
        <v>114</v>
      </c>
      <c r="Q518">
        <v>0.9</v>
      </c>
      <c r="R518" t="s">
        <v>144</v>
      </c>
    </row>
    <row r="519" spans="1:18" x14ac:dyDescent="0.25">
      <c r="A519" t="s">
        <v>842</v>
      </c>
      <c r="B519" s="2">
        <v>45462</v>
      </c>
      <c r="C519" t="s">
        <v>132</v>
      </c>
      <c r="D519" t="s">
        <v>29</v>
      </c>
      <c r="E519" t="s">
        <v>142</v>
      </c>
      <c r="F519">
        <v>1.353</v>
      </c>
      <c r="G519">
        <v>0</v>
      </c>
      <c r="H519">
        <v>0</v>
      </c>
      <c r="I519">
        <v>20</v>
      </c>
      <c r="J519">
        <v>0</v>
      </c>
      <c r="K519">
        <v>0</v>
      </c>
      <c r="L519" t="s">
        <v>143</v>
      </c>
      <c r="M519">
        <v>20</v>
      </c>
      <c r="N519">
        <v>1</v>
      </c>
      <c r="O519">
        <v>0.9</v>
      </c>
      <c r="P519" t="s">
        <v>114</v>
      </c>
      <c r="Q519">
        <v>0.9</v>
      </c>
      <c r="R519" t="s">
        <v>144</v>
      </c>
    </row>
    <row r="520" spans="1:18" x14ac:dyDescent="0.25">
      <c r="A520" t="s">
        <v>843</v>
      </c>
      <c r="B520" s="2">
        <v>45462</v>
      </c>
      <c r="C520" t="s">
        <v>132</v>
      </c>
      <c r="D520" t="s">
        <v>29</v>
      </c>
      <c r="E520" t="s">
        <v>142</v>
      </c>
      <c r="F520">
        <v>10</v>
      </c>
      <c r="G520">
        <v>20.042999999999999</v>
      </c>
      <c r="H520">
        <v>30.064499999999999</v>
      </c>
      <c r="I520">
        <v>20</v>
      </c>
      <c r="J520">
        <v>0</v>
      </c>
      <c r="K520">
        <v>0</v>
      </c>
      <c r="L520" t="s">
        <v>143</v>
      </c>
      <c r="M520">
        <v>50.064500000000002</v>
      </c>
      <c r="N520">
        <v>1</v>
      </c>
      <c r="O520">
        <v>0.9</v>
      </c>
      <c r="P520" t="s">
        <v>114</v>
      </c>
      <c r="Q520">
        <v>0.9</v>
      </c>
      <c r="R520" t="s">
        <v>144</v>
      </c>
    </row>
    <row r="521" spans="1:18" x14ac:dyDescent="0.25">
      <c r="A521" t="s">
        <v>844</v>
      </c>
      <c r="B521" s="2">
        <v>45462</v>
      </c>
      <c r="C521" t="s">
        <v>132</v>
      </c>
      <c r="D521" t="s">
        <v>29</v>
      </c>
      <c r="E521" t="s">
        <v>142</v>
      </c>
      <c r="F521">
        <v>9.266</v>
      </c>
      <c r="G521">
        <v>0</v>
      </c>
      <c r="H521">
        <v>0</v>
      </c>
      <c r="I521">
        <v>20</v>
      </c>
      <c r="J521">
        <v>0</v>
      </c>
      <c r="K521">
        <v>0</v>
      </c>
      <c r="L521" t="s">
        <v>143</v>
      </c>
      <c r="M521">
        <v>20</v>
      </c>
      <c r="N521">
        <v>1</v>
      </c>
      <c r="O521">
        <v>0.9</v>
      </c>
      <c r="P521" t="s">
        <v>114</v>
      </c>
      <c r="Q521">
        <v>0.9</v>
      </c>
      <c r="R521" t="s">
        <v>144</v>
      </c>
    </row>
    <row r="522" spans="1:18" x14ac:dyDescent="0.25">
      <c r="A522" t="s">
        <v>845</v>
      </c>
      <c r="B522" s="2">
        <v>45462</v>
      </c>
      <c r="C522" t="s">
        <v>132</v>
      </c>
      <c r="D522" t="s">
        <v>29</v>
      </c>
      <c r="E522" t="s">
        <v>142</v>
      </c>
      <c r="F522">
        <v>5.1189999999999998</v>
      </c>
      <c r="G522">
        <v>0</v>
      </c>
      <c r="H522">
        <v>0</v>
      </c>
      <c r="I522">
        <v>5</v>
      </c>
      <c r="J522">
        <v>0</v>
      </c>
      <c r="K522">
        <v>0</v>
      </c>
      <c r="L522" t="s">
        <v>846</v>
      </c>
      <c r="M522">
        <v>5</v>
      </c>
      <c r="N522">
        <v>0</v>
      </c>
      <c r="O522">
        <v>0.9</v>
      </c>
      <c r="P522" t="s">
        <v>114</v>
      </c>
      <c r="Q522">
        <v>0</v>
      </c>
      <c r="R522" t="s">
        <v>144</v>
      </c>
    </row>
    <row r="523" spans="1:18" x14ac:dyDescent="0.25">
      <c r="A523" t="s">
        <v>847</v>
      </c>
      <c r="B523" s="2">
        <v>45462</v>
      </c>
      <c r="C523" t="s">
        <v>132</v>
      </c>
      <c r="D523" t="s">
        <v>29</v>
      </c>
      <c r="E523" t="s">
        <v>142</v>
      </c>
      <c r="F523">
        <v>4.1580000000000004</v>
      </c>
      <c r="G523">
        <v>0</v>
      </c>
      <c r="H523">
        <v>0</v>
      </c>
      <c r="I523">
        <v>5</v>
      </c>
      <c r="J523">
        <v>0</v>
      </c>
      <c r="K523">
        <v>0</v>
      </c>
      <c r="L523" t="s">
        <v>848</v>
      </c>
      <c r="M523">
        <v>5</v>
      </c>
      <c r="N523">
        <v>0</v>
      </c>
      <c r="O523">
        <v>0.9</v>
      </c>
      <c r="P523" t="s">
        <v>114</v>
      </c>
      <c r="Q523">
        <v>0</v>
      </c>
      <c r="R523" t="s">
        <v>144</v>
      </c>
    </row>
    <row r="524" spans="1:18" x14ac:dyDescent="0.25">
      <c r="A524" t="s">
        <v>849</v>
      </c>
      <c r="B524" s="2">
        <v>45463</v>
      </c>
      <c r="C524" t="s">
        <v>132</v>
      </c>
      <c r="D524" t="s">
        <v>29</v>
      </c>
      <c r="E524" t="s">
        <v>142</v>
      </c>
      <c r="F524">
        <v>3.601</v>
      </c>
      <c r="G524">
        <v>0</v>
      </c>
      <c r="H524">
        <v>0</v>
      </c>
      <c r="I524">
        <v>20</v>
      </c>
      <c r="J524">
        <v>0</v>
      </c>
      <c r="K524">
        <v>0</v>
      </c>
      <c r="L524" t="s">
        <v>143</v>
      </c>
      <c r="M524">
        <v>20</v>
      </c>
      <c r="N524">
        <v>1</v>
      </c>
      <c r="O524">
        <v>0.9</v>
      </c>
      <c r="P524" t="s">
        <v>114</v>
      </c>
      <c r="Q524">
        <v>0.9</v>
      </c>
      <c r="R524" t="s">
        <v>144</v>
      </c>
    </row>
    <row r="525" spans="1:18" x14ac:dyDescent="0.25">
      <c r="A525" t="s">
        <v>850</v>
      </c>
      <c r="B525" s="2">
        <v>45463</v>
      </c>
      <c r="C525" t="s">
        <v>132</v>
      </c>
      <c r="D525" t="s">
        <v>29</v>
      </c>
      <c r="E525" t="s">
        <v>142</v>
      </c>
      <c r="F525">
        <v>5.8920000000000003</v>
      </c>
      <c r="G525">
        <v>0</v>
      </c>
      <c r="H525">
        <v>0</v>
      </c>
      <c r="I525">
        <v>20</v>
      </c>
      <c r="J525">
        <v>0</v>
      </c>
      <c r="K525">
        <v>0</v>
      </c>
      <c r="L525" t="s">
        <v>143</v>
      </c>
      <c r="M525">
        <v>20</v>
      </c>
      <c r="N525">
        <v>1</v>
      </c>
      <c r="O525">
        <v>0.9</v>
      </c>
      <c r="P525" t="s">
        <v>114</v>
      </c>
      <c r="Q525">
        <v>0.9</v>
      </c>
      <c r="R525" t="s">
        <v>144</v>
      </c>
    </row>
    <row r="526" spans="1:18" x14ac:dyDescent="0.25">
      <c r="A526" t="s">
        <v>851</v>
      </c>
      <c r="B526" s="2">
        <v>45463</v>
      </c>
      <c r="C526" t="s">
        <v>132</v>
      </c>
      <c r="D526" t="s">
        <v>29</v>
      </c>
      <c r="E526" t="s">
        <v>142</v>
      </c>
      <c r="F526">
        <v>1.2090000000000001</v>
      </c>
      <c r="G526">
        <v>0</v>
      </c>
      <c r="H526">
        <v>0</v>
      </c>
      <c r="I526">
        <v>20</v>
      </c>
      <c r="J526">
        <v>0</v>
      </c>
      <c r="K526">
        <v>0</v>
      </c>
      <c r="L526" t="s">
        <v>143</v>
      </c>
      <c r="M526">
        <v>20</v>
      </c>
      <c r="N526">
        <v>1</v>
      </c>
      <c r="O526">
        <v>0.9</v>
      </c>
      <c r="P526" t="s">
        <v>114</v>
      </c>
      <c r="Q526">
        <v>0.9</v>
      </c>
      <c r="R526" t="s">
        <v>144</v>
      </c>
    </row>
    <row r="527" spans="1:18" x14ac:dyDescent="0.25">
      <c r="A527" t="s">
        <v>852</v>
      </c>
      <c r="B527" s="2">
        <v>45463</v>
      </c>
      <c r="C527" t="s">
        <v>132</v>
      </c>
      <c r="D527" t="s">
        <v>29</v>
      </c>
      <c r="E527" t="s">
        <v>142</v>
      </c>
      <c r="F527">
        <v>5.39</v>
      </c>
      <c r="G527">
        <v>0</v>
      </c>
      <c r="H527">
        <v>0</v>
      </c>
      <c r="I527">
        <v>5</v>
      </c>
      <c r="J527">
        <v>0</v>
      </c>
      <c r="K527">
        <v>0</v>
      </c>
      <c r="L527" t="s">
        <v>853</v>
      </c>
      <c r="M527">
        <v>5</v>
      </c>
      <c r="N527">
        <v>0</v>
      </c>
      <c r="O527">
        <v>0.9</v>
      </c>
      <c r="P527" t="s">
        <v>114</v>
      </c>
      <c r="Q527">
        <v>0</v>
      </c>
      <c r="R527" t="s">
        <v>144</v>
      </c>
    </row>
    <row r="528" spans="1:18" x14ac:dyDescent="0.25">
      <c r="A528" t="s">
        <v>854</v>
      </c>
      <c r="B528" s="2">
        <v>45463</v>
      </c>
      <c r="C528" t="s">
        <v>132</v>
      </c>
      <c r="D528" t="s">
        <v>29</v>
      </c>
      <c r="E528" t="s">
        <v>142</v>
      </c>
      <c r="F528">
        <v>3.1539999999999999</v>
      </c>
      <c r="G528">
        <v>0</v>
      </c>
      <c r="H528">
        <v>0</v>
      </c>
      <c r="I528">
        <v>20</v>
      </c>
      <c r="J528">
        <v>0</v>
      </c>
      <c r="K528">
        <v>0</v>
      </c>
      <c r="L528" t="s">
        <v>143</v>
      </c>
      <c r="M528">
        <v>20</v>
      </c>
      <c r="N528">
        <v>1</v>
      </c>
      <c r="O528">
        <v>0.9</v>
      </c>
      <c r="P528" t="s">
        <v>114</v>
      </c>
      <c r="Q528">
        <v>0.9</v>
      </c>
      <c r="R528" t="s">
        <v>144</v>
      </c>
    </row>
    <row r="529" spans="1:18" x14ac:dyDescent="0.25">
      <c r="A529" t="s">
        <v>855</v>
      </c>
      <c r="B529" s="2">
        <v>45463</v>
      </c>
      <c r="C529" t="s">
        <v>132</v>
      </c>
      <c r="D529" t="s">
        <v>29</v>
      </c>
      <c r="E529" t="s">
        <v>142</v>
      </c>
      <c r="F529">
        <v>8.8729999999999993</v>
      </c>
      <c r="G529">
        <v>0</v>
      </c>
      <c r="H529">
        <v>0</v>
      </c>
      <c r="I529">
        <v>20</v>
      </c>
      <c r="J529">
        <v>0</v>
      </c>
      <c r="K529">
        <v>0</v>
      </c>
      <c r="L529" t="s">
        <v>143</v>
      </c>
      <c r="M529">
        <v>20</v>
      </c>
      <c r="N529">
        <v>1</v>
      </c>
      <c r="O529">
        <v>0.9</v>
      </c>
      <c r="P529" t="s">
        <v>114</v>
      </c>
      <c r="Q529">
        <v>0.9</v>
      </c>
      <c r="R529" t="s">
        <v>144</v>
      </c>
    </row>
    <row r="530" spans="1:18" x14ac:dyDescent="0.25">
      <c r="A530" t="s">
        <v>856</v>
      </c>
      <c r="B530" s="2">
        <v>45463</v>
      </c>
      <c r="C530" t="s">
        <v>132</v>
      </c>
      <c r="D530" t="s">
        <v>29</v>
      </c>
      <c r="E530" t="s">
        <v>142</v>
      </c>
      <c r="F530">
        <v>6.6059999999999999</v>
      </c>
      <c r="G530">
        <v>0</v>
      </c>
      <c r="H530">
        <v>0</v>
      </c>
      <c r="I530">
        <v>20</v>
      </c>
      <c r="J530">
        <v>0</v>
      </c>
      <c r="K530">
        <v>0</v>
      </c>
      <c r="L530" t="s">
        <v>143</v>
      </c>
      <c r="M530">
        <v>20</v>
      </c>
      <c r="N530">
        <v>1</v>
      </c>
      <c r="O530">
        <v>0.9</v>
      </c>
      <c r="P530" t="s">
        <v>114</v>
      </c>
      <c r="Q530">
        <v>0.9</v>
      </c>
      <c r="R530" t="s">
        <v>144</v>
      </c>
    </row>
    <row r="531" spans="1:18" x14ac:dyDescent="0.25">
      <c r="A531" t="s">
        <v>857</v>
      </c>
      <c r="B531" s="2">
        <v>45463</v>
      </c>
      <c r="C531" t="s">
        <v>132</v>
      </c>
      <c r="D531" t="s">
        <v>29</v>
      </c>
      <c r="E531" t="s">
        <v>142</v>
      </c>
      <c r="F531">
        <v>1.1200000000000001</v>
      </c>
      <c r="G531">
        <v>0</v>
      </c>
      <c r="H531">
        <v>0</v>
      </c>
      <c r="I531">
        <v>20</v>
      </c>
      <c r="J531">
        <v>0</v>
      </c>
      <c r="K531">
        <v>0</v>
      </c>
      <c r="L531" t="s">
        <v>527</v>
      </c>
      <c r="M531">
        <v>20</v>
      </c>
      <c r="N531">
        <v>1</v>
      </c>
      <c r="O531">
        <v>0.9</v>
      </c>
      <c r="P531" t="s">
        <v>114</v>
      </c>
      <c r="Q531">
        <v>0.9</v>
      </c>
      <c r="R531" t="s">
        <v>144</v>
      </c>
    </row>
    <row r="532" spans="1:18" x14ac:dyDescent="0.25">
      <c r="A532" t="s">
        <v>858</v>
      </c>
      <c r="B532" s="2">
        <v>45463</v>
      </c>
      <c r="C532" t="s">
        <v>132</v>
      </c>
      <c r="D532" t="s">
        <v>29</v>
      </c>
      <c r="E532" t="s">
        <v>142</v>
      </c>
      <c r="F532">
        <v>10</v>
      </c>
      <c r="G532">
        <v>6.9109999999999996</v>
      </c>
      <c r="H532">
        <v>10.3665</v>
      </c>
      <c r="I532">
        <v>20</v>
      </c>
      <c r="J532">
        <v>0</v>
      </c>
      <c r="K532">
        <v>0</v>
      </c>
      <c r="L532" t="s">
        <v>143</v>
      </c>
      <c r="M532">
        <v>30.366499999999998</v>
      </c>
      <c r="N532">
        <v>1</v>
      </c>
      <c r="O532">
        <v>0.9</v>
      </c>
      <c r="P532" t="s">
        <v>114</v>
      </c>
      <c r="Q532">
        <v>0.9</v>
      </c>
      <c r="R532" t="s">
        <v>144</v>
      </c>
    </row>
    <row r="533" spans="1:18" x14ac:dyDescent="0.25">
      <c r="A533" t="s">
        <v>859</v>
      </c>
      <c r="B533" s="2">
        <v>45463</v>
      </c>
      <c r="C533" t="s">
        <v>132</v>
      </c>
      <c r="D533" t="s">
        <v>29</v>
      </c>
      <c r="E533" t="s">
        <v>142</v>
      </c>
      <c r="F533">
        <v>10</v>
      </c>
      <c r="G533">
        <v>3.867</v>
      </c>
      <c r="H533">
        <v>5.8005000000000004</v>
      </c>
      <c r="I533">
        <v>20</v>
      </c>
      <c r="J533">
        <v>0</v>
      </c>
      <c r="K533">
        <v>0</v>
      </c>
      <c r="L533" t="s">
        <v>143</v>
      </c>
      <c r="M533">
        <v>25.8005</v>
      </c>
      <c r="N533">
        <v>1</v>
      </c>
      <c r="O533">
        <v>0.9</v>
      </c>
      <c r="P533" t="s">
        <v>114</v>
      </c>
      <c r="Q533">
        <v>0.9</v>
      </c>
      <c r="R533" t="s">
        <v>144</v>
      </c>
    </row>
    <row r="534" spans="1:18" x14ac:dyDescent="0.25">
      <c r="A534" t="s">
        <v>860</v>
      </c>
      <c r="B534" s="2">
        <v>45463</v>
      </c>
      <c r="C534" t="s">
        <v>132</v>
      </c>
      <c r="D534" t="s">
        <v>29</v>
      </c>
      <c r="E534" t="s">
        <v>142</v>
      </c>
      <c r="F534">
        <v>3.056</v>
      </c>
      <c r="G534">
        <v>0</v>
      </c>
      <c r="H534">
        <v>0</v>
      </c>
      <c r="I534">
        <v>20</v>
      </c>
      <c r="J534">
        <v>0</v>
      </c>
      <c r="K534">
        <v>0</v>
      </c>
      <c r="L534" t="s">
        <v>143</v>
      </c>
      <c r="M534">
        <v>20</v>
      </c>
      <c r="N534">
        <v>1</v>
      </c>
      <c r="O534">
        <v>0.9</v>
      </c>
      <c r="P534" t="s">
        <v>114</v>
      </c>
      <c r="Q534">
        <v>0.9</v>
      </c>
      <c r="R534" t="s">
        <v>144</v>
      </c>
    </row>
    <row r="535" spans="1:18" x14ac:dyDescent="0.25">
      <c r="A535" t="s">
        <v>861</v>
      </c>
      <c r="B535" s="2">
        <v>45463</v>
      </c>
      <c r="C535" t="s">
        <v>132</v>
      </c>
      <c r="D535" t="s">
        <v>29</v>
      </c>
      <c r="E535" t="s">
        <v>142</v>
      </c>
      <c r="F535">
        <v>3.3039999999999998</v>
      </c>
      <c r="G535">
        <v>0</v>
      </c>
      <c r="H535">
        <v>0</v>
      </c>
      <c r="I535">
        <v>20</v>
      </c>
      <c r="J535">
        <v>0</v>
      </c>
      <c r="K535">
        <v>0</v>
      </c>
      <c r="L535" t="s">
        <v>143</v>
      </c>
      <c r="M535">
        <v>20</v>
      </c>
      <c r="N535">
        <v>1</v>
      </c>
      <c r="O535">
        <v>0.9</v>
      </c>
      <c r="P535" t="s">
        <v>114</v>
      </c>
      <c r="Q535">
        <v>0.9</v>
      </c>
      <c r="R535" t="s">
        <v>144</v>
      </c>
    </row>
    <row r="536" spans="1:18" x14ac:dyDescent="0.25">
      <c r="A536" t="s">
        <v>862</v>
      </c>
      <c r="B536" s="2">
        <v>45463</v>
      </c>
      <c r="C536" t="s">
        <v>132</v>
      </c>
      <c r="D536" t="s">
        <v>29</v>
      </c>
      <c r="E536" t="s">
        <v>142</v>
      </c>
      <c r="F536">
        <v>3.5659999999999998</v>
      </c>
      <c r="G536">
        <v>0</v>
      </c>
      <c r="H536">
        <v>0</v>
      </c>
      <c r="I536">
        <v>20</v>
      </c>
      <c r="J536">
        <v>0</v>
      </c>
      <c r="K536">
        <v>0</v>
      </c>
      <c r="L536" t="s">
        <v>143</v>
      </c>
      <c r="M536">
        <v>20</v>
      </c>
      <c r="N536">
        <v>1</v>
      </c>
      <c r="O536">
        <v>0.9</v>
      </c>
      <c r="P536" t="s">
        <v>114</v>
      </c>
      <c r="Q536">
        <v>0.9</v>
      </c>
      <c r="R536" t="s">
        <v>144</v>
      </c>
    </row>
    <row r="537" spans="1:18" x14ac:dyDescent="0.25">
      <c r="A537" t="s">
        <v>863</v>
      </c>
      <c r="B537" s="2">
        <v>45464</v>
      </c>
      <c r="C537" t="s">
        <v>132</v>
      </c>
      <c r="D537" t="s">
        <v>29</v>
      </c>
      <c r="E537" t="s">
        <v>142</v>
      </c>
      <c r="F537">
        <v>8.8859999999999992</v>
      </c>
      <c r="G537">
        <v>0</v>
      </c>
      <c r="H537">
        <v>0</v>
      </c>
      <c r="I537">
        <v>5</v>
      </c>
      <c r="J537">
        <v>0</v>
      </c>
      <c r="K537">
        <v>0</v>
      </c>
      <c r="L537" t="s">
        <v>864</v>
      </c>
      <c r="M537">
        <v>5</v>
      </c>
      <c r="N537">
        <v>0</v>
      </c>
      <c r="O537">
        <v>0.9</v>
      </c>
      <c r="P537" t="s">
        <v>114</v>
      </c>
      <c r="Q537">
        <v>0</v>
      </c>
      <c r="R537" t="s">
        <v>144</v>
      </c>
    </row>
    <row r="538" spans="1:18" x14ac:dyDescent="0.25">
      <c r="A538" t="s">
        <v>865</v>
      </c>
      <c r="B538" s="2">
        <v>45464</v>
      </c>
      <c r="C538" t="s">
        <v>132</v>
      </c>
      <c r="D538" t="s">
        <v>29</v>
      </c>
      <c r="E538" t="s">
        <v>142</v>
      </c>
      <c r="F538">
        <v>0.91600000000000004</v>
      </c>
      <c r="G538">
        <v>0</v>
      </c>
      <c r="H538">
        <v>0</v>
      </c>
      <c r="I538">
        <v>20</v>
      </c>
      <c r="J538">
        <v>0</v>
      </c>
      <c r="K538">
        <v>0</v>
      </c>
      <c r="L538" t="s">
        <v>143</v>
      </c>
      <c r="M538">
        <v>20</v>
      </c>
      <c r="N538">
        <v>1</v>
      </c>
      <c r="O538">
        <v>0.9</v>
      </c>
      <c r="P538" t="s">
        <v>114</v>
      </c>
      <c r="Q538">
        <v>0.9</v>
      </c>
      <c r="R538" t="s">
        <v>144</v>
      </c>
    </row>
    <row r="539" spans="1:18" x14ac:dyDescent="0.25">
      <c r="A539" t="s">
        <v>866</v>
      </c>
      <c r="B539" s="2">
        <v>45464</v>
      </c>
      <c r="C539" t="s">
        <v>132</v>
      </c>
      <c r="D539" t="s">
        <v>29</v>
      </c>
      <c r="E539" t="s">
        <v>142</v>
      </c>
      <c r="F539">
        <v>10</v>
      </c>
      <c r="G539">
        <v>11.49</v>
      </c>
      <c r="H539">
        <v>17.234999999999999</v>
      </c>
      <c r="I539">
        <v>20</v>
      </c>
      <c r="J539">
        <v>0</v>
      </c>
      <c r="K539">
        <v>0</v>
      </c>
      <c r="L539" t="s">
        <v>143</v>
      </c>
      <c r="M539">
        <v>37.234999999999999</v>
      </c>
      <c r="N539">
        <v>1</v>
      </c>
      <c r="O539">
        <v>0.9</v>
      </c>
      <c r="P539" t="s">
        <v>114</v>
      </c>
      <c r="Q539">
        <v>0.9</v>
      </c>
      <c r="R539" t="s">
        <v>144</v>
      </c>
    </row>
    <row r="540" spans="1:18" x14ac:dyDescent="0.25">
      <c r="A540" t="s">
        <v>867</v>
      </c>
      <c r="B540" s="2">
        <v>45464</v>
      </c>
      <c r="C540" t="s">
        <v>132</v>
      </c>
      <c r="D540" t="s">
        <v>29</v>
      </c>
      <c r="E540" t="s">
        <v>142</v>
      </c>
      <c r="F540">
        <v>6.2279999999999998</v>
      </c>
      <c r="G540">
        <v>0</v>
      </c>
      <c r="H540">
        <v>0</v>
      </c>
      <c r="I540">
        <v>20</v>
      </c>
      <c r="J540">
        <v>0</v>
      </c>
      <c r="K540">
        <v>0</v>
      </c>
      <c r="L540" t="s">
        <v>143</v>
      </c>
      <c r="M540">
        <v>20</v>
      </c>
      <c r="N540">
        <v>1</v>
      </c>
      <c r="O540">
        <v>0.9</v>
      </c>
      <c r="P540" t="s">
        <v>114</v>
      </c>
      <c r="Q540">
        <v>0.9</v>
      </c>
      <c r="R540" t="s">
        <v>144</v>
      </c>
    </row>
    <row r="541" spans="1:18" x14ac:dyDescent="0.25">
      <c r="A541" t="s">
        <v>868</v>
      </c>
      <c r="B541" s="2">
        <v>45464</v>
      </c>
      <c r="C541" t="s">
        <v>132</v>
      </c>
      <c r="D541" t="s">
        <v>29</v>
      </c>
      <c r="E541" t="s">
        <v>142</v>
      </c>
      <c r="F541">
        <v>4.6829999999999998</v>
      </c>
      <c r="G541">
        <v>0</v>
      </c>
      <c r="H541">
        <v>0</v>
      </c>
      <c r="I541">
        <v>20</v>
      </c>
      <c r="J541">
        <v>0</v>
      </c>
      <c r="K541">
        <v>0</v>
      </c>
      <c r="L541" t="s">
        <v>143</v>
      </c>
      <c r="M541">
        <v>20</v>
      </c>
      <c r="N541">
        <v>1</v>
      </c>
      <c r="O541">
        <v>0.9</v>
      </c>
      <c r="P541" t="s">
        <v>114</v>
      </c>
      <c r="Q541">
        <v>0.9</v>
      </c>
      <c r="R541" t="s">
        <v>144</v>
      </c>
    </row>
    <row r="542" spans="1:18" x14ac:dyDescent="0.25">
      <c r="A542" t="s">
        <v>869</v>
      </c>
      <c r="B542" s="2">
        <v>45464</v>
      </c>
      <c r="C542" t="s">
        <v>132</v>
      </c>
      <c r="D542" t="s">
        <v>29</v>
      </c>
      <c r="E542" t="s">
        <v>142</v>
      </c>
      <c r="F542">
        <v>6.9640000000000004</v>
      </c>
      <c r="G542">
        <v>0</v>
      </c>
      <c r="H542">
        <v>0</v>
      </c>
      <c r="I542">
        <v>20</v>
      </c>
      <c r="J542">
        <v>0</v>
      </c>
      <c r="K542">
        <v>0</v>
      </c>
      <c r="L542" t="s">
        <v>143</v>
      </c>
      <c r="M542">
        <v>20</v>
      </c>
      <c r="N542">
        <v>1</v>
      </c>
      <c r="O542">
        <v>0.9</v>
      </c>
      <c r="P542" t="s">
        <v>114</v>
      </c>
      <c r="Q542">
        <v>0.9</v>
      </c>
      <c r="R542" t="s">
        <v>144</v>
      </c>
    </row>
    <row r="543" spans="1:18" x14ac:dyDescent="0.25">
      <c r="A543" t="s">
        <v>870</v>
      </c>
      <c r="B543" s="2">
        <v>45464</v>
      </c>
      <c r="C543" t="s">
        <v>132</v>
      </c>
      <c r="D543" t="s">
        <v>29</v>
      </c>
      <c r="E543" t="s">
        <v>142</v>
      </c>
      <c r="F543">
        <v>10</v>
      </c>
      <c r="G543">
        <v>3.8639999999999999</v>
      </c>
      <c r="H543">
        <v>5.7960000000000003</v>
      </c>
      <c r="I543">
        <v>20</v>
      </c>
      <c r="J543">
        <v>0</v>
      </c>
      <c r="K543">
        <v>0</v>
      </c>
      <c r="L543" t="s">
        <v>143</v>
      </c>
      <c r="M543">
        <v>25.795999999999999</v>
      </c>
      <c r="N543">
        <v>1</v>
      </c>
      <c r="O543">
        <v>0.9</v>
      </c>
      <c r="P543" t="s">
        <v>114</v>
      </c>
      <c r="Q543">
        <v>0.9</v>
      </c>
      <c r="R543" t="s">
        <v>144</v>
      </c>
    </row>
    <row r="544" spans="1:18" x14ac:dyDescent="0.25">
      <c r="A544" t="s">
        <v>871</v>
      </c>
      <c r="B544" s="2">
        <v>45464</v>
      </c>
      <c r="C544" t="s">
        <v>132</v>
      </c>
      <c r="D544" t="s">
        <v>29</v>
      </c>
      <c r="E544" t="s">
        <v>142</v>
      </c>
      <c r="F544">
        <v>9.3030000000000008</v>
      </c>
      <c r="G544">
        <v>0</v>
      </c>
      <c r="H544">
        <v>0</v>
      </c>
      <c r="I544">
        <v>20</v>
      </c>
      <c r="J544">
        <v>0</v>
      </c>
      <c r="K544">
        <v>0</v>
      </c>
      <c r="L544" t="s">
        <v>143</v>
      </c>
      <c r="M544">
        <v>20</v>
      </c>
      <c r="N544">
        <v>1</v>
      </c>
      <c r="O544">
        <v>0.9</v>
      </c>
      <c r="P544" t="s">
        <v>114</v>
      </c>
      <c r="Q544">
        <v>0.9</v>
      </c>
      <c r="R544" t="s">
        <v>144</v>
      </c>
    </row>
    <row r="545" spans="1:18" x14ac:dyDescent="0.25">
      <c r="A545" t="s">
        <v>872</v>
      </c>
      <c r="B545" s="2">
        <v>45464</v>
      </c>
      <c r="C545" t="s">
        <v>132</v>
      </c>
      <c r="D545" t="s">
        <v>29</v>
      </c>
      <c r="E545" t="s">
        <v>142</v>
      </c>
      <c r="F545">
        <v>9.8610000000000007</v>
      </c>
      <c r="G545">
        <v>0</v>
      </c>
      <c r="H545">
        <v>0</v>
      </c>
      <c r="I545">
        <v>20</v>
      </c>
      <c r="J545">
        <v>0</v>
      </c>
      <c r="K545">
        <v>0</v>
      </c>
      <c r="L545" t="s">
        <v>143</v>
      </c>
      <c r="M545">
        <v>20</v>
      </c>
      <c r="N545">
        <v>1</v>
      </c>
      <c r="O545">
        <v>0.9</v>
      </c>
      <c r="P545" t="s">
        <v>114</v>
      </c>
      <c r="Q545">
        <v>0.9</v>
      </c>
      <c r="R545" t="s">
        <v>144</v>
      </c>
    </row>
    <row r="546" spans="1:18" x14ac:dyDescent="0.25">
      <c r="A546" t="s">
        <v>873</v>
      </c>
      <c r="B546" s="2">
        <v>45465</v>
      </c>
      <c r="C546" t="s">
        <v>132</v>
      </c>
      <c r="D546" t="s">
        <v>29</v>
      </c>
      <c r="E546" t="s">
        <v>142</v>
      </c>
      <c r="F546">
        <v>5.8920000000000003</v>
      </c>
      <c r="G546">
        <v>0</v>
      </c>
      <c r="H546">
        <v>0</v>
      </c>
      <c r="I546">
        <v>20</v>
      </c>
      <c r="J546">
        <v>0</v>
      </c>
      <c r="K546">
        <v>0</v>
      </c>
      <c r="L546" t="s">
        <v>143</v>
      </c>
      <c r="M546">
        <v>20</v>
      </c>
      <c r="N546">
        <v>1</v>
      </c>
      <c r="O546">
        <v>0.9</v>
      </c>
      <c r="P546" t="s">
        <v>114</v>
      </c>
      <c r="Q546">
        <v>0.9</v>
      </c>
      <c r="R546" t="s">
        <v>144</v>
      </c>
    </row>
    <row r="547" spans="1:18" x14ac:dyDescent="0.25">
      <c r="A547" t="s">
        <v>874</v>
      </c>
      <c r="B547" s="2">
        <v>45465</v>
      </c>
      <c r="C547" t="s">
        <v>132</v>
      </c>
      <c r="D547" t="s">
        <v>29</v>
      </c>
      <c r="E547" t="s">
        <v>142</v>
      </c>
      <c r="F547">
        <v>5.84</v>
      </c>
      <c r="G547">
        <v>0</v>
      </c>
      <c r="H547">
        <v>0</v>
      </c>
      <c r="I547">
        <v>20</v>
      </c>
      <c r="J547">
        <v>0</v>
      </c>
      <c r="K547">
        <v>0</v>
      </c>
      <c r="L547" t="s">
        <v>143</v>
      </c>
      <c r="M547">
        <v>20</v>
      </c>
      <c r="N547">
        <v>1</v>
      </c>
      <c r="O547">
        <v>0.9</v>
      </c>
      <c r="P547" t="s">
        <v>114</v>
      </c>
      <c r="Q547">
        <v>0.9</v>
      </c>
      <c r="R547" t="s">
        <v>144</v>
      </c>
    </row>
    <row r="548" spans="1:18" x14ac:dyDescent="0.25">
      <c r="A548" t="s">
        <v>875</v>
      </c>
      <c r="B548" s="2">
        <v>45465</v>
      </c>
      <c r="C548" t="s">
        <v>132</v>
      </c>
      <c r="D548" t="s">
        <v>29</v>
      </c>
      <c r="E548" t="s">
        <v>142</v>
      </c>
      <c r="F548">
        <v>5.6130000000000004</v>
      </c>
      <c r="G548">
        <v>0</v>
      </c>
      <c r="H548">
        <v>0</v>
      </c>
      <c r="I548">
        <v>20</v>
      </c>
      <c r="J548">
        <v>0</v>
      </c>
      <c r="K548">
        <v>0</v>
      </c>
      <c r="L548" t="s">
        <v>143</v>
      </c>
      <c r="M548">
        <v>20</v>
      </c>
      <c r="N548">
        <v>1</v>
      </c>
      <c r="O548">
        <v>0.9</v>
      </c>
      <c r="P548" t="s">
        <v>114</v>
      </c>
      <c r="Q548">
        <v>0.9</v>
      </c>
      <c r="R548" t="s">
        <v>144</v>
      </c>
    </row>
    <row r="549" spans="1:18" x14ac:dyDescent="0.25">
      <c r="A549" t="s">
        <v>876</v>
      </c>
      <c r="B549" s="2">
        <v>45465</v>
      </c>
      <c r="C549" t="s">
        <v>132</v>
      </c>
      <c r="D549" t="s">
        <v>29</v>
      </c>
      <c r="E549" t="s">
        <v>142</v>
      </c>
      <c r="F549">
        <v>1.2090000000000001</v>
      </c>
      <c r="G549">
        <v>0</v>
      </c>
      <c r="H549">
        <v>0</v>
      </c>
      <c r="I549">
        <v>20</v>
      </c>
      <c r="J549">
        <v>0</v>
      </c>
      <c r="K549">
        <v>0</v>
      </c>
      <c r="L549" t="s">
        <v>143</v>
      </c>
      <c r="M549">
        <v>20</v>
      </c>
      <c r="N549">
        <v>1</v>
      </c>
      <c r="O549">
        <v>0.9</v>
      </c>
      <c r="P549" t="s">
        <v>114</v>
      </c>
      <c r="Q549">
        <v>0.9</v>
      </c>
      <c r="R549" t="s">
        <v>144</v>
      </c>
    </row>
    <row r="550" spans="1:18" x14ac:dyDescent="0.25">
      <c r="A550" t="s">
        <v>877</v>
      </c>
      <c r="B550" s="2">
        <v>45465</v>
      </c>
      <c r="C550" t="s">
        <v>132</v>
      </c>
      <c r="D550" t="s">
        <v>29</v>
      </c>
      <c r="E550" t="s">
        <v>142</v>
      </c>
      <c r="F550">
        <v>2.395</v>
      </c>
      <c r="G550">
        <v>0</v>
      </c>
      <c r="H550">
        <v>0</v>
      </c>
      <c r="I550">
        <v>20</v>
      </c>
      <c r="J550">
        <v>0</v>
      </c>
      <c r="K550">
        <v>0</v>
      </c>
      <c r="L550" t="s">
        <v>143</v>
      </c>
      <c r="M550">
        <v>20</v>
      </c>
      <c r="N550">
        <v>1</v>
      </c>
      <c r="O550">
        <v>0.9</v>
      </c>
      <c r="P550" t="s">
        <v>114</v>
      </c>
      <c r="Q550">
        <v>0.9</v>
      </c>
      <c r="R550" t="s">
        <v>144</v>
      </c>
    </row>
    <row r="551" spans="1:18" x14ac:dyDescent="0.25">
      <c r="A551" t="s">
        <v>878</v>
      </c>
      <c r="B551" s="2">
        <v>45465</v>
      </c>
      <c r="C551" t="s">
        <v>132</v>
      </c>
      <c r="D551" t="s">
        <v>29</v>
      </c>
      <c r="E551" t="s">
        <v>142</v>
      </c>
      <c r="F551">
        <v>8.9939999999999998</v>
      </c>
      <c r="G551">
        <v>0</v>
      </c>
      <c r="H551">
        <v>0</v>
      </c>
      <c r="I551">
        <v>20</v>
      </c>
      <c r="J551">
        <v>0</v>
      </c>
      <c r="K551">
        <v>0</v>
      </c>
      <c r="L551" t="s">
        <v>143</v>
      </c>
      <c r="M551">
        <v>20</v>
      </c>
      <c r="N551">
        <v>1</v>
      </c>
      <c r="O551">
        <v>0.9</v>
      </c>
      <c r="P551" t="s">
        <v>114</v>
      </c>
      <c r="Q551">
        <v>0.9</v>
      </c>
      <c r="R551" t="s">
        <v>144</v>
      </c>
    </row>
    <row r="552" spans="1:18" x14ac:dyDescent="0.25">
      <c r="A552" t="s">
        <v>879</v>
      </c>
      <c r="B552" s="2">
        <v>45465</v>
      </c>
      <c r="C552" t="s">
        <v>132</v>
      </c>
      <c r="D552" t="s">
        <v>29</v>
      </c>
      <c r="E552" t="s">
        <v>142</v>
      </c>
      <c r="F552">
        <v>10</v>
      </c>
      <c r="G552">
        <v>6.3869999999999996</v>
      </c>
      <c r="H552">
        <v>9.5805000000000007</v>
      </c>
      <c r="I552">
        <v>20</v>
      </c>
      <c r="J552">
        <v>0</v>
      </c>
      <c r="K552">
        <v>0</v>
      </c>
      <c r="L552" t="s">
        <v>143</v>
      </c>
      <c r="M552">
        <v>29.580500000000001</v>
      </c>
      <c r="N552">
        <v>1</v>
      </c>
      <c r="O552">
        <v>0.9</v>
      </c>
      <c r="P552" t="s">
        <v>114</v>
      </c>
      <c r="Q552">
        <v>0.9</v>
      </c>
      <c r="R552" t="s">
        <v>144</v>
      </c>
    </row>
    <row r="553" spans="1:18" x14ac:dyDescent="0.25">
      <c r="A553" t="s">
        <v>880</v>
      </c>
      <c r="B553" s="2">
        <v>45465</v>
      </c>
      <c r="C553" t="s">
        <v>132</v>
      </c>
      <c r="D553" t="s">
        <v>29</v>
      </c>
      <c r="E553" t="s">
        <v>142</v>
      </c>
      <c r="F553">
        <v>0.44900000000000001</v>
      </c>
      <c r="G553">
        <v>0</v>
      </c>
      <c r="H553">
        <v>0</v>
      </c>
      <c r="I553">
        <v>20</v>
      </c>
      <c r="J553">
        <v>0</v>
      </c>
      <c r="K553">
        <v>0</v>
      </c>
      <c r="L553" t="s">
        <v>143</v>
      </c>
      <c r="M553">
        <v>20</v>
      </c>
      <c r="N553">
        <v>1</v>
      </c>
      <c r="O553">
        <v>0.9</v>
      </c>
      <c r="P553" t="s">
        <v>114</v>
      </c>
      <c r="Q553">
        <v>0.9</v>
      </c>
      <c r="R553" t="s">
        <v>144</v>
      </c>
    </row>
    <row r="554" spans="1:18" x14ac:dyDescent="0.25">
      <c r="A554" t="s">
        <v>881</v>
      </c>
      <c r="B554" s="2">
        <v>45467</v>
      </c>
      <c r="C554" t="s">
        <v>132</v>
      </c>
      <c r="D554" t="s">
        <v>29</v>
      </c>
      <c r="E554" t="s">
        <v>142</v>
      </c>
      <c r="F554">
        <v>1.607</v>
      </c>
      <c r="G554">
        <v>0</v>
      </c>
      <c r="H554">
        <v>0</v>
      </c>
      <c r="I554">
        <v>20</v>
      </c>
      <c r="J554">
        <v>0</v>
      </c>
      <c r="K554">
        <v>0</v>
      </c>
      <c r="L554" t="s">
        <v>143</v>
      </c>
      <c r="M554">
        <v>20</v>
      </c>
      <c r="N554">
        <v>1</v>
      </c>
      <c r="O554">
        <v>0.9</v>
      </c>
      <c r="P554" t="s">
        <v>115</v>
      </c>
      <c r="Q554">
        <v>0.9</v>
      </c>
      <c r="R554" t="s">
        <v>144</v>
      </c>
    </row>
    <row r="555" spans="1:18" x14ac:dyDescent="0.25">
      <c r="A555" t="s">
        <v>882</v>
      </c>
      <c r="B555" s="2">
        <v>45467</v>
      </c>
      <c r="C555" t="s">
        <v>132</v>
      </c>
      <c r="D555" t="s">
        <v>29</v>
      </c>
      <c r="E555" t="s">
        <v>142</v>
      </c>
      <c r="F555">
        <v>1.607</v>
      </c>
      <c r="G555">
        <v>0</v>
      </c>
      <c r="H555">
        <v>0</v>
      </c>
      <c r="I555">
        <v>20</v>
      </c>
      <c r="J555">
        <v>0</v>
      </c>
      <c r="K555">
        <v>0</v>
      </c>
      <c r="L555" t="s">
        <v>143</v>
      </c>
      <c r="M555">
        <v>20</v>
      </c>
      <c r="N555">
        <v>1</v>
      </c>
      <c r="O555">
        <v>0.9</v>
      </c>
      <c r="P555" t="s">
        <v>115</v>
      </c>
      <c r="Q555">
        <v>0.9</v>
      </c>
      <c r="R555" t="s">
        <v>144</v>
      </c>
    </row>
    <row r="556" spans="1:18" x14ac:dyDescent="0.25">
      <c r="A556" t="s">
        <v>883</v>
      </c>
      <c r="B556" s="2">
        <v>45467</v>
      </c>
      <c r="C556" t="s">
        <v>132</v>
      </c>
      <c r="D556" t="s">
        <v>29</v>
      </c>
      <c r="E556" t="s">
        <v>142</v>
      </c>
      <c r="F556">
        <v>1.36</v>
      </c>
      <c r="G556">
        <v>0</v>
      </c>
      <c r="H556">
        <v>0</v>
      </c>
      <c r="I556">
        <v>20</v>
      </c>
      <c r="J556">
        <v>0</v>
      </c>
      <c r="K556">
        <v>0</v>
      </c>
      <c r="L556" t="s">
        <v>143</v>
      </c>
      <c r="M556">
        <v>20</v>
      </c>
      <c r="N556">
        <v>1</v>
      </c>
      <c r="O556">
        <v>0.9</v>
      </c>
      <c r="P556" t="s">
        <v>115</v>
      </c>
      <c r="Q556">
        <v>0.9</v>
      </c>
      <c r="R556" t="s">
        <v>144</v>
      </c>
    </row>
    <row r="557" spans="1:18" x14ac:dyDescent="0.25">
      <c r="A557" t="s">
        <v>884</v>
      </c>
      <c r="B557" s="2">
        <v>45467</v>
      </c>
      <c r="C557" t="s">
        <v>132</v>
      </c>
      <c r="D557" t="s">
        <v>29</v>
      </c>
      <c r="E557" t="s">
        <v>142</v>
      </c>
      <c r="F557">
        <v>2.6120000000000001</v>
      </c>
      <c r="G557">
        <v>0</v>
      </c>
      <c r="H557">
        <v>0</v>
      </c>
      <c r="I557">
        <v>20</v>
      </c>
      <c r="J557">
        <v>0</v>
      </c>
      <c r="K557">
        <v>0</v>
      </c>
      <c r="L557" t="s">
        <v>143</v>
      </c>
      <c r="M557">
        <v>20</v>
      </c>
      <c r="N557">
        <v>1</v>
      </c>
      <c r="O557">
        <v>0.9</v>
      </c>
      <c r="P557" t="s">
        <v>115</v>
      </c>
      <c r="Q557">
        <v>0.9</v>
      </c>
      <c r="R557" t="s">
        <v>144</v>
      </c>
    </row>
    <row r="558" spans="1:18" x14ac:dyDescent="0.25">
      <c r="A558" t="s">
        <v>885</v>
      </c>
      <c r="B558" s="2">
        <v>45467</v>
      </c>
      <c r="C558" t="s">
        <v>132</v>
      </c>
      <c r="D558" t="s">
        <v>29</v>
      </c>
      <c r="E558" t="s">
        <v>142</v>
      </c>
      <c r="F558">
        <v>4.6420000000000003</v>
      </c>
      <c r="G558">
        <v>0</v>
      </c>
      <c r="H558">
        <v>0</v>
      </c>
      <c r="I558">
        <v>20</v>
      </c>
      <c r="J558">
        <v>0</v>
      </c>
      <c r="K558">
        <v>0</v>
      </c>
      <c r="L558" t="s">
        <v>143</v>
      </c>
      <c r="M558">
        <v>20</v>
      </c>
      <c r="N558">
        <v>1</v>
      </c>
      <c r="O558">
        <v>0.9</v>
      </c>
      <c r="P558" t="s">
        <v>115</v>
      </c>
      <c r="Q558">
        <v>0.9</v>
      </c>
      <c r="R558" t="s">
        <v>144</v>
      </c>
    </row>
    <row r="559" spans="1:18" x14ac:dyDescent="0.25">
      <c r="A559" t="s">
        <v>886</v>
      </c>
      <c r="B559" s="2">
        <v>45467</v>
      </c>
      <c r="C559" t="s">
        <v>132</v>
      </c>
      <c r="D559" t="s">
        <v>29</v>
      </c>
      <c r="E559" t="s">
        <v>142</v>
      </c>
      <c r="F559">
        <v>1.736</v>
      </c>
      <c r="G559">
        <v>0</v>
      </c>
      <c r="H559">
        <v>0</v>
      </c>
      <c r="I559">
        <v>20</v>
      </c>
      <c r="J559">
        <v>0</v>
      </c>
      <c r="K559">
        <v>0</v>
      </c>
      <c r="L559" t="s">
        <v>143</v>
      </c>
      <c r="M559">
        <v>20</v>
      </c>
      <c r="N559">
        <v>1</v>
      </c>
      <c r="O559">
        <v>0.9</v>
      </c>
      <c r="P559" t="s">
        <v>115</v>
      </c>
      <c r="Q559">
        <v>0.9</v>
      </c>
      <c r="R559" t="s">
        <v>144</v>
      </c>
    </row>
    <row r="560" spans="1:18" x14ac:dyDescent="0.25">
      <c r="A560" t="s">
        <v>887</v>
      </c>
      <c r="B560" s="2">
        <v>45467</v>
      </c>
      <c r="C560" t="s">
        <v>132</v>
      </c>
      <c r="D560" t="s">
        <v>29</v>
      </c>
      <c r="E560" t="s">
        <v>142</v>
      </c>
      <c r="F560">
        <v>5.4249999999999998</v>
      </c>
      <c r="G560">
        <v>0</v>
      </c>
      <c r="H560">
        <v>0</v>
      </c>
      <c r="I560">
        <v>20</v>
      </c>
      <c r="J560">
        <v>0</v>
      </c>
      <c r="K560">
        <v>0</v>
      </c>
      <c r="L560" t="s">
        <v>143</v>
      </c>
      <c r="M560">
        <v>20</v>
      </c>
      <c r="N560">
        <v>1</v>
      </c>
      <c r="O560">
        <v>0.9</v>
      </c>
      <c r="P560" t="s">
        <v>115</v>
      </c>
      <c r="Q560">
        <v>0.9</v>
      </c>
      <c r="R560" t="s">
        <v>144</v>
      </c>
    </row>
    <row r="561" spans="1:18" x14ac:dyDescent="0.25">
      <c r="A561" t="s">
        <v>888</v>
      </c>
      <c r="B561" s="2">
        <v>45467</v>
      </c>
      <c r="C561" t="s">
        <v>132</v>
      </c>
      <c r="D561" t="s">
        <v>29</v>
      </c>
      <c r="E561" t="s">
        <v>142</v>
      </c>
      <c r="F561">
        <v>1.143</v>
      </c>
      <c r="G561">
        <v>0</v>
      </c>
      <c r="H561">
        <v>0</v>
      </c>
      <c r="I561">
        <v>5</v>
      </c>
      <c r="J561">
        <v>0</v>
      </c>
      <c r="K561">
        <v>0</v>
      </c>
      <c r="L561" t="s">
        <v>889</v>
      </c>
      <c r="M561">
        <v>5</v>
      </c>
      <c r="N561">
        <v>0</v>
      </c>
      <c r="O561">
        <v>0.9</v>
      </c>
      <c r="P561" t="s">
        <v>115</v>
      </c>
      <c r="Q561">
        <v>0</v>
      </c>
      <c r="R561" t="s">
        <v>144</v>
      </c>
    </row>
    <row r="562" spans="1:18" x14ac:dyDescent="0.25">
      <c r="A562" t="s">
        <v>890</v>
      </c>
      <c r="B562" s="2">
        <v>45467</v>
      </c>
      <c r="C562" t="s">
        <v>132</v>
      </c>
      <c r="D562" t="s">
        <v>29</v>
      </c>
      <c r="E562" t="s">
        <v>142</v>
      </c>
      <c r="F562">
        <v>10</v>
      </c>
      <c r="G562">
        <v>1.1919999999999999</v>
      </c>
      <c r="H562">
        <v>1.788</v>
      </c>
      <c r="I562">
        <v>20</v>
      </c>
      <c r="J562">
        <v>0</v>
      </c>
      <c r="K562">
        <v>0</v>
      </c>
      <c r="L562" t="s">
        <v>143</v>
      </c>
      <c r="M562">
        <v>21.788</v>
      </c>
      <c r="N562">
        <v>1</v>
      </c>
      <c r="O562">
        <v>0.9</v>
      </c>
      <c r="P562" t="s">
        <v>115</v>
      </c>
      <c r="Q562">
        <v>0.9</v>
      </c>
      <c r="R562" t="s">
        <v>144</v>
      </c>
    </row>
    <row r="563" spans="1:18" x14ac:dyDescent="0.25">
      <c r="A563" t="s">
        <v>891</v>
      </c>
      <c r="B563" s="2">
        <v>45467</v>
      </c>
      <c r="C563" t="s">
        <v>132</v>
      </c>
      <c r="D563" t="s">
        <v>29</v>
      </c>
      <c r="E563" t="s">
        <v>142</v>
      </c>
      <c r="F563">
        <v>8.0960000000000001</v>
      </c>
      <c r="G563">
        <v>0</v>
      </c>
      <c r="H563">
        <v>0</v>
      </c>
      <c r="I563">
        <v>20</v>
      </c>
      <c r="J563">
        <v>0</v>
      </c>
      <c r="K563">
        <v>0</v>
      </c>
      <c r="L563" t="s">
        <v>143</v>
      </c>
      <c r="M563">
        <v>20</v>
      </c>
      <c r="N563">
        <v>1</v>
      </c>
      <c r="O563">
        <v>0.9</v>
      </c>
      <c r="P563" t="s">
        <v>115</v>
      </c>
      <c r="Q563">
        <v>0.9</v>
      </c>
      <c r="R563" t="s">
        <v>144</v>
      </c>
    </row>
    <row r="564" spans="1:18" x14ac:dyDescent="0.25">
      <c r="A564" t="s">
        <v>892</v>
      </c>
      <c r="B564" s="2">
        <v>45467</v>
      </c>
      <c r="C564" t="s">
        <v>132</v>
      </c>
      <c r="D564" t="s">
        <v>29</v>
      </c>
      <c r="E564" t="s">
        <v>142</v>
      </c>
      <c r="F564">
        <v>1.4630000000000001</v>
      </c>
      <c r="G564">
        <v>0</v>
      </c>
      <c r="H564">
        <v>0</v>
      </c>
      <c r="I564">
        <v>20</v>
      </c>
      <c r="J564">
        <v>0</v>
      </c>
      <c r="K564">
        <v>0</v>
      </c>
      <c r="L564" t="s">
        <v>143</v>
      </c>
      <c r="M564">
        <v>20</v>
      </c>
      <c r="N564">
        <v>1</v>
      </c>
      <c r="O564">
        <v>0.9</v>
      </c>
      <c r="P564" t="s">
        <v>115</v>
      </c>
      <c r="Q564">
        <v>0.9</v>
      </c>
      <c r="R564" t="s">
        <v>144</v>
      </c>
    </row>
    <row r="565" spans="1:18" x14ac:dyDescent="0.25">
      <c r="A565" t="s">
        <v>893</v>
      </c>
      <c r="B565" s="2">
        <v>45467</v>
      </c>
      <c r="C565" t="s">
        <v>132</v>
      </c>
      <c r="D565" t="s">
        <v>29</v>
      </c>
      <c r="E565" t="s">
        <v>142</v>
      </c>
      <c r="F565">
        <v>1.58</v>
      </c>
      <c r="G565">
        <v>0</v>
      </c>
      <c r="H565">
        <v>0</v>
      </c>
      <c r="I565">
        <v>20</v>
      </c>
      <c r="J565">
        <v>0</v>
      </c>
      <c r="K565">
        <v>0</v>
      </c>
      <c r="L565" t="s">
        <v>143</v>
      </c>
      <c r="M565">
        <v>20</v>
      </c>
      <c r="N565">
        <v>1</v>
      </c>
      <c r="O565">
        <v>0.9</v>
      </c>
      <c r="P565" t="s">
        <v>115</v>
      </c>
      <c r="Q565">
        <v>0.9</v>
      </c>
      <c r="R565" t="s">
        <v>144</v>
      </c>
    </row>
    <row r="566" spans="1:18" x14ac:dyDescent="0.25">
      <c r="A566" t="s">
        <v>894</v>
      </c>
      <c r="B566" s="2">
        <v>45467</v>
      </c>
      <c r="C566" t="s">
        <v>132</v>
      </c>
      <c r="D566" t="s">
        <v>29</v>
      </c>
      <c r="E566" t="s">
        <v>142</v>
      </c>
      <c r="F566">
        <v>10</v>
      </c>
      <c r="G566">
        <v>0</v>
      </c>
      <c r="H566">
        <v>0</v>
      </c>
      <c r="I566">
        <v>20</v>
      </c>
      <c r="J566">
        <v>0</v>
      </c>
      <c r="K566">
        <v>0</v>
      </c>
      <c r="L566" t="s">
        <v>143</v>
      </c>
      <c r="M566">
        <v>20</v>
      </c>
      <c r="N566">
        <v>1</v>
      </c>
      <c r="O566">
        <v>0.9</v>
      </c>
      <c r="P566" t="s">
        <v>115</v>
      </c>
      <c r="Q566">
        <v>0.9</v>
      </c>
      <c r="R566" t="s">
        <v>144</v>
      </c>
    </row>
    <row r="567" spans="1:18" x14ac:dyDescent="0.25">
      <c r="A567" t="s">
        <v>895</v>
      </c>
      <c r="B567" s="2">
        <v>45468</v>
      </c>
      <c r="C567" t="s">
        <v>132</v>
      </c>
      <c r="D567" t="s">
        <v>29</v>
      </c>
      <c r="E567" t="s">
        <v>142</v>
      </c>
      <c r="F567">
        <v>10</v>
      </c>
      <c r="G567">
        <v>1.3160000000000001</v>
      </c>
      <c r="H567">
        <v>1.974</v>
      </c>
      <c r="I567">
        <v>20</v>
      </c>
      <c r="J567">
        <v>0</v>
      </c>
      <c r="K567">
        <v>0</v>
      </c>
      <c r="L567" t="s">
        <v>143</v>
      </c>
      <c r="M567">
        <v>21.974</v>
      </c>
      <c r="N567">
        <v>1</v>
      </c>
      <c r="O567">
        <v>0.9</v>
      </c>
      <c r="P567" t="s">
        <v>115</v>
      </c>
      <c r="Q567">
        <v>0.9</v>
      </c>
      <c r="R567" t="s">
        <v>144</v>
      </c>
    </row>
    <row r="568" spans="1:18" x14ac:dyDescent="0.25">
      <c r="A568" t="s">
        <v>896</v>
      </c>
      <c r="B568" s="2">
        <v>45468</v>
      </c>
      <c r="C568" t="s">
        <v>132</v>
      </c>
      <c r="D568" t="s">
        <v>29</v>
      </c>
      <c r="E568" t="s">
        <v>142</v>
      </c>
      <c r="F568">
        <v>3.4529999999999998</v>
      </c>
      <c r="G568">
        <v>0</v>
      </c>
      <c r="H568">
        <v>0</v>
      </c>
      <c r="I568">
        <v>5</v>
      </c>
      <c r="J568">
        <v>0</v>
      </c>
      <c r="K568">
        <v>0</v>
      </c>
      <c r="L568" t="s">
        <v>897</v>
      </c>
      <c r="M568">
        <v>5</v>
      </c>
      <c r="N568">
        <v>0</v>
      </c>
      <c r="O568">
        <v>0.9</v>
      </c>
      <c r="P568" t="s">
        <v>115</v>
      </c>
      <c r="Q568">
        <v>0</v>
      </c>
      <c r="R568" t="s">
        <v>144</v>
      </c>
    </row>
    <row r="569" spans="1:18" x14ac:dyDescent="0.25">
      <c r="A569" t="s">
        <v>898</v>
      </c>
      <c r="B569" s="2">
        <v>45468</v>
      </c>
      <c r="C569" t="s">
        <v>132</v>
      </c>
      <c r="D569" t="s">
        <v>29</v>
      </c>
      <c r="E569" t="s">
        <v>142</v>
      </c>
      <c r="F569">
        <v>10</v>
      </c>
      <c r="G569">
        <v>2.3580000000000001</v>
      </c>
      <c r="H569">
        <v>3.5369999999999999</v>
      </c>
      <c r="I569">
        <v>20</v>
      </c>
      <c r="J569">
        <v>0</v>
      </c>
      <c r="K569">
        <v>0</v>
      </c>
      <c r="L569" t="s">
        <v>143</v>
      </c>
      <c r="M569">
        <v>23.536999999999999</v>
      </c>
      <c r="N569">
        <v>1</v>
      </c>
      <c r="O569">
        <v>0.9</v>
      </c>
      <c r="P569" t="s">
        <v>115</v>
      </c>
      <c r="Q569">
        <v>0.9</v>
      </c>
      <c r="R569" t="s">
        <v>144</v>
      </c>
    </row>
    <row r="570" spans="1:18" x14ac:dyDescent="0.25">
      <c r="A570" t="s">
        <v>899</v>
      </c>
      <c r="B570" s="2">
        <v>45468</v>
      </c>
      <c r="C570" t="s">
        <v>132</v>
      </c>
      <c r="D570" t="s">
        <v>29</v>
      </c>
      <c r="E570" t="s">
        <v>142</v>
      </c>
      <c r="F570">
        <v>10</v>
      </c>
      <c r="G570">
        <v>2.4830000000000001</v>
      </c>
      <c r="H570">
        <v>3.7244999999999999</v>
      </c>
      <c r="I570">
        <v>20</v>
      </c>
      <c r="J570">
        <v>0</v>
      </c>
      <c r="K570">
        <v>0</v>
      </c>
      <c r="L570" t="s">
        <v>143</v>
      </c>
      <c r="M570">
        <v>23.724499999999999</v>
      </c>
      <c r="N570">
        <v>1</v>
      </c>
      <c r="O570">
        <v>0.9</v>
      </c>
      <c r="P570" t="s">
        <v>115</v>
      </c>
      <c r="Q570">
        <v>0.9</v>
      </c>
      <c r="R570" t="s">
        <v>144</v>
      </c>
    </row>
    <row r="571" spans="1:18" x14ac:dyDescent="0.25">
      <c r="A571" t="s">
        <v>900</v>
      </c>
      <c r="B571" s="2">
        <v>45468</v>
      </c>
      <c r="C571" t="s">
        <v>132</v>
      </c>
      <c r="D571" t="s">
        <v>29</v>
      </c>
      <c r="E571" t="s">
        <v>142</v>
      </c>
      <c r="F571">
        <v>8.6809999999999992</v>
      </c>
      <c r="G571">
        <v>0</v>
      </c>
      <c r="H571">
        <v>0</v>
      </c>
      <c r="I571">
        <v>20</v>
      </c>
      <c r="J571">
        <v>0</v>
      </c>
      <c r="K571">
        <v>0</v>
      </c>
      <c r="L571" t="s">
        <v>143</v>
      </c>
      <c r="M571">
        <v>20</v>
      </c>
      <c r="N571">
        <v>1</v>
      </c>
      <c r="O571">
        <v>0.9</v>
      </c>
      <c r="P571" t="s">
        <v>115</v>
      </c>
      <c r="Q571">
        <v>0.9</v>
      </c>
      <c r="R571" t="s">
        <v>144</v>
      </c>
    </row>
    <row r="572" spans="1:18" x14ac:dyDescent="0.25">
      <c r="A572" t="s">
        <v>901</v>
      </c>
      <c r="B572" s="2">
        <v>45468</v>
      </c>
      <c r="C572" t="s">
        <v>132</v>
      </c>
      <c r="D572" t="s">
        <v>29</v>
      </c>
      <c r="E572" t="s">
        <v>142</v>
      </c>
      <c r="F572">
        <v>4.4269999999999996</v>
      </c>
      <c r="G572">
        <v>0</v>
      </c>
      <c r="H572">
        <v>0</v>
      </c>
      <c r="I572">
        <v>20</v>
      </c>
      <c r="J572">
        <v>0</v>
      </c>
      <c r="K572">
        <v>0</v>
      </c>
      <c r="L572" t="s">
        <v>143</v>
      </c>
      <c r="M572">
        <v>20</v>
      </c>
      <c r="N572">
        <v>1</v>
      </c>
      <c r="O572">
        <v>0.9</v>
      </c>
      <c r="P572" t="s">
        <v>115</v>
      </c>
      <c r="Q572">
        <v>0.9</v>
      </c>
      <c r="R572" t="s">
        <v>144</v>
      </c>
    </row>
    <row r="573" spans="1:18" x14ac:dyDescent="0.25">
      <c r="A573" t="s">
        <v>902</v>
      </c>
      <c r="B573" s="2">
        <v>45468</v>
      </c>
      <c r="C573" t="s">
        <v>132</v>
      </c>
      <c r="D573" t="s">
        <v>29</v>
      </c>
      <c r="E573" t="s">
        <v>142</v>
      </c>
      <c r="F573">
        <v>8.0820000000000007</v>
      </c>
      <c r="G573">
        <v>0</v>
      </c>
      <c r="H573">
        <v>0</v>
      </c>
      <c r="I573">
        <v>20</v>
      </c>
      <c r="J573">
        <v>0</v>
      </c>
      <c r="K573">
        <v>0</v>
      </c>
      <c r="L573" t="s">
        <v>903</v>
      </c>
      <c r="M573">
        <v>20</v>
      </c>
      <c r="N573">
        <v>1</v>
      </c>
      <c r="O573">
        <v>0.9</v>
      </c>
      <c r="P573" t="s">
        <v>115</v>
      </c>
      <c r="Q573">
        <v>0.9</v>
      </c>
      <c r="R573" t="s">
        <v>144</v>
      </c>
    </row>
    <row r="574" spans="1:18" x14ac:dyDescent="0.25">
      <c r="A574" t="s">
        <v>904</v>
      </c>
      <c r="B574" s="2">
        <v>45468</v>
      </c>
      <c r="C574" t="s">
        <v>132</v>
      </c>
      <c r="D574" t="s">
        <v>29</v>
      </c>
      <c r="E574" t="s">
        <v>142</v>
      </c>
      <c r="F574">
        <v>3.5659999999999998</v>
      </c>
      <c r="G574">
        <v>0</v>
      </c>
      <c r="H574">
        <v>0</v>
      </c>
      <c r="I574">
        <v>20</v>
      </c>
      <c r="J574">
        <v>0</v>
      </c>
      <c r="K574">
        <v>0</v>
      </c>
      <c r="L574" t="s">
        <v>143</v>
      </c>
      <c r="M574">
        <v>20</v>
      </c>
      <c r="N574">
        <v>1</v>
      </c>
      <c r="O574">
        <v>0.9</v>
      </c>
      <c r="P574" t="s">
        <v>115</v>
      </c>
      <c r="Q574">
        <v>0.9</v>
      </c>
      <c r="R574" t="s">
        <v>144</v>
      </c>
    </row>
    <row r="575" spans="1:18" x14ac:dyDescent="0.25">
      <c r="A575" t="s">
        <v>905</v>
      </c>
      <c r="B575" s="2">
        <v>45468</v>
      </c>
      <c r="C575" t="s">
        <v>132</v>
      </c>
      <c r="D575" t="s">
        <v>29</v>
      </c>
      <c r="E575" t="s">
        <v>142</v>
      </c>
      <c r="F575">
        <v>0.80100000000000005</v>
      </c>
      <c r="G575">
        <v>0</v>
      </c>
      <c r="H575">
        <v>0</v>
      </c>
      <c r="I575">
        <v>20</v>
      </c>
      <c r="J575">
        <v>0</v>
      </c>
      <c r="K575">
        <v>0</v>
      </c>
      <c r="L575" t="s">
        <v>143</v>
      </c>
      <c r="M575">
        <v>20</v>
      </c>
      <c r="N575">
        <v>1</v>
      </c>
      <c r="O575">
        <v>0.9</v>
      </c>
      <c r="P575" t="s">
        <v>115</v>
      </c>
      <c r="Q575">
        <v>0.9</v>
      </c>
      <c r="R575" t="s">
        <v>144</v>
      </c>
    </row>
    <row r="576" spans="1:18" x14ac:dyDescent="0.25">
      <c r="A576" t="s">
        <v>906</v>
      </c>
      <c r="B576" s="2">
        <v>45468</v>
      </c>
      <c r="C576" t="s">
        <v>132</v>
      </c>
      <c r="D576" t="s">
        <v>29</v>
      </c>
      <c r="E576" t="s">
        <v>142</v>
      </c>
      <c r="F576">
        <v>0.92500000000000004</v>
      </c>
      <c r="G576">
        <v>0</v>
      </c>
      <c r="H576">
        <v>0</v>
      </c>
      <c r="I576">
        <v>20</v>
      </c>
      <c r="J576">
        <v>0</v>
      </c>
      <c r="K576">
        <v>0</v>
      </c>
      <c r="L576" t="s">
        <v>143</v>
      </c>
      <c r="M576">
        <v>20</v>
      </c>
      <c r="N576">
        <v>1</v>
      </c>
      <c r="O576">
        <v>0.9</v>
      </c>
      <c r="P576" t="s">
        <v>115</v>
      </c>
      <c r="Q576">
        <v>0.9</v>
      </c>
      <c r="R576" t="s">
        <v>144</v>
      </c>
    </row>
    <row r="577" spans="1:18" x14ac:dyDescent="0.25">
      <c r="A577" t="s">
        <v>907</v>
      </c>
      <c r="B577" s="2">
        <v>45468</v>
      </c>
      <c r="C577" t="s">
        <v>132</v>
      </c>
      <c r="D577" t="s">
        <v>29</v>
      </c>
      <c r="E577" t="s">
        <v>142</v>
      </c>
      <c r="F577">
        <v>4.4779999999999998</v>
      </c>
      <c r="G577">
        <v>0</v>
      </c>
      <c r="H577">
        <v>0</v>
      </c>
      <c r="I577">
        <v>20</v>
      </c>
      <c r="J577">
        <v>0</v>
      </c>
      <c r="K577">
        <v>0</v>
      </c>
      <c r="L577" t="s">
        <v>143</v>
      </c>
      <c r="M577">
        <v>20</v>
      </c>
      <c r="N577">
        <v>1</v>
      </c>
      <c r="O577">
        <v>0.9</v>
      </c>
      <c r="P577" t="s">
        <v>115</v>
      </c>
      <c r="Q577">
        <v>0.9</v>
      </c>
      <c r="R577" t="s">
        <v>144</v>
      </c>
    </row>
    <row r="578" spans="1:18" x14ac:dyDescent="0.25">
      <c r="A578" t="s">
        <v>908</v>
      </c>
      <c r="B578" s="2">
        <v>45468</v>
      </c>
      <c r="C578" t="s">
        <v>132</v>
      </c>
      <c r="D578" t="s">
        <v>29</v>
      </c>
      <c r="E578" t="s">
        <v>142</v>
      </c>
      <c r="F578">
        <v>4.5179999999999998</v>
      </c>
      <c r="G578">
        <v>0</v>
      </c>
      <c r="H578">
        <v>0</v>
      </c>
      <c r="I578">
        <v>20</v>
      </c>
      <c r="J578">
        <v>0</v>
      </c>
      <c r="K578">
        <v>0</v>
      </c>
      <c r="L578" t="s">
        <v>143</v>
      </c>
      <c r="M578">
        <v>20</v>
      </c>
      <c r="N578">
        <v>1</v>
      </c>
      <c r="O578">
        <v>0.9</v>
      </c>
      <c r="P578" t="s">
        <v>115</v>
      </c>
      <c r="Q578">
        <v>0.9</v>
      </c>
      <c r="R578" t="s">
        <v>144</v>
      </c>
    </row>
    <row r="579" spans="1:18" x14ac:dyDescent="0.25">
      <c r="A579" t="s">
        <v>909</v>
      </c>
      <c r="B579" s="2">
        <v>45468</v>
      </c>
      <c r="C579" t="s">
        <v>132</v>
      </c>
      <c r="D579" t="s">
        <v>29</v>
      </c>
      <c r="E579" t="s">
        <v>142</v>
      </c>
      <c r="F579">
        <v>0.52600000000000002</v>
      </c>
      <c r="G579">
        <v>0</v>
      </c>
      <c r="H579">
        <v>0</v>
      </c>
      <c r="I579">
        <v>20</v>
      </c>
      <c r="J579">
        <v>0</v>
      </c>
      <c r="K579">
        <v>0</v>
      </c>
      <c r="L579" t="s">
        <v>143</v>
      </c>
      <c r="M579">
        <v>20</v>
      </c>
      <c r="N579">
        <v>1</v>
      </c>
      <c r="O579">
        <v>0.9</v>
      </c>
      <c r="P579" t="s">
        <v>115</v>
      </c>
      <c r="Q579">
        <v>0.9</v>
      </c>
      <c r="R579" t="s">
        <v>144</v>
      </c>
    </row>
    <row r="580" spans="1:18" x14ac:dyDescent="0.25">
      <c r="A580" t="s">
        <v>910</v>
      </c>
      <c r="B580" s="2">
        <v>45468</v>
      </c>
      <c r="C580" t="s">
        <v>132</v>
      </c>
      <c r="D580" t="s">
        <v>29</v>
      </c>
      <c r="E580" t="s">
        <v>142</v>
      </c>
      <c r="F580">
        <v>2.5960000000000001</v>
      </c>
      <c r="G580">
        <v>0</v>
      </c>
      <c r="H580">
        <v>0</v>
      </c>
      <c r="I580">
        <v>20</v>
      </c>
      <c r="J580">
        <v>0</v>
      </c>
      <c r="K580">
        <v>0</v>
      </c>
      <c r="L580" t="s">
        <v>143</v>
      </c>
      <c r="M580">
        <v>20</v>
      </c>
      <c r="N580">
        <v>1</v>
      </c>
      <c r="O580">
        <v>0.9</v>
      </c>
      <c r="P580" t="s">
        <v>115</v>
      </c>
      <c r="Q580">
        <v>0.9</v>
      </c>
      <c r="R580" t="s">
        <v>144</v>
      </c>
    </row>
    <row r="581" spans="1:18" x14ac:dyDescent="0.25">
      <c r="A581" t="s">
        <v>911</v>
      </c>
      <c r="B581" s="2">
        <v>45468</v>
      </c>
      <c r="C581" t="s">
        <v>132</v>
      </c>
      <c r="D581" t="s">
        <v>29</v>
      </c>
      <c r="E581" t="s">
        <v>142</v>
      </c>
      <c r="F581">
        <v>7.742</v>
      </c>
      <c r="G581">
        <v>0</v>
      </c>
      <c r="H581">
        <v>0</v>
      </c>
      <c r="I581">
        <v>5</v>
      </c>
      <c r="J581">
        <v>0</v>
      </c>
      <c r="K581">
        <v>0</v>
      </c>
      <c r="L581" t="s">
        <v>912</v>
      </c>
      <c r="M581">
        <v>5</v>
      </c>
      <c r="N581">
        <v>0</v>
      </c>
      <c r="O581">
        <v>0.9</v>
      </c>
      <c r="P581" t="s">
        <v>115</v>
      </c>
      <c r="Q581">
        <v>0</v>
      </c>
      <c r="R581" t="s">
        <v>144</v>
      </c>
    </row>
    <row r="582" spans="1:18" x14ac:dyDescent="0.25">
      <c r="A582" t="s">
        <v>913</v>
      </c>
      <c r="B582" s="2">
        <v>45469</v>
      </c>
      <c r="C582" t="s">
        <v>132</v>
      </c>
      <c r="D582" t="s">
        <v>29</v>
      </c>
      <c r="E582" t="s">
        <v>142</v>
      </c>
      <c r="F582">
        <v>0.96699999999999997</v>
      </c>
      <c r="G582">
        <v>0</v>
      </c>
      <c r="H582">
        <v>0</v>
      </c>
      <c r="I582">
        <v>20</v>
      </c>
      <c r="J582">
        <v>0</v>
      </c>
      <c r="K582">
        <v>0</v>
      </c>
      <c r="L582" t="s">
        <v>143</v>
      </c>
      <c r="M582">
        <v>20</v>
      </c>
      <c r="N582">
        <v>1</v>
      </c>
      <c r="O582">
        <v>0.9</v>
      </c>
      <c r="P582" t="s">
        <v>115</v>
      </c>
      <c r="Q582">
        <v>0.9</v>
      </c>
      <c r="R582" t="s">
        <v>144</v>
      </c>
    </row>
    <row r="583" spans="1:18" x14ac:dyDescent="0.25">
      <c r="A583" t="s">
        <v>914</v>
      </c>
      <c r="B583" s="2">
        <v>45469</v>
      </c>
      <c r="C583" t="s">
        <v>132</v>
      </c>
      <c r="D583" t="s">
        <v>29</v>
      </c>
      <c r="E583" t="s">
        <v>142</v>
      </c>
      <c r="F583">
        <v>1.5529999999999999</v>
      </c>
      <c r="G583">
        <v>0</v>
      </c>
      <c r="H583">
        <v>0</v>
      </c>
      <c r="I583">
        <v>20</v>
      </c>
      <c r="J583">
        <v>0</v>
      </c>
      <c r="K583">
        <v>0</v>
      </c>
      <c r="L583" t="s">
        <v>339</v>
      </c>
      <c r="M583">
        <v>20</v>
      </c>
      <c r="N583">
        <v>1</v>
      </c>
      <c r="O583">
        <v>0.9</v>
      </c>
      <c r="P583" t="s">
        <v>115</v>
      </c>
      <c r="Q583">
        <v>0.9</v>
      </c>
      <c r="R583" t="s">
        <v>144</v>
      </c>
    </row>
    <row r="584" spans="1:18" x14ac:dyDescent="0.25">
      <c r="A584" t="s">
        <v>915</v>
      </c>
      <c r="B584" s="2">
        <v>45469</v>
      </c>
      <c r="C584" t="s">
        <v>132</v>
      </c>
      <c r="D584" t="s">
        <v>29</v>
      </c>
      <c r="E584" t="s">
        <v>142</v>
      </c>
      <c r="F584">
        <v>0.91600000000000004</v>
      </c>
      <c r="G584">
        <v>0</v>
      </c>
      <c r="H584">
        <v>0</v>
      </c>
      <c r="I584">
        <v>20</v>
      </c>
      <c r="J584">
        <v>0</v>
      </c>
      <c r="K584">
        <v>0</v>
      </c>
      <c r="L584" t="s">
        <v>143</v>
      </c>
      <c r="M584">
        <v>20</v>
      </c>
      <c r="N584">
        <v>1</v>
      </c>
      <c r="O584">
        <v>0.9</v>
      </c>
      <c r="P584" t="s">
        <v>115</v>
      </c>
      <c r="Q584">
        <v>0.9</v>
      </c>
      <c r="R584" t="s">
        <v>144</v>
      </c>
    </row>
    <row r="585" spans="1:18" x14ac:dyDescent="0.25">
      <c r="A585" t="s">
        <v>916</v>
      </c>
      <c r="B585" s="2">
        <v>45469</v>
      </c>
      <c r="C585" t="s">
        <v>132</v>
      </c>
      <c r="D585" t="s">
        <v>29</v>
      </c>
      <c r="E585" t="s">
        <v>142</v>
      </c>
      <c r="F585">
        <v>10</v>
      </c>
      <c r="G585">
        <v>4.1509999999999998</v>
      </c>
      <c r="H585">
        <v>6.2264999999999997</v>
      </c>
      <c r="I585">
        <v>20</v>
      </c>
      <c r="J585">
        <v>0</v>
      </c>
      <c r="K585">
        <v>0</v>
      </c>
      <c r="L585" t="s">
        <v>143</v>
      </c>
      <c r="M585">
        <v>26.226500000000001</v>
      </c>
      <c r="N585">
        <v>1</v>
      </c>
      <c r="O585">
        <v>0.9</v>
      </c>
      <c r="P585" t="s">
        <v>115</v>
      </c>
      <c r="Q585">
        <v>0.9</v>
      </c>
      <c r="R585" t="s">
        <v>144</v>
      </c>
    </row>
    <row r="586" spans="1:18" x14ac:dyDescent="0.25">
      <c r="A586" t="s">
        <v>917</v>
      </c>
      <c r="B586" s="2">
        <v>45469</v>
      </c>
      <c r="C586" t="s">
        <v>132</v>
      </c>
      <c r="D586" t="s">
        <v>29</v>
      </c>
      <c r="E586" t="s">
        <v>142</v>
      </c>
      <c r="F586">
        <v>1.76</v>
      </c>
      <c r="G586">
        <v>0</v>
      </c>
      <c r="H586">
        <v>0</v>
      </c>
      <c r="I586">
        <v>20</v>
      </c>
      <c r="J586">
        <v>0</v>
      </c>
      <c r="K586">
        <v>0</v>
      </c>
      <c r="L586" t="s">
        <v>143</v>
      </c>
      <c r="M586">
        <v>20</v>
      </c>
      <c r="N586">
        <v>1</v>
      </c>
      <c r="O586">
        <v>0.9</v>
      </c>
      <c r="P586" t="s">
        <v>115</v>
      </c>
      <c r="Q586">
        <v>0.9</v>
      </c>
      <c r="R586" t="s">
        <v>144</v>
      </c>
    </row>
    <row r="587" spans="1:18" x14ac:dyDescent="0.25">
      <c r="A587" t="s">
        <v>918</v>
      </c>
      <c r="B587" s="2">
        <v>45469</v>
      </c>
      <c r="C587" t="s">
        <v>132</v>
      </c>
      <c r="D587" t="s">
        <v>29</v>
      </c>
      <c r="E587" t="s">
        <v>142</v>
      </c>
      <c r="F587">
        <v>7.0529999999999999</v>
      </c>
      <c r="G587">
        <v>0</v>
      </c>
      <c r="H587">
        <v>0</v>
      </c>
      <c r="I587">
        <v>20</v>
      </c>
      <c r="J587">
        <v>0</v>
      </c>
      <c r="K587">
        <v>0</v>
      </c>
      <c r="L587" t="s">
        <v>143</v>
      </c>
      <c r="M587">
        <v>20</v>
      </c>
      <c r="N587">
        <v>1</v>
      </c>
      <c r="O587">
        <v>0.9</v>
      </c>
      <c r="P587" t="s">
        <v>115</v>
      </c>
      <c r="Q587">
        <v>0.9</v>
      </c>
      <c r="R587" t="s">
        <v>144</v>
      </c>
    </row>
    <row r="588" spans="1:18" x14ac:dyDescent="0.25">
      <c r="A588" t="s">
        <v>919</v>
      </c>
      <c r="B588" s="2">
        <v>45469</v>
      </c>
      <c r="C588" t="s">
        <v>132</v>
      </c>
      <c r="D588" t="s">
        <v>29</v>
      </c>
      <c r="E588" t="s">
        <v>142</v>
      </c>
      <c r="F588">
        <v>3.218</v>
      </c>
      <c r="G588">
        <v>0</v>
      </c>
      <c r="H588">
        <v>0</v>
      </c>
      <c r="I588">
        <v>20</v>
      </c>
      <c r="J588">
        <v>0</v>
      </c>
      <c r="K588">
        <v>0</v>
      </c>
      <c r="L588" t="s">
        <v>143</v>
      </c>
      <c r="M588">
        <v>20</v>
      </c>
      <c r="N588">
        <v>1</v>
      </c>
      <c r="O588">
        <v>0.9</v>
      </c>
      <c r="P588" t="s">
        <v>115</v>
      </c>
      <c r="Q588">
        <v>0.9</v>
      </c>
      <c r="R588" t="s">
        <v>144</v>
      </c>
    </row>
    <row r="589" spans="1:18" x14ac:dyDescent="0.25">
      <c r="A589" t="s">
        <v>920</v>
      </c>
      <c r="B589" s="2">
        <v>45469</v>
      </c>
      <c r="C589" t="s">
        <v>132</v>
      </c>
      <c r="D589" t="s">
        <v>29</v>
      </c>
      <c r="E589" t="s">
        <v>142</v>
      </c>
      <c r="F589">
        <v>10</v>
      </c>
      <c r="G589">
        <v>4.96</v>
      </c>
      <c r="H589">
        <v>0</v>
      </c>
      <c r="I589">
        <v>5</v>
      </c>
      <c r="J589">
        <v>0</v>
      </c>
      <c r="K589">
        <v>0</v>
      </c>
      <c r="L589" t="s">
        <v>921</v>
      </c>
      <c r="M589">
        <v>5</v>
      </c>
      <c r="N589">
        <v>0</v>
      </c>
      <c r="O589">
        <v>0.9</v>
      </c>
      <c r="P589" t="s">
        <v>115</v>
      </c>
      <c r="Q589">
        <v>0</v>
      </c>
      <c r="R589" t="s">
        <v>144</v>
      </c>
    </row>
    <row r="590" spans="1:18" x14ac:dyDescent="0.25">
      <c r="A590" t="s">
        <v>922</v>
      </c>
      <c r="B590" s="2">
        <v>45469</v>
      </c>
      <c r="C590" t="s">
        <v>132</v>
      </c>
      <c r="D590" t="s">
        <v>29</v>
      </c>
      <c r="E590" t="s">
        <v>142</v>
      </c>
      <c r="F590">
        <v>1.7470000000000001</v>
      </c>
      <c r="G590">
        <v>0</v>
      </c>
      <c r="H590">
        <v>0</v>
      </c>
      <c r="I590">
        <v>20</v>
      </c>
      <c r="J590">
        <v>0</v>
      </c>
      <c r="K590">
        <v>0</v>
      </c>
      <c r="L590" t="s">
        <v>143</v>
      </c>
      <c r="M590">
        <v>20</v>
      </c>
      <c r="N590">
        <v>1</v>
      </c>
      <c r="O590">
        <v>0.9</v>
      </c>
      <c r="P590" t="s">
        <v>115</v>
      </c>
      <c r="Q590">
        <v>0.9</v>
      </c>
      <c r="R590" t="s">
        <v>144</v>
      </c>
    </row>
    <row r="591" spans="1:18" x14ac:dyDescent="0.25">
      <c r="A591" t="s">
        <v>923</v>
      </c>
      <c r="B591" s="2">
        <v>45469</v>
      </c>
      <c r="C591" t="s">
        <v>132</v>
      </c>
      <c r="D591" t="s">
        <v>29</v>
      </c>
      <c r="E591" t="s">
        <v>142</v>
      </c>
      <c r="F591">
        <v>2.5219999999999998</v>
      </c>
      <c r="G591">
        <v>0</v>
      </c>
      <c r="H591">
        <v>0</v>
      </c>
      <c r="I591">
        <v>20</v>
      </c>
      <c r="J591">
        <v>0</v>
      </c>
      <c r="K591">
        <v>0</v>
      </c>
      <c r="L591" t="s">
        <v>143</v>
      </c>
      <c r="M591">
        <v>20</v>
      </c>
      <c r="N591">
        <v>1</v>
      </c>
      <c r="O591">
        <v>0.9</v>
      </c>
      <c r="P591" t="s">
        <v>115</v>
      </c>
      <c r="Q591">
        <v>0.9</v>
      </c>
      <c r="R591" t="s">
        <v>144</v>
      </c>
    </row>
    <row r="592" spans="1:18" x14ac:dyDescent="0.25">
      <c r="A592" t="s">
        <v>924</v>
      </c>
      <c r="B592" s="2">
        <v>45469</v>
      </c>
      <c r="C592" t="s">
        <v>132</v>
      </c>
      <c r="D592" t="s">
        <v>29</v>
      </c>
      <c r="E592" t="s">
        <v>142</v>
      </c>
      <c r="F592">
        <v>1.9059999999999999</v>
      </c>
      <c r="G592">
        <v>0</v>
      </c>
      <c r="H592">
        <v>0</v>
      </c>
      <c r="I592">
        <v>20</v>
      </c>
      <c r="J592">
        <v>0</v>
      </c>
      <c r="K592">
        <v>0</v>
      </c>
      <c r="L592" t="s">
        <v>143</v>
      </c>
      <c r="M592">
        <v>20</v>
      </c>
      <c r="N592">
        <v>1</v>
      </c>
      <c r="O592">
        <v>0.9</v>
      </c>
      <c r="P592" t="s">
        <v>115</v>
      </c>
      <c r="Q592">
        <v>0.9</v>
      </c>
      <c r="R592" t="s">
        <v>144</v>
      </c>
    </row>
    <row r="593" spans="1:18" x14ac:dyDescent="0.25">
      <c r="A593" t="s">
        <v>925</v>
      </c>
      <c r="B593" s="2">
        <v>45469</v>
      </c>
      <c r="C593" t="s">
        <v>132</v>
      </c>
      <c r="D593" t="s">
        <v>29</v>
      </c>
      <c r="E593" t="s">
        <v>142</v>
      </c>
      <c r="F593">
        <v>1.135</v>
      </c>
      <c r="G593">
        <v>0</v>
      </c>
      <c r="H593">
        <v>0</v>
      </c>
      <c r="I593">
        <v>5</v>
      </c>
      <c r="J593">
        <v>0</v>
      </c>
      <c r="K593">
        <v>0</v>
      </c>
      <c r="L593" t="s">
        <v>926</v>
      </c>
      <c r="M593">
        <v>5</v>
      </c>
      <c r="N593">
        <v>0</v>
      </c>
      <c r="O593">
        <v>0.9</v>
      </c>
      <c r="P593" t="s">
        <v>115</v>
      </c>
      <c r="Q593">
        <v>0</v>
      </c>
      <c r="R593" t="s">
        <v>144</v>
      </c>
    </row>
    <row r="594" spans="1:18" x14ac:dyDescent="0.25">
      <c r="A594" t="s">
        <v>927</v>
      </c>
      <c r="B594" s="2">
        <v>45469</v>
      </c>
      <c r="C594" t="s">
        <v>132</v>
      </c>
      <c r="D594" t="s">
        <v>29</v>
      </c>
      <c r="E594" t="s">
        <v>142</v>
      </c>
      <c r="F594">
        <v>5</v>
      </c>
      <c r="G594">
        <v>0</v>
      </c>
      <c r="H594">
        <v>0</v>
      </c>
      <c r="I594">
        <v>20</v>
      </c>
      <c r="J594">
        <v>0</v>
      </c>
      <c r="K594">
        <v>0</v>
      </c>
      <c r="L594" t="s">
        <v>143</v>
      </c>
      <c r="M594">
        <v>20</v>
      </c>
      <c r="N594">
        <v>1</v>
      </c>
      <c r="O594">
        <v>0.9</v>
      </c>
      <c r="P594" t="s">
        <v>115</v>
      </c>
      <c r="Q594">
        <v>0.9</v>
      </c>
      <c r="R594" t="s">
        <v>144</v>
      </c>
    </row>
    <row r="595" spans="1:18" x14ac:dyDescent="0.25">
      <c r="A595" t="s">
        <v>928</v>
      </c>
      <c r="B595" s="2">
        <v>45469</v>
      </c>
      <c r="C595" t="s">
        <v>132</v>
      </c>
      <c r="D595" t="s">
        <v>29</v>
      </c>
      <c r="E595" t="s">
        <v>142</v>
      </c>
      <c r="F595">
        <v>10</v>
      </c>
      <c r="G595">
        <v>1.262</v>
      </c>
      <c r="H595">
        <v>1.893</v>
      </c>
      <c r="I595">
        <v>20</v>
      </c>
      <c r="J595">
        <v>0</v>
      </c>
      <c r="K595">
        <v>0</v>
      </c>
      <c r="L595" t="s">
        <v>143</v>
      </c>
      <c r="M595">
        <v>21.893000000000001</v>
      </c>
      <c r="N595">
        <v>1</v>
      </c>
      <c r="O595">
        <v>0.9</v>
      </c>
      <c r="P595" t="s">
        <v>115</v>
      </c>
      <c r="Q595">
        <v>0.9</v>
      </c>
      <c r="R595" t="s">
        <v>144</v>
      </c>
    </row>
    <row r="596" spans="1:18" x14ac:dyDescent="0.25">
      <c r="A596" t="s">
        <v>929</v>
      </c>
      <c r="B596" s="2">
        <v>45469</v>
      </c>
      <c r="C596" t="s">
        <v>132</v>
      </c>
      <c r="D596" t="s">
        <v>29</v>
      </c>
      <c r="E596" t="s">
        <v>142</v>
      </c>
      <c r="F596">
        <v>4.827</v>
      </c>
      <c r="G596">
        <v>0</v>
      </c>
      <c r="H596">
        <v>0</v>
      </c>
      <c r="I596">
        <v>20</v>
      </c>
      <c r="J596">
        <v>0</v>
      </c>
      <c r="K596">
        <v>0</v>
      </c>
      <c r="L596" t="s">
        <v>143</v>
      </c>
      <c r="M596">
        <v>20</v>
      </c>
      <c r="N596">
        <v>1</v>
      </c>
      <c r="O596">
        <v>0.9</v>
      </c>
      <c r="P596" t="s">
        <v>115</v>
      </c>
      <c r="Q596">
        <v>0.9</v>
      </c>
      <c r="R596" t="s">
        <v>144</v>
      </c>
    </row>
    <row r="597" spans="1:18" x14ac:dyDescent="0.25">
      <c r="A597" t="s">
        <v>930</v>
      </c>
      <c r="B597" s="2">
        <v>45469</v>
      </c>
      <c r="C597" t="s">
        <v>132</v>
      </c>
      <c r="D597" t="s">
        <v>29</v>
      </c>
      <c r="E597" t="s">
        <v>142</v>
      </c>
      <c r="F597">
        <v>2.4830000000000001</v>
      </c>
      <c r="G597">
        <v>0</v>
      </c>
      <c r="H597">
        <v>0</v>
      </c>
      <c r="I597">
        <v>5</v>
      </c>
      <c r="J597">
        <v>0</v>
      </c>
      <c r="K597">
        <v>0</v>
      </c>
      <c r="L597" t="s">
        <v>931</v>
      </c>
      <c r="M597">
        <v>5</v>
      </c>
      <c r="N597">
        <v>0</v>
      </c>
      <c r="O597">
        <v>0.9</v>
      </c>
      <c r="P597" t="s">
        <v>115</v>
      </c>
      <c r="Q597">
        <v>0</v>
      </c>
      <c r="R597" t="s">
        <v>144</v>
      </c>
    </row>
    <row r="598" spans="1:18" x14ac:dyDescent="0.25">
      <c r="A598" t="s">
        <v>932</v>
      </c>
      <c r="B598" s="2">
        <v>45469</v>
      </c>
      <c r="C598" t="s">
        <v>132</v>
      </c>
      <c r="D598" t="s">
        <v>29</v>
      </c>
      <c r="E598" t="s">
        <v>142</v>
      </c>
      <c r="F598">
        <v>6.7060000000000004</v>
      </c>
      <c r="G598">
        <v>0</v>
      </c>
      <c r="H598">
        <v>0</v>
      </c>
      <c r="I598">
        <v>20</v>
      </c>
      <c r="J598">
        <v>0</v>
      </c>
      <c r="K598">
        <v>0</v>
      </c>
      <c r="L598" t="s">
        <v>143</v>
      </c>
      <c r="M598">
        <v>20</v>
      </c>
      <c r="N598">
        <v>1</v>
      </c>
      <c r="O598">
        <v>0.9</v>
      </c>
      <c r="P598" t="s">
        <v>115</v>
      </c>
      <c r="Q598">
        <v>0.9</v>
      </c>
      <c r="R598" t="s">
        <v>144</v>
      </c>
    </row>
    <row r="599" spans="1:18" x14ac:dyDescent="0.25">
      <c r="A599" t="s">
        <v>933</v>
      </c>
      <c r="B599" s="2">
        <v>45469</v>
      </c>
      <c r="C599" t="s">
        <v>132</v>
      </c>
      <c r="D599" t="s">
        <v>29</v>
      </c>
      <c r="E599" t="s">
        <v>142</v>
      </c>
      <c r="F599">
        <v>6.1740000000000004</v>
      </c>
      <c r="G599">
        <v>0</v>
      </c>
      <c r="H599">
        <v>0</v>
      </c>
      <c r="I599">
        <v>20</v>
      </c>
      <c r="J599">
        <v>0</v>
      </c>
      <c r="K599">
        <v>0</v>
      </c>
      <c r="L599" t="s">
        <v>143</v>
      </c>
      <c r="M599">
        <v>20</v>
      </c>
      <c r="N599">
        <v>1</v>
      </c>
      <c r="O599">
        <v>0.9</v>
      </c>
      <c r="P599" t="s">
        <v>115</v>
      </c>
      <c r="Q599">
        <v>0.9</v>
      </c>
      <c r="R599" t="s">
        <v>144</v>
      </c>
    </row>
    <row r="600" spans="1:18" x14ac:dyDescent="0.25">
      <c r="A600" t="s">
        <v>934</v>
      </c>
      <c r="B600" s="2">
        <v>45469</v>
      </c>
      <c r="C600" t="s">
        <v>132</v>
      </c>
      <c r="D600" t="s">
        <v>29</v>
      </c>
      <c r="E600" t="s">
        <v>142</v>
      </c>
      <c r="F600">
        <v>1.466</v>
      </c>
      <c r="G600">
        <v>0</v>
      </c>
      <c r="H600">
        <v>0</v>
      </c>
      <c r="I600">
        <v>20</v>
      </c>
      <c r="J600">
        <v>0</v>
      </c>
      <c r="K600">
        <v>0</v>
      </c>
      <c r="L600" t="s">
        <v>143</v>
      </c>
      <c r="M600">
        <v>20</v>
      </c>
      <c r="N600">
        <v>1</v>
      </c>
      <c r="O600">
        <v>0.9</v>
      </c>
      <c r="P600" t="s">
        <v>115</v>
      </c>
      <c r="Q600">
        <v>0.9</v>
      </c>
      <c r="R600" t="s">
        <v>144</v>
      </c>
    </row>
    <row r="601" spans="1:18" x14ac:dyDescent="0.25">
      <c r="A601" t="s">
        <v>935</v>
      </c>
      <c r="B601" s="2">
        <v>45470</v>
      </c>
      <c r="C601" t="s">
        <v>132</v>
      </c>
      <c r="D601" t="s">
        <v>29</v>
      </c>
      <c r="E601" t="s">
        <v>142</v>
      </c>
      <c r="F601">
        <v>3.601</v>
      </c>
      <c r="G601">
        <v>0</v>
      </c>
      <c r="H601">
        <v>0</v>
      </c>
      <c r="I601">
        <v>20</v>
      </c>
      <c r="J601">
        <v>0</v>
      </c>
      <c r="K601">
        <v>0</v>
      </c>
      <c r="L601" t="s">
        <v>143</v>
      </c>
      <c r="M601">
        <v>20</v>
      </c>
      <c r="N601">
        <v>1</v>
      </c>
      <c r="O601">
        <v>0.9</v>
      </c>
      <c r="P601" t="s">
        <v>115</v>
      </c>
      <c r="Q601">
        <v>0.9</v>
      </c>
      <c r="R601" t="s">
        <v>144</v>
      </c>
    </row>
    <row r="602" spans="1:18" x14ac:dyDescent="0.25">
      <c r="A602" t="s">
        <v>936</v>
      </c>
      <c r="B602" s="2">
        <v>45470</v>
      </c>
      <c r="C602" t="s">
        <v>132</v>
      </c>
      <c r="D602" t="s">
        <v>29</v>
      </c>
      <c r="E602" t="s">
        <v>142</v>
      </c>
      <c r="F602">
        <v>2.7280000000000002</v>
      </c>
      <c r="G602">
        <v>0</v>
      </c>
      <c r="H602">
        <v>0</v>
      </c>
      <c r="I602">
        <v>20</v>
      </c>
      <c r="J602">
        <v>0</v>
      </c>
      <c r="K602">
        <v>0</v>
      </c>
      <c r="L602" t="s">
        <v>143</v>
      </c>
      <c r="M602">
        <v>20</v>
      </c>
      <c r="N602">
        <v>1</v>
      </c>
      <c r="O602">
        <v>0.9</v>
      </c>
      <c r="P602" t="s">
        <v>115</v>
      </c>
      <c r="Q602">
        <v>0.9</v>
      </c>
      <c r="R602" t="s">
        <v>144</v>
      </c>
    </row>
    <row r="603" spans="1:18" x14ac:dyDescent="0.25">
      <c r="A603" t="s">
        <v>937</v>
      </c>
      <c r="B603" s="2">
        <v>45470</v>
      </c>
      <c r="C603" t="s">
        <v>132</v>
      </c>
      <c r="D603" t="s">
        <v>29</v>
      </c>
      <c r="E603" t="s">
        <v>142</v>
      </c>
      <c r="F603">
        <v>1.643</v>
      </c>
      <c r="G603">
        <v>0</v>
      </c>
      <c r="H603">
        <v>0</v>
      </c>
      <c r="I603">
        <v>20</v>
      </c>
      <c r="J603">
        <v>0</v>
      </c>
      <c r="K603">
        <v>0</v>
      </c>
      <c r="L603" t="s">
        <v>143</v>
      </c>
      <c r="M603">
        <v>20</v>
      </c>
      <c r="N603">
        <v>1</v>
      </c>
      <c r="O603">
        <v>0.9</v>
      </c>
      <c r="P603" t="s">
        <v>115</v>
      </c>
      <c r="Q603">
        <v>0.9</v>
      </c>
      <c r="R603" t="s">
        <v>144</v>
      </c>
    </row>
    <row r="604" spans="1:18" x14ac:dyDescent="0.25">
      <c r="A604" t="s">
        <v>938</v>
      </c>
      <c r="B604" s="2">
        <v>45470</v>
      </c>
      <c r="C604" t="s">
        <v>132</v>
      </c>
      <c r="D604" t="s">
        <v>29</v>
      </c>
      <c r="E604" t="s">
        <v>142</v>
      </c>
      <c r="F604">
        <v>1.6719999999999999</v>
      </c>
      <c r="G604">
        <v>0</v>
      </c>
      <c r="H604">
        <v>0</v>
      </c>
      <c r="I604">
        <v>20</v>
      </c>
      <c r="J604">
        <v>0</v>
      </c>
      <c r="K604">
        <v>0</v>
      </c>
      <c r="L604" t="s">
        <v>143</v>
      </c>
      <c r="M604">
        <v>20</v>
      </c>
      <c r="N604">
        <v>1</v>
      </c>
      <c r="O604">
        <v>0.9</v>
      </c>
      <c r="P604" t="s">
        <v>115</v>
      </c>
      <c r="Q604">
        <v>0.9</v>
      </c>
      <c r="R604" t="s">
        <v>144</v>
      </c>
    </row>
    <row r="605" spans="1:18" x14ac:dyDescent="0.25">
      <c r="A605" t="s">
        <v>939</v>
      </c>
      <c r="B605" s="2">
        <v>45470</v>
      </c>
      <c r="C605" t="s">
        <v>132</v>
      </c>
      <c r="D605" t="s">
        <v>29</v>
      </c>
      <c r="E605" t="s">
        <v>142</v>
      </c>
      <c r="F605">
        <v>10</v>
      </c>
      <c r="G605">
        <v>2.0369999999999999</v>
      </c>
      <c r="H605">
        <v>3.0554999999999999</v>
      </c>
      <c r="I605">
        <v>20</v>
      </c>
      <c r="J605">
        <v>0</v>
      </c>
      <c r="K605">
        <v>0</v>
      </c>
      <c r="L605" t="s">
        <v>143</v>
      </c>
      <c r="M605">
        <v>23.055499999999999</v>
      </c>
      <c r="N605">
        <v>1</v>
      </c>
      <c r="O605">
        <v>0.9</v>
      </c>
      <c r="P605" t="s">
        <v>115</v>
      </c>
      <c r="Q605">
        <v>0.9</v>
      </c>
      <c r="R605" t="s">
        <v>144</v>
      </c>
    </row>
    <row r="606" spans="1:18" x14ac:dyDescent="0.25">
      <c r="A606" t="s">
        <v>940</v>
      </c>
      <c r="B606" s="2">
        <v>45470</v>
      </c>
      <c r="C606" t="s">
        <v>132</v>
      </c>
      <c r="D606" t="s">
        <v>29</v>
      </c>
      <c r="E606" t="s">
        <v>142</v>
      </c>
      <c r="F606">
        <v>10</v>
      </c>
      <c r="G606">
        <v>5.9569999999999999</v>
      </c>
      <c r="H606">
        <v>8.9354999999999993</v>
      </c>
      <c r="I606">
        <v>20</v>
      </c>
      <c r="J606">
        <v>0</v>
      </c>
      <c r="K606">
        <v>0</v>
      </c>
      <c r="L606" t="s">
        <v>143</v>
      </c>
      <c r="M606">
        <v>28.935500000000001</v>
      </c>
      <c r="N606">
        <v>1</v>
      </c>
      <c r="O606">
        <v>0.9</v>
      </c>
      <c r="P606" t="s">
        <v>115</v>
      </c>
      <c r="Q606">
        <v>0.9</v>
      </c>
      <c r="R606" t="s">
        <v>144</v>
      </c>
    </row>
    <row r="607" spans="1:18" x14ac:dyDescent="0.25">
      <c r="A607" t="s">
        <v>941</v>
      </c>
      <c r="B607" s="2">
        <v>45470</v>
      </c>
      <c r="C607" t="s">
        <v>132</v>
      </c>
      <c r="D607" t="s">
        <v>29</v>
      </c>
      <c r="E607" t="s">
        <v>142</v>
      </c>
      <c r="F607">
        <v>10</v>
      </c>
      <c r="G607">
        <v>2.5209999999999999</v>
      </c>
      <c r="H607">
        <v>0</v>
      </c>
      <c r="I607">
        <v>5</v>
      </c>
      <c r="J607">
        <v>0</v>
      </c>
      <c r="K607">
        <v>0</v>
      </c>
      <c r="L607" t="s">
        <v>942</v>
      </c>
      <c r="M607">
        <v>5</v>
      </c>
      <c r="N607">
        <v>0</v>
      </c>
      <c r="O607">
        <v>0.9</v>
      </c>
      <c r="P607" t="s">
        <v>115</v>
      </c>
      <c r="Q607">
        <v>0</v>
      </c>
      <c r="R607" t="s">
        <v>144</v>
      </c>
    </row>
    <row r="608" spans="1:18" x14ac:dyDescent="0.25">
      <c r="A608" t="s">
        <v>943</v>
      </c>
      <c r="B608" s="2">
        <v>45470</v>
      </c>
      <c r="C608" t="s">
        <v>132</v>
      </c>
      <c r="D608" t="s">
        <v>29</v>
      </c>
      <c r="E608" t="s">
        <v>142</v>
      </c>
      <c r="F608">
        <v>1.121</v>
      </c>
      <c r="G608">
        <v>0</v>
      </c>
      <c r="H608">
        <v>0</v>
      </c>
      <c r="I608">
        <v>5</v>
      </c>
      <c r="J608">
        <v>0</v>
      </c>
      <c r="K608">
        <v>0</v>
      </c>
      <c r="L608" t="s">
        <v>944</v>
      </c>
      <c r="M608">
        <v>5</v>
      </c>
      <c r="N608">
        <v>0</v>
      </c>
      <c r="O608">
        <v>0.9</v>
      </c>
      <c r="P608" t="s">
        <v>115</v>
      </c>
      <c r="Q608">
        <v>0</v>
      </c>
      <c r="R608" t="s">
        <v>144</v>
      </c>
    </row>
    <row r="609" spans="1:18" x14ac:dyDescent="0.25">
      <c r="A609" t="s">
        <v>945</v>
      </c>
      <c r="B609" s="2">
        <v>45470</v>
      </c>
      <c r="C609" t="s">
        <v>132</v>
      </c>
      <c r="D609" t="s">
        <v>29</v>
      </c>
      <c r="E609" t="s">
        <v>142</v>
      </c>
      <c r="F609">
        <v>5.8559999999999999</v>
      </c>
      <c r="G609">
        <v>0</v>
      </c>
      <c r="H609">
        <v>0</v>
      </c>
      <c r="I609">
        <v>20</v>
      </c>
      <c r="J609">
        <v>0</v>
      </c>
      <c r="K609">
        <v>0</v>
      </c>
      <c r="L609" t="s">
        <v>143</v>
      </c>
      <c r="M609">
        <v>20</v>
      </c>
      <c r="N609">
        <v>1</v>
      </c>
      <c r="O609">
        <v>0.9</v>
      </c>
      <c r="P609" t="s">
        <v>115</v>
      </c>
      <c r="Q609">
        <v>0.9</v>
      </c>
      <c r="R609" t="s">
        <v>144</v>
      </c>
    </row>
    <row r="610" spans="1:18" x14ac:dyDescent="0.25">
      <c r="A610" t="s">
        <v>946</v>
      </c>
      <c r="B610" s="2">
        <v>45470</v>
      </c>
      <c r="C610" t="s">
        <v>132</v>
      </c>
      <c r="D610" t="s">
        <v>29</v>
      </c>
      <c r="E610" t="s">
        <v>142</v>
      </c>
      <c r="F610">
        <v>2.661</v>
      </c>
      <c r="G610">
        <v>0</v>
      </c>
      <c r="H610">
        <v>0</v>
      </c>
      <c r="I610">
        <v>20</v>
      </c>
      <c r="J610">
        <v>0</v>
      </c>
      <c r="K610">
        <v>0</v>
      </c>
      <c r="L610" t="s">
        <v>143</v>
      </c>
      <c r="M610">
        <v>20</v>
      </c>
      <c r="N610">
        <v>1</v>
      </c>
      <c r="O610">
        <v>0.9</v>
      </c>
      <c r="P610" t="s">
        <v>115</v>
      </c>
      <c r="Q610">
        <v>0.9</v>
      </c>
      <c r="R610" t="s">
        <v>144</v>
      </c>
    </row>
    <row r="611" spans="1:18" x14ac:dyDescent="0.25">
      <c r="A611" t="s">
        <v>947</v>
      </c>
      <c r="B611" s="2">
        <v>45470</v>
      </c>
      <c r="C611" t="s">
        <v>132</v>
      </c>
      <c r="D611" t="s">
        <v>29</v>
      </c>
      <c r="E611" t="s">
        <v>142</v>
      </c>
      <c r="F611">
        <v>1.8220000000000001</v>
      </c>
      <c r="G611">
        <v>0</v>
      </c>
      <c r="H611">
        <v>0</v>
      </c>
      <c r="I611">
        <v>20</v>
      </c>
      <c r="J611">
        <v>0</v>
      </c>
      <c r="K611">
        <v>0</v>
      </c>
      <c r="L611" t="s">
        <v>143</v>
      </c>
      <c r="M611">
        <v>20</v>
      </c>
      <c r="N611">
        <v>1</v>
      </c>
      <c r="O611">
        <v>0.9</v>
      </c>
      <c r="P611" t="s">
        <v>115</v>
      </c>
      <c r="Q611">
        <v>0.9</v>
      </c>
      <c r="R611" t="s">
        <v>144</v>
      </c>
    </row>
    <row r="612" spans="1:18" x14ac:dyDescent="0.25">
      <c r="A612" t="s">
        <v>948</v>
      </c>
      <c r="B612" s="2">
        <v>45470</v>
      </c>
      <c r="C612" t="s">
        <v>132</v>
      </c>
      <c r="D612" t="s">
        <v>29</v>
      </c>
      <c r="E612" t="s">
        <v>142</v>
      </c>
      <c r="F612">
        <v>6.726</v>
      </c>
      <c r="G612">
        <v>0</v>
      </c>
      <c r="H612">
        <v>0</v>
      </c>
      <c r="I612">
        <v>5</v>
      </c>
      <c r="J612">
        <v>0</v>
      </c>
      <c r="K612">
        <v>0</v>
      </c>
      <c r="L612" t="s">
        <v>949</v>
      </c>
      <c r="M612">
        <v>5</v>
      </c>
      <c r="N612">
        <v>0</v>
      </c>
      <c r="O612">
        <v>0.9</v>
      </c>
      <c r="P612" t="s">
        <v>115</v>
      </c>
      <c r="Q612">
        <v>0</v>
      </c>
      <c r="R612" t="s">
        <v>144</v>
      </c>
    </row>
    <row r="613" spans="1:18" x14ac:dyDescent="0.25">
      <c r="A613" t="s">
        <v>950</v>
      </c>
      <c r="B613" s="2">
        <v>45470</v>
      </c>
      <c r="C613" t="s">
        <v>132</v>
      </c>
      <c r="D613" t="s">
        <v>29</v>
      </c>
      <c r="E613" t="s">
        <v>142</v>
      </c>
      <c r="F613">
        <v>2.3109999999999999</v>
      </c>
      <c r="G613">
        <v>0</v>
      </c>
      <c r="H613">
        <v>0</v>
      </c>
      <c r="I613">
        <v>20</v>
      </c>
      <c r="J613">
        <v>0</v>
      </c>
      <c r="K613">
        <v>0</v>
      </c>
      <c r="L613" t="s">
        <v>143</v>
      </c>
      <c r="M613">
        <v>20</v>
      </c>
      <c r="N613">
        <v>1</v>
      </c>
      <c r="O613">
        <v>0.9</v>
      </c>
      <c r="P613" t="s">
        <v>115</v>
      </c>
      <c r="Q613">
        <v>0.9</v>
      </c>
      <c r="R613" t="s">
        <v>144</v>
      </c>
    </row>
    <row r="614" spans="1:18" x14ac:dyDescent="0.25">
      <c r="A614" t="s">
        <v>951</v>
      </c>
      <c r="B614" s="2">
        <v>45470</v>
      </c>
      <c r="C614" t="s">
        <v>132</v>
      </c>
      <c r="D614" t="s">
        <v>29</v>
      </c>
      <c r="E614" t="s">
        <v>142</v>
      </c>
      <c r="F614">
        <v>2.0550000000000002</v>
      </c>
      <c r="G614">
        <v>0</v>
      </c>
      <c r="H614">
        <v>0</v>
      </c>
      <c r="I614">
        <v>20</v>
      </c>
      <c r="J614">
        <v>0</v>
      </c>
      <c r="K614">
        <v>0</v>
      </c>
      <c r="L614" t="s">
        <v>143</v>
      </c>
      <c r="M614">
        <v>20</v>
      </c>
      <c r="N614">
        <v>1</v>
      </c>
      <c r="O614">
        <v>0.9</v>
      </c>
      <c r="P614" t="s">
        <v>115</v>
      </c>
      <c r="Q614">
        <v>0.9</v>
      </c>
      <c r="R614" t="s">
        <v>144</v>
      </c>
    </row>
    <row r="615" spans="1:18" x14ac:dyDescent="0.25">
      <c r="A615" t="s">
        <v>952</v>
      </c>
      <c r="B615" s="2">
        <v>45470</v>
      </c>
      <c r="C615" t="s">
        <v>132</v>
      </c>
      <c r="D615" t="s">
        <v>29</v>
      </c>
      <c r="E615" t="s">
        <v>142</v>
      </c>
      <c r="F615">
        <v>7.3789999999999996</v>
      </c>
      <c r="G615">
        <v>0</v>
      </c>
      <c r="H615">
        <v>0</v>
      </c>
      <c r="I615">
        <v>5</v>
      </c>
      <c r="J615">
        <v>0</v>
      </c>
      <c r="K615">
        <v>0</v>
      </c>
      <c r="L615" t="s">
        <v>953</v>
      </c>
      <c r="M615">
        <v>5</v>
      </c>
      <c r="N615">
        <v>0</v>
      </c>
      <c r="O615">
        <v>0.9</v>
      </c>
      <c r="P615" t="s">
        <v>115</v>
      </c>
      <c r="Q615">
        <v>0</v>
      </c>
      <c r="R615" t="s">
        <v>144</v>
      </c>
    </row>
    <row r="616" spans="1:18" x14ac:dyDescent="0.25">
      <c r="A616" t="s">
        <v>954</v>
      </c>
      <c r="B616" s="2">
        <v>45471</v>
      </c>
      <c r="C616" t="s">
        <v>132</v>
      </c>
      <c r="D616" t="s">
        <v>29</v>
      </c>
      <c r="E616" t="s">
        <v>142</v>
      </c>
      <c r="F616">
        <v>1.9059999999999999</v>
      </c>
      <c r="G616">
        <v>0</v>
      </c>
      <c r="H616">
        <v>0</v>
      </c>
      <c r="I616">
        <v>5</v>
      </c>
      <c r="J616">
        <v>0</v>
      </c>
      <c r="K616">
        <v>0</v>
      </c>
      <c r="L616" t="s">
        <v>955</v>
      </c>
      <c r="M616">
        <v>5</v>
      </c>
      <c r="N616">
        <v>0</v>
      </c>
      <c r="O616">
        <v>0.9</v>
      </c>
      <c r="P616" t="s">
        <v>115</v>
      </c>
      <c r="Q616">
        <v>0</v>
      </c>
      <c r="R616" t="s">
        <v>144</v>
      </c>
    </row>
    <row r="617" spans="1:18" x14ac:dyDescent="0.25">
      <c r="A617" t="s">
        <v>956</v>
      </c>
      <c r="B617" s="2">
        <v>45471</v>
      </c>
      <c r="C617" t="s">
        <v>132</v>
      </c>
      <c r="D617" t="s">
        <v>29</v>
      </c>
      <c r="E617" t="s">
        <v>142</v>
      </c>
      <c r="F617">
        <v>6.234</v>
      </c>
      <c r="G617">
        <v>0</v>
      </c>
      <c r="H617">
        <v>0</v>
      </c>
      <c r="I617">
        <v>20</v>
      </c>
      <c r="J617">
        <v>0</v>
      </c>
      <c r="K617">
        <v>0</v>
      </c>
      <c r="L617" t="s">
        <v>143</v>
      </c>
      <c r="M617">
        <v>20</v>
      </c>
      <c r="N617">
        <v>1</v>
      </c>
      <c r="O617">
        <v>0.9</v>
      </c>
      <c r="P617" t="s">
        <v>115</v>
      </c>
      <c r="Q617">
        <v>0.9</v>
      </c>
      <c r="R617" t="s">
        <v>144</v>
      </c>
    </row>
    <row r="618" spans="1:18" x14ac:dyDescent="0.25">
      <c r="A618" t="s">
        <v>957</v>
      </c>
      <c r="B618" s="2">
        <v>45471</v>
      </c>
      <c r="C618" t="s">
        <v>132</v>
      </c>
      <c r="D618" t="s">
        <v>29</v>
      </c>
      <c r="E618" t="s">
        <v>142</v>
      </c>
      <c r="F618">
        <v>0.91600000000000004</v>
      </c>
      <c r="G618">
        <v>0</v>
      </c>
      <c r="H618">
        <v>0</v>
      </c>
      <c r="I618">
        <v>20</v>
      </c>
      <c r="J618">
        <v>0</v>
      </c>
      <c r="K618">
        <v>0</v>
      </c>
      <c r="L618" t="s">
        <v>143</v>
      </c>
      <c r="M618">
        <v>20</v>
      </c>
      <c r="N618">
        <v>1</v>
      </c>
      <c r="O618">
        <v>0.9</v>
      </c>
      <c r="P618" t="s">
        <v>115</v>
      </c>
      <c r="Q618">
        <v>0.9</v>
      </c>
      <c r="R618" t="s">
        <v>144</v>
      </c>
    </row>
    <row r="619" spans="1:18" x14ac:dyDescent="0.25">
      <c r="A619" t="s">
        <v>958</v>
      </c>
      <c r="B619" s="2">
        <v>45471</v>
      </c>
      <c r="C619" t="s">
        <v>132</v>
      </c>
      <c r="D619" t="s">
        <v>29</v>
      </c>
      <c r="E619" t="s">
        <v>142</v>
      </c>
      <c r="F619">
        <v>10</v>
      </c>
      <c r="G619">
        <v>1.879</v>
      </c>
      <c r="H619">
        <v>2.8184999999999998</v>
      </c>
      <c r="I619">
        <v>20</v>
      </c>
      <c r="J619">
        <v>0</v>
      </c>
      <c r="K619">
        <v>0</v>
      </c>
      <c r="L619" t="s">
        <v>143</v>
      </c>
      <c r="M619">
        <v>22.8185</v>
      </c>
      <c r="N619">
        <v>1</v>
      </c>
      <c r="O619">
        <v>0.9</v>
      </c>
      <c r="P619" t="s">
        <v>115</v>
      </c>
      <c r="Q619">
        <v>0.9</v>
      </c>
      <c r="R619" t="s">
        <v>144</v>
      </c>
    </row>
    <row r="620" spans="1:18" x14ac:dyDescent="0.25">
      <c r="A620" t="s">
        <v>959</v>
      </c>
      <c r="B620" s="2">
        <v>45471</v>
      </c>
      <c r="C620" t="s">
        <v>132</v>
      </c>
      <c r="D620" t="s">
        <v>29</v>
      </c>
      <c r="E620" t="s">
        <v>142</v>
      </c>
      <c r="F620">
        <v>3.07</v>
      </c>
      <c r="G620">
        <v>0</v>
      </c>
      <c r="H620">
        <v>0</v>
      </c>
      <c r="I620">
        <v>20</v>
      </c>
      <c r="J620">
        <v>0</v>
      </c>
      <c r="K620">
        <v>0</v>
      </c>
      <c r="L620" t="s">
        <v>143</v>
      </c>
      <c r="M620">
        <v>20</v>
      </c>
      <c r="N620">
        <v>1</v>
      </c>
      <c r="O620">
        <v>0.9</v>
      </c>
      <c r="P620" t="s">
        <v>115</v>
      </c>
      <c r="Q620">
        <v>0.9</v>
      </c>
      <c r="R620" t="s">
        <v>144</v>
      </c>
    </row>
    <row r="621" spans="1:18" x14ac:dyDescent="0.25">
      <c r="A621" t="s">
        <v>960</v>
      </c>
      <c r="B621" s="2">
        <v>45471</v>
      </c>
      <c r="C621" t="s">
        <v>132</v>
      </c>
      <c r="D621" t="s">
        <v>29</v>
      </c>
      <c r="E621" t="s">
        <v>142</v>
      </c>
      <c r="F621">
        <v>1.5009999999999999</v>
      </c>
      <c r="G621">
        <v>0</v>
      </c>
      <c r="H621">
        <v>0</v>
      </c>
      <c r="I621">
        <v>20</v>
      </c>
      <c r="J621">
        <v>0</v>
      </c>
      <c r="K621">
        <v>0</v>
      </c>
      <c r="L621" t="s">
        <v>961</v>
      </c>
      <c r="M621">
        <v>20</v>
      </c>
      <c r="N621">
        <v>1</v>
      </c>
      <c r="O621">
        <v>0.9</v>
      </c>
      <c r="P621" t="s">
        <v>115</v>
      </c>
      <c r="Q621">
        <v>0.9</v>
      </c>
      <c r="R621" t="s">
        <v>144</v>
      </c>
    </row>
    <row r="622" spans="1:18" x14ac:dyDescent="0.25">
      <c r="A622" t="s">
        <v>962</v>
      </c>
      <c r="B622" s="2">
        <v>45471</v>
      </c>
      <c r="C622" t="s">
        <v>132</v>
      </c>
      <c r="D622" t="s">
        <v>29</v>
      </c>
      <c r="E622" t="s">
        <v>142</v>
      </c>
      <c r="F622">
        <v>4.5149999999999997</v>
      </c>
      <c r="G622">
        <v>0</v>
      </c>
      <c r="H622">
        <v>0</v>
      </c>
      <c r="I622">
        <v>20</v>
      </c>
      <c r="J622">
        <v>0</v>
      </c>
      <c r="K622">
        <v>0</v>
      </c>
      <c r="L622" t="s">
        <v>143</v>
      </c>
      <c r="M622">
        <v>20</v>
      </c>
      <c r="N622">
        <v>1</v>
      </c>
      <c r="O622">
        <v>0.9</v>
      </c>
      <c r="P622" t="s">
        <v>115</v>
      </c>
      <c r="Q622">
        <v>0.9</v>
      </c>
      <c r="R622" t="s">
        <v>144</v>
      </c>
    </row>
    <row r="623" spans="1:18" x14ac:dyDescent="0.25">
      <c r="A623" t="s">
        <v>963</v>
      </c>
      <c r="B623" s="2">
        <v>45471</v>
      </c>
      <c r="C623" t="s">
        <v>132</v>
      </c>
      <c r="D623" t="s">
        <v>29</v>
      </c>
      <c r="E623" t="s">
        <v>142</v>
      </c>
      <c r="F623">
        <v>2.3969999999999998</v>
      </c>
      <c r="G623">
        <v>0</v>
      </c>
      <c r="H623">
        <v>0</v>
      </c>
      <c r="I623">
        <v>20</v>
      </c>
      <c r="J623">
        <v>0</v>
      </c>
      <c r="K623">
        <v>0</v>
      </c>
      <c r="L623" t="s">
        <v>143</v>
      </c>
      <c r="M623">
        <v>20</v>
      </c>
      <c r="N623">
        <v>1</v>
      </c>
      <c r="O623">
        <v>0.9</v>
      </c>
      <c r="P623" t="s">
        <v>115</v>
      </c>
      <c r="Q623">
        <v>0.9</v>
      </c>
      <c r="R623" t="s">
        <v>144</v>
      </c>
    </row>
    <row r="624" spans="1:18" x14ac:dyDescent="0.25">
      <c r="A624" t="s">
        <v>964</v>
      </c>
      <c r="B624" s="2">
        <v>45471</v>
      </c>
      <c r="C624" t="s">
        <v>132</v>
      </c>
      <c r="D624" t="s">
        <v>29</v>
      </c>
      <c r="E624" t="s">
        <v>142</v>
      </c>
      <c r="F624">
        <v>6.2039999999999997</v>
      </c>
      <c r="G624">
        <v>0</v>
      </c>
      <c r="H624">
        <v>0</v>
      </c>
      <c r="I624">
        <v>20</v>
      </c>
      <c r="J624">
        <v>0</v>
      </c>
      <c r="K624">
        <v>0</v>
      </c>
      <c r="L624" t="s">
        <v>965</v>
      </c>
      <c r="M624">
        <v>20</v>
      </c>
      <c r="N624">
        <v>1</v>
      </c>
      <c r="O624">
        <v>0.9</v>
      </c>
      <c r="P624" t="s">
        <v>115</v>
      </c>
      <c r="Q624">
        <v>0.9</v>
      </c>
      <c r="R624" t="s">
        <v>144</v>
      </c>
    </row>
    <row r="625" spans="1:18" x14ac:dyDescent="0.25">
      <c r="A625" t="s">
        <v>966</v>
      </c>
      <c r="B625" s="2">
        <v>45471</v>
      </c>
      <c r="C625" t="s">
        <v>132</v>
      </c>
      <c r="D625" t="s">
        <v>29</v>
      </c>
      <c r="E625" t="s">
        <v>142</v>
      </c>
      <c r="F625">
        <v>1.607</v>
      </c>
      <c r="G625">
        <v>0</v>
      </c>
      <c r="H625">
        <v>0</v>
      </c>
      <c r="I625">
        <v>20</v>
      </c>
      <c r="J625">
        <v>0</v>
      </c>
      <c r="K625">
        <v>0</v>
      </c>
      <c r="L625" t="s">
        <v>143</v>
      </c>
      <c r="M625">
        <v>20</v>
      </c>
      <c r="N625">
        <v>1</v>
      </c>
      <c r="O625">
        <v>0.9</v>
      </c>
      <c r="P625" t="s">
        <v>115</v>
      </c>
      <c r="Q625">
        <v>0.9</v>
      </c>
      <c r="R625" t="s">
        <v>144</v>
      </c>
    </row>
    <row r="626" spans="1:18" x14ac:dyDescent="0.25">
      <c r="A626" t="s">
        <v>967</v>
      </c>
      <c r="B626" s="2">
        <v>45471</v>
      </c>
      <c r="C626" t="s">
        <v>132</v>
      </c>
      <c r="D626" t="s">
        <v>29</v>
      </c>
      <c r="E626" t="s">
        <v>142</v>
      </c>
      <c r="F626">
        <v>1.607</v>
      </c>
      <c r="G626">
        <v>0</v>
      </c>
      <c r="H626">
        <v>0</v>
      </c>
      <c r="I626">
        <v>20</v>
      </c>
      <c r="J626">
        <v>0</v>
      </c>
      <c r="K626">
        <v>0</v>
      </c>
      <c r="L626" t="s">
        <v>143</v>
      </c>
      <c r="M626">
        <v>20</v>
      </c>
      <c r="N626">
        <v>1</v>
      </c>
      <c r="O626">
        <v>0.9</v>
      </c>
      <c r="P626" t="s">
        <v>115</v>
      </c>
      <c r="Q626">
        <v>0.9</v>
      </c>
      <c r="R626" t="s">
        <v>144</v>
      </c>
    </row>
    <row r="627" spans="1:18" x14ac:dyDescent="0.25">
      <c r="A627" t="s">
        <v>968</v>
      </c>
      <c r="B627" s="2">
        <v>45471</v>
      </c>
      <c r="C627" t="s">
        <v>132</v>
      </c>
      <c r="D627" t="s">
        <v>29</v>
      </c>
      <c r="E627" t="s">
        <v>142</v>
      </c>
      <c r="F627">
        <v>4.0549999999999997</v>
      </c>
      <c r="G627">
        <v>0</v>
      </c>
      <c r="H627">
        <v>0</v>
      </c>
      <c r="I627">
        <v>20</v>
      </c>
      <c r="J627">
        <v>0</v>
      </c>
      <c r="K627">
        <v>0</v>
      </c>
      <c r="L627" t="s">
        <v>969</v>
      </c>
      <c r="M627">
        <v>20</v>
      </c>
      <c r="N627">
        <v>1</v>
      </c>
      <c r="O627">
        <v>0.9</v>
      </c>
      <c r="P627" t="s">
        <v>115</v>
      </c>
      <c r="Q627">
        <v>0.9</v>
      </c>
      <c r="R627" t="s">
        <v>144</v>
      </c>
    </row>
    <row r="628" spans="1:18" x14ac:dyDescent="0.25">
      <c r="A628" t="s">
        <v>970</v>
      </c>
      <c r="B628" s="2">
        <v>45471</v>
      </c>
      <c r="C628" t="s">
        <v>132</v>
      </c>
      <c r="D628" t="s">
        <v>29</v>
      </c>
      <c r="E628" t="s">
        <v>142</v>
      </c>
      <c r="F628">
        <v>10</v>
      </c>
      <c r="G628">
        <v>7</v>
      </c>
      <c r="H628">
        <v>10.5</v>
      </c>
      <c r="I628">
        <v>20</v>
      </c>
      <c r="J628">
        <v>0</v>
      </c>
      <c r="K628">
        <v>0</v>
      </c>
      <c r="L628" t="s">
        <v>143</v>
      </c>
      <c r="M628">
        <v>30.5</v>
      </c>
      <c r="N628">
        <v>1</v>
      </c>
      <c r="O628">
        <v>0.9</v>
      </c>
      <c r="P628" t="s">
        <v>115</v>
      </c>
      <c r="Q628">
        <v>0.9</v>
      </c>
      <c r="R628" t="s">
        <v>144</v>
      </c>
    </row>
    <row r="629" spans="1:18" x14ac:dyDescent="0.25">
      <c r="A629" t="s">
        <v>971</v>
      </c>
      <c r="B629" s="2">
        <v>45472</v>
      </c>
      <c r="C629" t="s">
        <v>132</v>
      </c>
      <c r="D629" t="s">
        <v>29</v>
      </c>
      <c r="E629" t="s">
        <v>142</v>
      </c>
      <c r="F629">
        <v>3.5659999999999998</v>
      </c>
      <c r="G629">
        <v>0</v>
      </c>
      <c r="H629">
        <v>0</v>
      </c>
      <c r="I629">
        <v>20</v>
      </c>
      <c r="J629">
        <v>0</v>
      </c>
      <c r="K629">
        <v>0</v>
      </c>
      <c r="L629" t="s">
        <v>143</v>
      </c>
      <c r="M629">
        <v>20</v>
      </c>
      <c r="N629">
        <v>1</v>
      </c>
      <c r="O629">
        <v>0.9</v>
      </c>
      <c r="P629" t="s">
        <v>115</v>
      </c>
      <c r="Q629">
        <v>0.9</v>
      </c>
      <c r="R629" t="s">
        <v>144</v>
      </c>
    </row>
    <row r="630" spans="1:18" x14ac:dyDescent="0.25">
      <c r="A630" t="s">
        <v>972</v>
      </c>
      <c r="B630" s="2">
        <v>45472</v>
      </c>
      <c r="C630" t="s">
        <v>132</v>
      </c>
      <c r="D630" t="s">
        <v>29</v>
      </c>
      <c r="E630" t="s">
        <v>142</v>
      </c>
      <c r="F630">
        <v>0.56599999999999995</v>
      </c>
      <c r="G630">
        <v>0</v>
      </c>
      <c r="H630">
        <v>0</v>
      </c>
      <c r="I630">
        <v>20</v>
      </c>
      <c r="J630">
        <v>0</v>
      </c>
      <c r="K630">
        <v>0</v>
      </c>
      <c r="L630" t="s">
        <v>143</v>
      </c>
      <c r="M630">
        <v>20</v>
      </c>
      <c r="N630">
        <v>1</v>
      </c>
      <c r="O630">
        <v>0.9</v>
      </c>
      <c r="P630" t="s">
        <v>115</v>
      </c>
      <c r="Q630">
        <v>0.9</v>
      </c>
      <c r="R630" t="s">
        <v>144</v>
      </c>
    </row>
    <row r="631" spans="1:18" x14ac:dyDescent="0.25">
      <c r="A631" t="s">
        <v>973</v>
      </c>
      <c r="B631" s="2">
        <v>45472</v>
      </c>
      <c r="C631" t="s">
        <v>132</v>
      </c>
      <c r="D631" t="s">
        <v>29</v>
      </c>
      <c r="E631" t="s">
        <v>142</v>
      </c>
      <c r="F631">
        <v>0.56599999999999995</v>
      </c>
      <c r="G631">
        <v>0</v>
      </c>
      <c r="H631">
        <v>0</v>
      </c>
      <c r="I631">
        <v>20</v>
      </c>
      <c r="J631">
        <v>0</v>
      </c>
      <c r="K631">
        <v>0</v>
      </c>
      <c r="L631" t="s">
        <v>143</v>
      </c>
      <c r="M631">
        <v>20</v>
      </c>
      <c r="N631">
        <v>1</v>
      </c>
      <c r="O631">
        <v>0.9</v>
      </c>
      <c r="P631" t="s">
        <v>115</v>
      </c>
      <c r="Q631">
        <v>0.9</v>
      </c>
      <c r="R631" t="s">
        <v>144</v>
      </c>
    </row>
    <row r="632" spans="1:18" x14ac:dyDescent="0.25">
      <c r="A632" t="s">
        <v>974</v>
      </c>
      <c r="B632" s="2">
        <v>45472</v>
      </c>
      <c r="C632" t="s">
        <v>132</v>
      </c>
      <c r="D632" t="s">
        <v>29</v>
      </c>
      <c r="E632" t="s">
        <v>142</v>
      </c>
      <c r="F632">
        <v>5.6130000000000004</v>
      </c>
      <c r="G632">
        <v>0</v>
      </c>
      <c r="H632">
        <v>0</v>
      </c>
      <c r="I632">
        <v>20</v>
      </c>
      <c r="J632">
        <v>0</v>
      </c>
      <c r="K632">
        <v>0</v>
      </c>
      <c r="L632" t="s">
        <v>143</v>
      </c>
      <c r="M632">
        <v>20</v>
      </c>
      <c r="N632">
        <v>1</v>
      </c>
      <c r="O632">
        <v>0.9</v>
      </c>
      <c r="P632" t="s">
        <v>115</v>
      </c>
      <c r="Q632">
        <v>0.9</v>
      </c>
      <c r="R632" t="s">
        <v>144</v>
      </c>
    </row>
    <row r="633" spans="1:18" x14ac:dyDescent="0.25">
      <c r="A633" t="s">
        <v>975</v>
      </c>
      <c r="B633" s="2">
        <v>45472</v>
      </c>
      <c r="C633" t="s">
        <v>132</v>
      </c>
      <c r="D633" t="s">
        <v>29</v>
      </c>
      <c r="E633" t="s">
        <v>142</v>
      </c>
      <c r="F633">
        <v>5.93</v>
      </c>
      <c r="G633">
        <v>0</v>
      </c>
      <c r="H633">
        <v>0</v>
      </c>
      <c r="I633">
        <v>20</v>
      </c>
      <c r="J633">
        <v>0</v>
      </c>
      <c r="K633">
        <v>0</v>
      </c>
      <c r="L633" t="s">
        <v>143</v>
      </c>
      <c r="M633">
        <v>20</v>
      </c>
      <c r="N633">
        <v>1</v>
      </c>
      <c r="O633">
        <v>0.9</v>
      </c>
      <c r="P633" t="s">
        <v>115</v>
      </c>
      <c r="Q633">
        <v>0.9</v>
      </c>
      <c r="R633" t="s">
        <v>144</v>
      </c>
    </row>
    <row r="634" spans="1:18" x14ac:dyDescent="0.25">
      <c r="A634" t="s">
        <v>976</v>
      </c>
      <c r="B634" s="2">
        <v>45472</v>
      </c>
      <c r="C634" t="s">
        <v>132</v>
      </c>
      <c r="D634" t="s">
        <v>29</v>
      </c>
      <c r="E634" t="s">
        <v>142</v>
      </c>
      <c r="F634">
        <v>2.5960000000000001</v>
      </c>
      <c r="G634">
        <v>0</v>
      </c>
      <c r="H634">
        <v>0</v>
      </c>
      <c r="I634">
        <v>5</v>
      </c>
      <c r="J634">
        <v>0</v>
      </c>
      <c r="K634">
        <v>0</v>
      </c>
      <c r="L634" t="s">
        <v>977</v>
      </c>
      <c r="M634">
        <v>5</v>
      </c>
      <c r="N634">
        <v>0</v>
      </c>
      <c r="O634">
        <v>0.9</v>
      </c>
      <c r="P634" t="s">
        <v>115</v>
      </c>
      <c r="Q634">
        <v>0</v>
      </c>
      <c r="R634" t="s">
        <v>144</v>
      </c>
    </row>
    <row r="635" spans="1:18" x14ac:dyDescent="0.25">
      <c r="A635" t="s">
        <v>978</v>
      </c>
      <c r="B635" s="2">
        <v>45472</v>
      </c>
      <c r="C635" t="s">
        <v>132</v>
      </c>
      <c r="D635" t="s">
        <v>29</v>
      </c>
      <c r="E635" t="s">
        <v>142</v>
      </c>
      <c r="F635">
        <v>2.0859999999999999</v>
      </c>
      <c r="G635">
        <v>0</v>
      </c>
      <c r="H635">
        <v>0</v>
      </c>
      <c r="I635">
        <v>20</v>
      </c>
      <c r="J635">
        <v>0</v>
      </c>
      <c r="K635">
        <v>0</v>
      </c>
      <c r="L635" t="s">
        <v>143</v>
      </c>
      <c r="M635">
        <v>20</v>
      </c>
      <c r="N635">
        <v>1</v>
      </c>
      <c r="O635">
        <v>0.9</v>
      </c>
      <c r="P635" t="s">
        <v>115</v>
      </c>
      <c r="Q635">
        <v>0.9</v>
      </c>
      <c r="R635" t="s">
        <v>144</v>
      </c>
    </row>
    <row r="636" spans="1:18" x14ac:dyDescent="0.25">
      <c r="A636" t="s">
        <v>979</v>
      </c>
      <c r="B636" s="2">
        <v>45472</v>
      </c>
      <c r="C636" t="s">
        <v>132</v>
      </c>
      <c r="D636" t="s">
        <v>29</v>
      </c>
      <c r="E636" t="s">
        <v>142</v>
      </c>
      <c r="F636">
        <v>2.7160000000000002</v>
      </c>
      <c r="G636">
        <v>0</v>
      </c>
      <c r="H636">
        <v>0</v>
      </c>
      <c r="I636">
        <v>20</v>
      </c>
      <c r="J636">
        <v>0</v>
      </c>
      <c r="K636">
        <v>0</v>
      </c>
      <c r="L636" t="s">
        <v>143</v>
      </c>
      <c r="M636">
        <v>20</v>
      </c>
      <c r="N636">
        <v>1</v>
      </c>
      <c r="O636">
        <v>0.9</v>
      </c>
      <c r="P636" t="s">
        <v>115</v>
      </c>
      <c r="Q636">
        <v>0.9</v>
      </c>
      <c r="R636" t="s">
        <v>144</v>
      </c>
    </row>
    <row r="637" spans="1:18" x14ac:dyDescent="0.25">
      <c r="A637" t="s">
        <v>980</v>
      </c>
      <c r="B637" s="2">
        <v>45472</v>
      </c>
      <c r="C637" t="s">
        <v>132</v>
      </c>
      <c r="D637" t="s">
        <v>29</v>
      </c>
      <c r="E637" t="s">
        <v>142</v>
      </c>
      <c r="F637">
        <v>3.0710000000000002</v>
      </c>
      <c r="G637">
        <v>0</v>
      </c>
      <c r="H637">
        <v>0</v>
      </c>
      <c r="I637">
        <v>20</v>
      </c>
      <c r="J637">
        <v>0</v>
      </c>
      <c r="K637">
        <v>0</v>
      </c>
      <c r="L637" t="s">
        <v>143</v>
      </c>
      <c r="M637">
        <v>20</v>
      </c>
      <c r="N637">
        <v>1</v>
      </c>
      <c r="O637">
        <v>0.9</v>
      </c>
      <c r="P637" t="s">
        <v>115</v>
      </c>
      <c r="Q637">
        <v>0.9</v>
      </c>
      <c r="R637" t="s">
        <v>144</v>
      </c>
    </row>
    <row r="638" spans="1:18" x14ac:dyDescent="0.25">
      <c r="A638" t="s">
        <v>981</v>
      </c>
      <c r="B638" s="2">
        <v>45472</v>
      </c>
      <c r="C638" t="s">
        <v>132</v>
      </c>
      <c r="D638" t="s">
        <v>29</v>
      </c>
      <c r="E638" t="s">
        <v>142</v>
      </c>
      <c r="F638">
        <v>3.1720000000000002</v>
      </c>
      <c r="G638">
        <v>0</v>
      </c>
      <c r="H638">
        <v>0</v>
      </c>
      <c r="I638">
        <v>20</v>
      </c>
      <c r="J638">
        <v>0</v>
      </c>
      <c r="K638">
        <v>0</v>
      </c>
      <c r="L638" t="s">
        <v>143</v>
      </c>
      <c r="M638">
        <v>20</v>
      </c>
      <c r="N638">
        <v>1</v>
      </c>
      <c r="O638">
        <v>0.9</v>
      </c>
      <c r="P638" t="s">
        <v>115</v>
      </c>
      <c r="Q638">
        <v>0.9</v>
      </c>
      <c r="R638" t="s">
        <v>144</v>
      </c>
    </row>
    <row r="639" spans="1:18" x14ac:dyDescent="0.25">
      <c r="A639" t="s">
        <v>982</v>
      </c>
      <c r="B639" s="2">
        <v>45460</v>
      </c>
      <c r="C639" t="s">
        <v>150</v>
      </c>
      <c r="D639" t="s">
        <v>159</v>
      </c>
      <c r="E639" t="s">
        <v>142</v>
      </c>
      <c r="F639">
        <v>6.8079999999999998</v>
      </c>
      <c r="G639">
        <v>0</v>
      </c>
      <c r="H639">
        <v>0</v>
      </c>
      <c r="I639">
        <v>20</v>
      </c>
      <c r="J639">
        <v>0</v>
      </c>
      <c r="K639">
        <v>0</v>
      </c>
      <c r="L639" t="s">
        <v>143</v>
      </c>
      <c r="M639">
        <v>20</v>
      </c>
      <c r="N639">
        <v>1</v>
      </c>
      <c r="O639">
        <v>0.9</v>
      </c>
      <c r="P639" t="s">
        <v>114</v>
      </c>
      <c r="Q639">
        <v>0.9</v>
      </c>
      <c r="R639" t="s">
        <v>144</v>
      </c>
    </row>
    <row r="640" spans="1:18" x14ac:dyDescent="0.25">
      <c r="A640" t="s">
        <v>983</v>
      </c>
      <c r="B640" s="2">
        <v>45460</v>
      </c>
      <c r="C640" t="s">
        <v>150</v>
      </c>
      <c r="D640" t="s">
        <v>159</v>
      </c>
      <c r="E640" t="s">
        <v>142</v>
      </c>
      <c r="F640">
        <v>3.907</v>
      </c>
      <c r="G640">
        <v>0</v>
      </c>
      <c r="H640">
        <v>0</v>
      </c>
      <c r="I640">
        <v>20</v>
      </c>
      <c r="J640">
        <v>0</v>
      </c>
      <c r="K640">
        <v>0</v>
      </c>
      <c r="L640" t="s">
        <v>143</v>
      </c>
      <c r="M640">
        <v>20</v>
      </c>
      <c r="N640">
        <v>1</v>
      </c>
      <c r="O640">
        <v>0.9</v>
      </c>
      <c r="P640" t="s">
        <v>114</v>
      </c>
      <c r="Q640">
        <v>0.9</v>
      </c>
      <c r="R640" t="s">
        <v>144</v>
      </c>
    </row>
    <row r="641" spans="1:18" x14ac:dyDescent="0.25">
      <c r="A641" t="s">
        <v>984</v>
      </c>
      <c r="B641" s="2">
        <v>45460</v>
      </c>
      <c r="C641" t="s">
        <v>150</v>
      </c>
      <c r="D641" t="s">
        <v>159</v>
      </c>
      <c r="E641" t="s">
        <v>142</v>
      </c>
      <c r="F641">
        <v>10</v>
      </c>
      <c r="G641">
        <v>1.48</v>
      </c>
      <c r="H641">
        <v>2.2200000000000002</v>
      </c>
      <c r="I641">
        <v>20</v>
      </c>
      <c r="J641">
        <v>0</v>
      </c>
      <c r="K641">
        <v>0</v>
      </c>
      <c r="L641" t="s">
        <v>143</v>
      </c>
      <c r="M641">
        <v>22.22</v>
      </c>
      <c r="N641">
        <v>1</v>
      </c>
      <c r="O641">
        <v>0.9</v>
      </c>
      <c r="P641" t="s">
        <v>114</v>
      </c>
      <c r="Q641">
        <v>0.9</v>
      </c>
      <c r="R641" t="s">
        <v>144</v>
      </c>
    </row>
    <row r="642" spans="1:18" x14ac:dyDescent="0.25">
      <c r="A642" t="s">
        <v>985</v>
      </c>
      <c r="B642" s="2">
        <v>45460</v>
      </c>
      <c r="C642" t="s">
        <v>150</v>
      </c>
      <c r="D642" t="s">
        <v>159</v>
      </c>
      <c r="E642" t="s">
        <v>142</v>
      </c>
      <c r="F642">
        <v>3.21</v>
      </c>
      <c r="G642">
        <v>0</v>
      </c>
      <c r="H642">
        <v>0</v>
      </c>
      <c r="I642">
        <v>20</v>
      </c>
      <c r="J642">
        <v>0</v>
      </c>
      <c r="K642">
        <v>0</v>
      </c>
      <c r="L642" t="s">
        <v>986</v>
      </c>
      <c r="M642">
        <v>20</v>
      </c>
      <c r="N642">
        <v>1</v>
      </c>
      <c r="O642">
        <v>0.9</v>
      </c>
      <c r="P642" t="s">
        <v>114</v>
      </c>
      <c r="Q642">
        <v>0.9</v>
      </c>
      <c r="R642" t="s">
        <v>144</v>
      </c>
    </row>
    <row r="643" spans="1:18" x14ac:dyDescent="0.25">
      <c r="A643" t="s">
        <v>987</v>
      </c>
      <c r="B643" s="2">
        <v>45460</v>
      </c>
      <c r="C643" t="s">
        <v>150</v>
      </c>
      <c r="D643" t="s">
        <v>159</v>
      </c>
      <c r="E643" t="s">
        <v>142</v>
      </c>
      <c r="F643">
        <v>1.5009999999999999</v>
      </c>
      <c r="G643">
        <v>0</v>
      </c>
      <c r="H643">
        <v>0</v>
      </c>
      <c r="I643">
        <v>20</v>
      </c>
      <c r="J643">
        <v>0</v>
      </c>
      <c r="K643">
        <v>0</v>
      </c>
      <c r="L643" t="s">
        <v>143</v>
      </c>
      <c r="M643">
        <v>20</v>
      </c>
      <c r="N643">
        <v>1</v>
      </c>
      <c r="O643">
        <v>0.9</v>
      </c>
      <c r="P643" t="s">
        <v>114</v>
      </c>
      <c r="Q643">
        <v>0.9</v>
      </c>
      <c r="R643" t="s">
        <v>144</v>
      </c>
    </row>
    <row r="644" spans="1:18" x14ac:dyDescent="0.25">
      <c r="A644" t="s">
        <v>988</v>
      </c>
      <c r="B644" s="2">
        <v>45460</v>
      </c>
      <c r="C644" t="s">
        <v>150</v>
      </c>
      <c r="D644" t="s">
        <v>159</v>
      </c>
      <c r="E644" t="s">
        <v>142</v>
      </c>
      <c r="F644">
        <v>7.5990000000000002</v>
      </c>
      <c r="G644">
        <v>0</v>
      </c>
      <c r="H644">
        <v>0</v>
      </c>
      <c r="I644">
        <v>5</v>
      </c>
      <c r="J644">
        <v>0</v>
      </c>
      <c r="K644">
        <v>0</v>
      </c>
      <c r="L644" t="s">
        <v>989</v>
      </c>
      <c r="M644">
        <v>5</v>
      </c>
      <c r="N644">
        <v>0</v>
      </c>
      <c r="O644">
        <v>0.9</v>
      </c>
      <c r="P644" t="s">
        <v>114</v>
      </c>
      <c r="Q644">
        <v>0</v>
      </c>
      <c r="R644" t="s">
        <v>144</v>
      </c>
    </row>
    <row r="645" spans="1:18" x14ac:dyDescent="0.25">
      <c r="A645" t="s">
        <v>990</v>
      </c>
      <c r="B645" s="2">
        <v>45460</v>
      </c>
      <c r="C645" t="s">
        <v>150</v>
      </c>
      <c r="D645" t="s">
        <v>159</v>
      </c>
      <c r="E645" t="s">
        <v>142</v>
      </c>
      <c r="F645">
        <v>1.9019999999999999</v>
      </c>
      <c r="G645">
        <v>0</v>
      </c>
      <c r="H645">
        <v>0</v>
      </c>
      <c r="I645">
        <v>20</v>
      </c>
      <c r="J645">
        <v>0</v>
      </c>
      <c r="K645">
        <v>0</v>
      </c>
      <c r="L645" t="s">
        <v>143</v>
      </c>
      <c r="M645">
        <v>20</v>
      </c>
      <c r="N645">
        <v>1</v>
      </c>
      <c r="O645">
        <v>0.9</v>
      </c>
      <c r="P645" t="s">
        <v>114</v>
      </c>
      <c r="Q645">
        <v>0.9</v>
      </c>
      <c r="R645" t="s">
        <v>144</v>
      </c>
    </row>
    <row r="646" spans="1:18" x14ac:dyDescent="0.25">
      <c r="A646" t="s">
        <v>991</v>
      </c>
      <c r="B646" s="2">
        <v>45460</v>
      </c>
      <c r="C646" t="s">
        <v>150</v>
      </c>
      <c r="D646" t="s">
        <v>159</v>
      </c>
      <c r="E646" t="s">
        <v>142</v>
      </c>
      <c r="F646">
        <v>1.7569999999999999</v>
      </c>
      <c r="G646">
        <v>0</v>
      </c>
      <c r="H646">
        <v>0</v>
      </c>
      <c r="I646">
        <v>20</v>
      </c>
      <c r="J646">
        <v>0</v>
      </c>
      <c r="K646">
        <v>0</v>
      </c>
      <c r="L646" t="s">
        <v>143</v>
      </c>
      <c r="M646">
        <v>20</v>
      </c>
      <c r="N646">
        <v>1</v>
      </c>
      <c r="O646">
        <v>0.9</v>
      </c>
      <c r="P646" t="s">
        <v>114</v>
      </c>
      <c r="Q646">
        <v>0.9</v>
      </c>
      <c r="R646" t="s">
        <v>144</v>
      </c>
    </row>
    <row r="647" spans="1:18" x14ac:dyDescent="0.25">
      <c r="A647" t="s">
        <v>992</v>
      </c>
      <c r="B647" s="2">
        <v>45460</v>
      </c>
      <c r="C647" t="s">
        <v>150</v>
      </c>
      <c r="D647" t="s">
        <v>159</v>
      </c>
      <c r="E647" t="s">
        <v>142</v>
      </c>
      <c r="F647">
        <v>7.1040000000000001</v>
      </c>
      <c r="G647">
        <v>0</v>
      </c>
      <c r="H647">
        <v>0</v>
      </c>
      <c r="I647">
        <v>5</v>
      </c>
      <c r="J647">
        <v>0</v>
      </c>
      <c r="K647">
        <v>0</v>
      </c>
      <c r="L647" t="s">
        <v>993</v>
      </c>
      <c r="M647">
        <v>5</v>
      </c>
      <c r="N647">
        <v>0</v>
      </c>
      <c r="O647">
        <v>0.9</v>
      </c>
      <c r="P647" t="s">
        <v>114</v>
      </c>
      <c r="Q647">
        <v>0</v>
      </c>
      <c r="R647" t="s">
        <v>144</v>
      </c>
    </row>
    <row r="648" spans="1:18" x14ac:dyDescent="0.25">
      <c r="A648" t="s">
        <v>994</v>
      </c>
      <c r="B648" s="2">
        <v>45460</v>
      </c>
      <c r="C648" t="s">
        <v>150</v>
      </c>
      <c r="D648" t="s">
        <v>159</v>
      </c>
      <c r="E648" t="s">
        <v>142</v>
      </c>
      <c r="F648">
        <v>10</v>
      </c>
      <c r="G648">
        <v>2.6139999999999999</v>
      </c>
      <c r="H648">
        <v>3.9209999999999998</v>
      </c>
      <c r="I648">
        <v>20</v>
      </c>
      <c r="J648">
        <v>0</v>
      </c>
      <c r="K648">
        <v>0</v>
      </c>
      <c r="L648" t="s">
        <v>143</v>
      </c>
      <c r="M648">
        <v>23.920999999999999</v>
      </c>
      <c r="N648">
        <v>1</v>
      </c>
      <c r="O648">
        <v>0.9</v>
      </c>
      <c r="P648" t="s">
        <v>114</v>
      </c>
      <c r="Q648">
        <v>0.9</v>
      </c>
      <c r="R648" t="s">
        <v>144</v>
      </c>
    </row>
    <row r="649" spans="1:18" x14ac:dyDescent="0.25">
      <c r="A649" t="s">
        <v>995</v>
      </c>
      <c r="B649" s="2">
        <v>45460</v>
      </c>
      <c r="C649" t="s">
        <v>150</v>
      </c>
      <c r="D649" t="s">
        <v>159</v>
      </c>
      <c r="E649" t="s">
        <v>142</v>
      </c>
      <c r="F649">
        <v>10</v>
      </c>
      <c r="G649">
        <v>4.3460000000000001</v>
      </c>
      <c r="H649">
        <v>0</v>
      </c>
      <c r="I649">
        <v>5</v>
      </c>
      <c r="J649">
        <v>0</v>
      </c>
      <c r="K649">
        <v>0</v>
      </c>
      <c r="L649" t="s">
        <v>996</v>
      </c>
      <c r="M649">
        <v>5</v>
      </c>
      <c r="N649">
        <v>0</v>
      </c>
      <c r="O649">
        <v>0.9</v>
      </c>
      <c r="P649" t="s">
        <v>114</v>
      </c>
      <c r="Q649">
        <v>0</v>
      </c>
      <c r="R649" t="s">
        <v>144</v>
      </c>
    </row>
    <row r="650" spans="1:18" x14ac:dyDescent="0.25">
      <c r="A650" t="s">
        <v>997</v>
      </c>
      <c r="B650" s="2">
        <v>45460</v>
      </c>
      <c r="C650" t="s">
        <v>150</v>
      </c>
      <c r="D650" t="s">
        <v>159</v>
      </c>
      <c r="E650" t="s">
        <v>142</v>
      </c>
      <c r="F650">
        <v>4.6749999999999998</v>
      </c>
      <c r="G650">
        <v>0</v>
      </c>
      <c r="H650">
        <v>0</v>
      </c>
      <c r="I650">
        <v>20</v>
      </c>
      <c r="J650">
        <v>0</v>
      </c>
      <c r="K650">
        <v>0</v>
      </c>
      <c r="L650" t="s">
        <v>143</v>
      </c>
      <c r="M650">
        <v>20</v>
      </c>
      <c r="N650">
        <v>1</v>
      </c>
      <c r="O650">
        <v>0.9</v>
      </c>
      <c r="P650" t="s">
        <v>114</v>
      </c>
      <c r="Q650">
        <v>0.9</v>
      </c>
      <c r="R650" t="s">
        <v>144</v>
      </c>
    </row>
    <row r="651" spans="1:18" x14ac:dyDescent="0.25">
      <c r="A651" t="s">
        <v>998</v>
      </c>
      <c r="B651" s="2">
        <v>45460</v>
      </c>
      <c r="C651" t="s">
        <v>150</v>
      </c>
      <c r="D651" t="s">
        <v>159</v>
      </c>
      <c r="E651" t="s">
        <v>142</v>
      </c>
      <c r="F651">
        <v>1.607</v>
      </c>
      <c r="G651">
        <v>0</v>
      </c>
      <c r="H651">
        <v>0</v>
      </c>
      <c r="I651">
        <v>20</v>
      </c>
      <c r="J651">
        <v>0</v>
      </c>
      <c r="K651">
        <v>0</v>
      </c>
      <c r="L651" t="s">
        <v>143</v>
      </c>
      <c r="M651">
        <v>20</v>
      </c>
      <c r="N651">
        <v>1</v>
      </c>
      <c r="O651">
        <v>0.9</v>
      </c>
      <c r="P651" t="s">
        <v>114</v>
      </c>
      <c r="Q651">
        <v>0.9</v>
      </c>
      <c r="R651" t="s">
        <v>144</v>
      </c>
    </row>
    <row r="652" spans="1:18" x14ac:dyDescent="0.25">
      <c r="A652" t="s">
        <v>999</v>
      </c>
      <c r="B652" s="2">
        <v>45460</v>
      </c>
      <c r="C652" t="s">
        <v>150</v>
      </c>
      <c r="D652" t="s">
        <v>159</v>
      </c>
      <c r="E652" t="s">
        <v>142</v>
      </c>
      <c r="F652">
        <v>1.607</v>
      </c>
      <c r="G652">
        <v>0</v>
      </c>
      <c r="H652">
        <v>0</v>
      </c>
      <c r="I652">
        <v>20</v>
      </c>
      <c r="J652">
        <v>0</v>
      </c>
      <c r="K652">
        <v>0</v>
      </c>
      <c r="L652" t="s">
        <v>143</v>
      </c>
      <c r="M652">
        <v>20</v>
      </c>
      <c r="N652">
        <v>1</v>
      </c>
      <c r="O652">
        <v>0.9</v>
      </c>
      <c r="P652" t="s">
        <v>114</v>
      </c>
      <c r="Q652">
        <v>0.9</v>
      </c>
      <c r="R652" t="s">
        <v>144</v>
      </c>
    </row>
    <row r="653" spans="1:18" x14ac:dyDescent="0.25">
      <c r="A653" t="s">
        <v>1000</v>
      </c>
      <c r="B653" s="2">
        <v>45460</v>
      </c>
      <c r="C653" t="s">
        <v>150</v>
      </c>
      <c r="D653" t="s">
        <v>159</v>
      </c>
      <c r="E653" t="s">
        <v>142</v>
      </c>
      <c r="F653">
        <v>4</v>
      </c>
      <c r="G653">
        <v>0</v>
      </c>
      <c r="H653">
        <v>0</v>
      </c>
      <c r="I653">
        <v>20</v>
      </c>
      <c r="J653">
        <v>0</v>
      </c>
      <c r="K653">
        <v>0</v>
      </c>
      <c r="L653" t="s">
        <v>143</v>
      </c>
      <c r="M653">
        <v>20</v>
      </c>
      <c r="N653">
        <v>1</v>
      </c>
      <c r="O653">
        <v>0.9</v>
      </c>
      <c r="P653" t="s">
        <v>114</v>
      </c>
      <c r="Q653">
        <v>0.9</v>
      </c>
      <c r="R653" t="s">
        <v>144</v>
      </c>
    </row>
    <row r="654" spans="1:18" x14ac:dyDescent="0.25">
      <c r="A654" t="s">
        <v>1001</v>
      </c>
      <c r="B654" s="2">
        <v>45461</v>
      </c>
      <c r="C654" t="s">
        <v>150</v>
      </c>
      <c r="D654" t="s">
        <v>159</v>
      </c>
      <c r="E654" t="s">
        <v>142</v>
      </c>
      <c r="F654">
        <v>10</v>
      </c>
      <c r="G654">
        <v>7.3179999999999996</v>
      </c>
      <c r="H654">
        <v>10.977</v>
      </c>
      <c r="I654">
        <v>20</v>
      </c>
      <c r="J654">
        <v>0</v>
      </c>
      <c r="K654">
        <v>0</v>
      </c>
      <c r="L654" t="s">
        <v>143</v>
      </c>
      <c r="M654">
        <v>30.977</v>
      </c>
      <c r="N654">
        <v>1</v>
      </c>
      <c r="O654">
        <v>0.9</v>
      </c>
      <c r="P654" t="s">
        <v>114</v>
      </c>
      <c r="Q654">
        <v>0.9</v>
      </c>
      <c r="R654" t="s">
        <v>144</v>
      </c>
    </row>
    <row r="655" spans="1:18" x14ac:dyDescent="0.25">
      <c r="A655" t="s">
        <v>1002</v>
      </c>
      <c r="B655" s="2">
        <v>45461</v>
      </c>
      <c r="C655" t="s">
        <v>150</v>
      </c>
      <c r="D655" t="s">
        <v>159</v>
      </c>
      <c r="E655" t="s">
        <v>142</v>
      </c>
      <c r="F655">
        <v>10</v>
      </c>
      <c r="G655">
        <v>6.0670000000000002</v>
      </c>
      <c r="H655">
        <v>9.1005000000000003</v>
      </c>
      <c r="I655">
        <v>20</v>
      </c>
      <c r="J655">
        <v>0</v>
      </c>
      <c r="K655">
        <v>0</v>
      </c>
      <c r="L655" t="s">
        <v>143</v>
      </c>
      <c r="M655">
        <v>29.1005</v>
      </c>
      <c r="N655">
        <v>1</v>
      </c>
      <c r="O655">
        <v>0.9</v>
      </c>
      <c r="P655" t="s">
        <v>114</v>
      </c>
      <c r="Q655">
        <v>0.9</v>
      </c>
      <c r="R655" t="s">
        <v>144</v>
      </c>
    </row>
    <row r="656" spans="1:18" x14ac:dyDescent="0.25">
      <c r="A656" t="s">
        <v>1003</v>
      </c>
      <c r="B656" s="2">
        <v>45461</v>
      </c>
      <c r="C656" t="s">
        <v>150</v>
      </c>
      <c r="D656" t="s">
        <v>159</v>
      </c>
      <c r="E656" t="s">
        <v>142</v>
      </c>
      <c r="F656">
        <v>9.2899999999999991</v>
      </c>
      <c r="G656">
        <v>0</v>
      </c>
      <c r="H656">
        <v>0</v>
      </c>
      <c r="I656">
        <v>20</v>
      </c>
      <c r="J656">
        <v>0</v>
      </c>
      <c r="K656">
        <v>0</v>
      </c>
      <c r="L656" t="s">
        <v>143</v>
      </c>
      <c r="M656">
        <v>20</v>
      </c>
      <c r="N656">
        <v>1</v>
      </c>
      <c r="O656">
        <v>0.9</v>
      </c>
      <c r="P656" t="s">
        <v>114</v>
      </c>
      <c r="Q656">
        <v>0.9</v>
      </c>
      <c r="R656" t="s">
        <v>144</v>
      </c>
    </row>
    <row r="657" spans="1:18" x14ac:dyDescent="0.25">
      <c r="A657" t="s">
        <v>1004</v>
      </c>
      <c r="B657" s="2">
        <v>45461</v>
      </c>
      <c r="C657" t="s">
        <v>150</v>
      </c>
      <c r="D657" t="s">
        <v>159</v>
      </c>
      <c r="E657" t="s">
        <v>142</v>
      </c>
      <c r="F657">
        <v>9.5489999999999995</v>
      </c>
      <c r="G657">
        <v>0</v>
      </c>
      <c r="H657">
        <v>0</v>
      </c>
      <c r="I657">
        <v>20</v>
      </c>
      <c r="J657">
        <v>0</v>
      </c>
      <c r="K657">
        <v>0</v>
      </c>
      <c r="L657" t="s">
        <v>143</v>
      </c>
      <c r="M657">
        <v>20</v>
      </c>
      <c r="N657">
        <v>1</v>
      </c>
      <c r="O657">
        <v>0.9</v>
      </c>
      <c r="P657" t="s">
        <v>114</v>
      </c>
      <c r="Q657">
        <v>0.9</v>
      </c>
      <c r="R657" t="s">
        <v>144</v>
      </c>
    </row>
    <row r="658" spans="1:18" x14ac:dyDescent="0.25">
      <c r="A658" t="s">
        <v>1005</v>
      </c>
      <c r="B658" s="2">
        <v>45461</v>
      </c>
      <c r="C658" t="s">
        <v>150</v>
      </c>
      <c r="D658" t="s">
        <v>159</v>
      </c>
      <c r="E658" t="s">
        <v>142</v>
      </c>
      <c r="F658">
        <v>7.3440000000000003</v>
      </c>
      <c r="G658">
        <v>0</v>
      </c>
      <c r="H658">
        <v>0</v>
      </c>
      <c r="I658">
        <v>20</v>
      </c>
      <c r="J658">
        <v>0</v>
      </c>
      <c r="K658">
        <v>0</v>
      </c>
      <c r="L658" t="s">
        <v>143</v>
      </c>
      <c r="M658">
        <v>20</v>
      </c>
      <c r="N658">
        <v>1</v>
      </c>
      <c r="O658">
        <v>0.9</v>
      </c>
      <c r="P658" t="s">
        <v>114</v>
      </c>
      <c r="Q658">
        <v>0.9</v>
      </c>
      <c r="R658" t="s">
        <v>144</v>
      </c>
    </row>
    <row r="659" spans="1:18" x14ac:dyDescent="0.25">
      <c r="A659" t="s">
        <v>1006</v>
      </c>
      <c r="B659" s="2">
        <v>45461</v>
      </c>
      <c r="C659" t="s">
        <v>150</v>
      </c>
      <c r="D659" t="s">
        <v>159</v>
      </c>
      <c r="E659" t="s">
        <v>142</v>
      </c>
      <c r="F659">
        <v>1.3520000000000001</v>
      </c>
      <c r="G659">
        <v>0</v>
      </c>
      <c r="H659">
        <v>0</v>
      </c>
      <c r="I659">
        <v>20</v>
      </c>
      <c r="J659">
        <v>0</v>
      </c>
      <c r="K659">
        <v>0</v>
      </c>
      <c r="L659" t="s">
        <v>143</v>
      </c>
      <c r="M659">
        <v>20</v>
      </c>
      <c r="N659">
        <v>1</v>
      </c>
      <c r="O659">
        <v>0.9</v>
      </c>
      <c r="P659" t="s">
        <v>114</v>
      </c>
      <c r="Q659">
        <v>0.9</v>
      </c>
      <c r="R659" t="s">
        <v>144</v>
      </c>
    </row>
    <row r="660" spans="1:18" x14ac:dyDescent="0.25">
      <c r="A660" t="s">
        <v>1007</v>
      </c>
      <c r="B660" s="2">
        <v>45461</v>
      </c>
      <c r="C660" t="s">
        <v>150</v>
      </c>
      <c r="D660" t="s">
        <v>159</v>
      </c>
      <c r="E660" t="s">
        <v>142</v>
      </c>
      <c r="F660">
        <v>4.2050000000000001</v>
      </c>
      <c r="G660">
        <v>0</v>
      </c>
      <c r="H660">
        <v>0</v>
      </c>
      <c r="I660">
        <v>5</v>
      </c>
      <c r="J660">
        <v>0</v>
      </c>
      <c r="K660">
        <v>0</v>
      </c>
      <c r="L660" t="s">
        <v>1008</v>
      </c>
      <c r="M660">
        <v>5</v>
      </c>
      <c r="N660">
        <v>0</v>
      </c>
      <c r="O660">
        <v>0.9</v>
      </c>
      <c r="P660" t="s">
        <v>114</v>
      </c>
      <c r="Q660">
        <v>0</v>
      </c>
      <c r="R660" t="s">
        <v>144</v>
      </c>
    </row>
    <row r="661" spans="1:18" x14ac:dyDescent="0.25">
      <c r="A661" t="s">
        <v>1009</v>
      </c>
      <c r="B661" s="2">
        <v>45461</v>
      </c>
      <c r="C661" t="s">
        <v>150</v>
      </c>
      <c r="D661" t="s">
        <v>159</v>
      </c>
      <c r="E661" t="s">
        <v>142</v>
      </c>
      <c r="F661">
        <v>3.1720000000000002</v>
      </c>
      <c r="G661">
        <v>0</v>
      </c>
      <c r="H661">
        <v>0</v>
      </c>
      <c r="I661">
        <v>20</v>
      </c>
      <c r="J661">
        <v>0</v>
      </c>
      <c r="K661">
        <v>0</v>
      </c>
      <c r="L661" t="s">
        <v>143</v>
      </c>
      <c r="M661">
        <v>20</v>
      </c>
      <c r="N661">
        <v>1</v>
      </c>
      <c r="O661">
        <v>0.9</v>
      </c>
      <c r="P661" t="s">
        <v>114</v>
      </c>
      <c r="Q661">
        <v>0.9</v>
      </c>
      <c r="R661" t="s">
        <v>144</v>
      </c>
    </row>
    <row r="662" spans="1:18" x14ac:dyDescent="0.25">
      <c r="A662" t="s">
        <v>1010</v>
      </c>
      <c r="B662" s="2">
        <v>45461</v>
      </c>
      <c r="C662" t="s">
        <v>150</v>
      </c>
      <c r="D662" t="s">
        <v>159</v>
      </c>
      <c r="E662" t="s">
        <v>142</v>
      </c>
      <c r="F662">
        <v>2.8050000000000002</v>
      </c>
      <c r="G662">
        <v>0</v>
      </c>
      <c r="H662">
        <v>0</v>
      </c>
      <c r="I662">
        <v>20</v>
      </c>
      <c r="J662">
        <v>0</v>
      </c>
      <c r="K662">
        <v>0</v>
      </c>
      <c r="L662" t="s">
        <v>143</v>
      </c>
      <c r="M662">
        <v>20</v>
      </c>
      <c r="N662">
        <v>1</v>
      </c>
      <c r="O662">
        <v>0.9</v>
      </c>
      <c r="P662" t="s">
        <v>114</v>
      </c>
      <c r="Q662">
        <v>0.9</v>
      </c>
      <c r="R662" t="s">
        <v>144</v>
      </c>
    </row>
    <row r="663" spans="1:18" x14ac:dyDescent="0.25">
      <c r="A663" t="s">
        <v>1011</v>
      </c>
      <c r="B663" s="2">
        <v>45461</v>
      </c>
      <c r="C663" t="s">
        <v>150</v>
      </c>
      <c r="D663" t="s">
        <v>159</v>
      </c>
      <c r="E663" t="s">
        <v>142</v>
      </c>
      <c r="F663">
        <v>9.8490000000000002</v>
      </c>
      <c r="G663">
        <v>0</v>
      </c>
      <c r="H663">
        <v>0</v>
      </c>
      <c r="I663">
        <v>20</v>
      </c>
      <c r="J663">
        <v>0</v>
      </c>
      <c r="K663">
        <v>0</v>
      </c>
      <c r="L663" t="s">
        <v>143</v>
      </c>
      <c r="M663">
        <v>20</v>
      </c>
      <c r="N663">
        <v>1</v>
      </c>
      <c r="O663">
        <v>0.9</v>
      </c>
      <c r="P663" t="s">
        <v>114</v>
      </c>
      <c r="Q663">
        <v>0.9</v>
      </c>
      <c r="R663" t="s">
        <v>144</v>
      </c>
    </row>
    <row r="664" spans="1:18" x14ac:dyDescent="0.25">
      <c r="A664" t="s">
        <v>1012</v>
      </c>
      <c r="B664" s="2">
        <v>45461</v>
      </c>
      <c r="C664" t="s">
        <v>150</v>
      </c>
      <c r="D664" t="s">
        <v>159</v>
      </c>
      <c r="E664" t="s">
        <v>142</v>
      </c>
      <c r="F664">
        <v>2.3029999999999999</v>
      </c>
      <c r="G664">
        <v>0</v>
      </c>
      <c r="H664">
        <v>0</v>
      </c>
      <c r="I664">
        <v>20</v>
      </c>
      <c r="J664">
        <v>0</v>
      </c>
      <c r="K664">
        <v>0</v>
      </c>
      <c r="L664" t="s">
        <v>143</v>
      </c>
      <c r="M664">
        <v>20</v>
      </c>
      <c r="N664">
        <v>1</v>
      </c>
      <c r="O664">
        <v>0.9</v>
      </c>
      <c r="P664" t="s">
        <v>114</v>
      </c>
      <c r="Q664">
        <v>0.9</v>
      </c>
      <c r="R664" t="s">
        <v>144</v>
      </c>
    </row>
    <row r="665" spans="1:18" x14ac:dyDescent="0.25">
      <c r="A665" t="s">
        <v>1013</v>
      </c>
      <c r="B665" s="2">
        <v>45461</v>
      </c>
      <c r="C665" t="s">
        <v>150</v>
      </c>
      <c r="D665" t="s">
        <v>159</v>
      </c>
      <c r="E665" t="s">
        <v>142</v>
      </c>
      <c r="F665">
        <v>8.9730000000000008</v>
      </c>
      <c r="G665">
        <v>0</v>
      </c>
      <c r="H665">
        <v>0</v>
      </c>
      <c r="I665">
        <v>20</v>
      </c>
      <c r="J665">
        <v>0</v>
      </c>
      <c r="K665">
        <v>0</v>
      </c>
      <c r="L665" t="s">
        <v>143</v>
      </c>
      <c r="M665">
        <v>20</v>
      </c>
      <c r="N665">
        <v>1</v>
      </c>
      <c r="O665">
        <v>0.9</v>
      </c>
      <c r="P665" t="s">
        <v>114</v>
      </c>
      <c r="Q665">
        <v>0.9</v>
      </c>
      <c r="R665" t="s">
        <v>144</v>
      </c>
    </row>
    <row r="666" spans="1:18" x14ac:dyDescent="0.25">
      <c r="A666" t="s">
        <v>1014</v>
      </c>
      <c r="B666" s="2">
        <v>45461</v>
      </c>
      <c r="C666" t="s">
        <v>150</v>
      </c>
      <c r="D666" t="s">
        <v>159</v>
      </c>
      <c r="E666" t="s">
        <v>142</v>
      </c>
      <c r="F666">
        <v>1.607</v>
      </c>
      <c r="G666">
        <v>0</v>
      </c>
      <c r="H666">
        <v>0</v>
      </c>
      <c r="I666">
        <v>20</v>
      </c>
      <c r="J666">
        <v>0</v>
      </c>
      <c r="K666">
        <v>0</v>
      </c>
      <c r="L666" t="s">
        <v>143</v>
      </c>
      <c r="M666">
        <v>20</v>
      </c>
      <c r="N666">
        <v>1</v>
      </c>
      <c r="O666">
        <v>0.9</v>
      </c>
      <c r="P666" t="s">
        <v>114</v>
      </c>
      <c r="Q666">
        <v>0.9</v>
      </c>
      <c r="R666" t="s">
        <v>144</v>
      </c>
    </row>
    <row r="667" spans="1:18" x14ac:dyDescent="0.25">
      <c r="A667" t="s">
        <v>1015</v>
      </c>
      <c r="B667" s="2">
        <v>45461</v>
      </c>
      <c r="C667" t="s">
        <v>150</v>
      </c>
      <c r="D667" t="s">
        <v>159</v>
      </c>
      <c r="E667" t="s">
        <v>142</v>
      </c>
      <c r="F667">
        <v>1.607</v>
      </c>
      <c r="G667">
        <v>0</v>
      </c>
      <c r="H667">
        <v>0</v>
      </c>
      <c r="I667">
        <v>20</v>
      </c>
      <c r="J667">
        <v>0</v>
      </c>
      <c r="K667">
        <v>0</v>
      </c>
      <c r="L667" t="s">
        <v>143</v>
      </c>
      <c r="M667">
        <v>20</v>
      </c>
      <c r="N667">
        <v>1</v>
      </c>
      <c r="O667">
        <v>0.9</v>
      </c>
      <c r="P667" t="s">
        <v>114</v>
      </c>
      <c r="Q667">
        <v>0.9</v>
      </c>
      <c r="R667" t="s">
        <v>144</v>
      </c>
    </row>
    <row r="668" spans="1:18" x14ac:dyDescent="0.25">
      <c r="A668" t="s">
        <v>1016</v>
      </c>
      <c r="B668" s="2">
        <v>45462</v>
      </c>
      <c r="C668" t="s">
        <v>150</v>
      </c>
      <c r="D668" t="s">
        <v>159</v>
      </c>
      <c r="E668" t="s">
        <v>142</v>
      </c>
      <c r="F668">
        <v>10</v>
      </c>
      <c r="G668">
        <v>1.8160000000000001</v>
      </c>
      <c r="H668">
        <v>2.7240000000000002</v>
      </c>
      <c r="I668">
        <v>20</v>
      </c>
      <c r="J668">
        <v>0</v>
      </c>
      <c r="K668">
        <v>0</v>
      </c>
      <c r="L668" t="s">
        <v>143</v>
      </c>
      <c r="M668">
        <v>22.724</v>
      </c>
      <c r="N668">
        <v>1</v>
      </c>
      <c r="O668">
        <v>0.9</v>
      </c>
      <c r="P668" t="s">
        <v>114</v>
      </c>
      <c r="Q668">
        <v>0.9</v>
      </c>
      <c r="R668" t="s">
        <v>144</v>
      </c>
    </row>
    <row r="669" spans="1:18" x14ac:dyDescent="0.25">
      <c r="A669" t="s">
        <v>1017</v>
      </c>
      <c r="B669" s="2">
        <v>45462</v>
      </c>
      <c r="C669" t="s">
        <v>150</v>
      </c>
      <c r="D669" t="s">
        <v>159</v>
      </c>
      <c r="E669" t="s">
        <v>142</v>
      </c>
      <c r="F669">
        <v>7.8650000000000002</v>
      </c>
      <c r="G669">
        <v>0</v>
      </c>
      <c r="H669">
        <v>0</v>
      </c>
      <c r="I669">
        <v>20</v>
      </c>
      <c r="J669">
        <v>0</v>
      </c>
      <c r="K669">
        <v>0</v>
      </c>
      <c r="L669" t="s">
        <v>1018</v>
      </c>
      <c r="M669">
        <v>20</v>
      </c>
      <c r="N669">
        <v>1</v>
      </c>
      <c r="O669">
        <v>0.9</v>
      </c>
      <c r="P669" t="s">
        <v>114</v>
      </c>
      <c r="Q669">
        <v>0.9</v>
      </c>
      <c r="R669" t="s">
        <v>144</v>
      </c>
    </row>
    <row r="670" spans="1:18" x14ac:dyDescent="0.25">
      <c r="A670" t="s">
        <v>1019</v>
      </c>
      <c r="B670" s="2">
        <v>45463</v>
      </c>
      <c r="C670" t="s">
        <v>150</v>
      </c>
      <c r="D670" t="s">
        <v>159</v>
      </c>
      <c r="E670" t="s">
        <v>142</v>
      </c>
      <c r="F670">
        <v>10</v>
      </c>
      <c r="G670">
        <v>0.53900000000000003</v>
      </c>
      <c r="H670">
        <v>0.8085</v>
      </c>
      <c r="I670">
        <v>20</v>
      </c>
      <c r="J670">
        <v>0</v>
      </c>
      <c r="K670">
        <v>0</v>
      </c>
      <c r="L670" t="s">
        <v>143</v>
      </c>
      <c r="M670">
        <v>20.808499999999999</v>
      </c>
      <c r="N670">
        <v>1</v>
      </c>
      <c r="O670">
        <v>0.9</v>
      </c>
      <c r="P670" t="s">
        <v>114</v>
      </c>
      <c r="Q670">
        <v>0.9</v>
      </c>
      <c r="R670" t="s">
        <v>144</v>
      </c>
    </row>
    <row r="671" spans="1:18" x14ac:dyDescent="0.25">
      <c r="A671" t="s">
        <v>1020</v>
      </c>
      <c r="B671" s="2">
        <v>45463</v>
      </c>
      <c r="C671" t="s">
        <v>150</v>
      </c>
      <c r="D671" t="s">
        <v>159</v>
      </c>
      <c r="E671" t="s">
        <v>142</v>
      </c>
      <c r="F671">
        <v>4.9800000000000004</v>
      </c>
      <c r="G671">
        <v>0</v>
      </c>
      <c r="H671">
        <v>0</v>
      </c>
      <c r="I671">
        <v>20</v>
      </c>
      <c r="J671">
        <v>0</v>
      </c>
      <c r="K671">
        <v>0</v>
      </c>
      <c r="L671" t="s">
        <v>143</v>
      </c>
      <c r="M671">
        <v>20</v>
      </c>
      <c r="N671">
        <v>1</v>
      </c>
      <c r="O671">
        <v>0.9</v>
      </c>
      <c r="P671" t="s">
        <v>114</v>
      </c>
      <c r="Q671">
        <v>0.9</v>
      </c>
      <c r="R671" t="s">
        <v>144</v>
      </c>
    </row>
    <row r="672" spans="1:18" x14ac:dyDescent="0.25">
      <c r="A672" t="s">
        <v>1021</v>
      </c>
      <c r="B672" s="2">
        <v>45463</v>
      </c>
      <c r="C672" t="s">
        <v>150</v>
      </c>
      <c r="D672" t="s">
        <v>159</v>
      </c>
      <c r="E672" t="s">
        <v>142</v>
      </c>
      <c r="F672">
        <v>8.4339999999999993</v>
      </c>
      <c r="G672">
        <v>0</v>
      </c>
      <c r="H672">
        <v>0</v>
      </c>
      <c r="I672">
        <v>20</v>
      </c>
      <c r="J672">
        <v>0</v>
      </c>
      <c r="K672">
        <v>0</v>
      </c>
      <c r="L672" t="s">
        <v>143</v>
      </c>
      <c r="M672">
        <v>20</v>
      </c>
      <c r="N672">
        <v>1</v>
      </c>
      <c r="O672">
        <v>0.9</v>
      </c>
      <c r="P672" t="s">
        <v>114</v>
      </c>
      <c r="Q672">
        <v>0.9</v>
      </c>
      <c r="R672" t="s">
        <v>144</v>
      </c>
    </row>
    <row r="673" spans="1:18" x14ac:dyDescent="0.25">
      <c r="A673" t="s">
        <v>1022</v>
      </c>
      <c r="B673" s="2">
        <v>45463</v>
      </c>
      <c r="C673" t="s">
        <v>150</v>
      </c>
      <c r="D673" t="s">
        <v>159</v>
      </c>
      <c r="E673" t="s">
        <v>142</v>
      </c>
      <c r="F673">
        <v>9.5289999999999999</v>
      </c>
      <c r="G673">
        <v>0</v>
      </c>
      <c r="H673">
        <v>0</v>
      </c>
      <c r="I673">
        <v>20</v>
      </c>
      <c r="J673">
        <v>0</v>
      </c>
      <c r="K673">
        <v>0</v>
      </c>
      <c r="L673" t="s">
        <v>143</v>
      </c>
      <c r="M673">
        <v>20</v>
      </c>
      <c r="N673">
        <v>1</v>
      </c>
      <c r="O673">
        <v>0.9</v>
      </c>
      <c r="P673" t="s">
        <v>114</v>
      </c>
      <c r="Q673">
        <v>0.9</v>
      </c>
      <c r="R673" t="s">
        <v>144</v>
      </c>
    </row>
    <row r="674" spans="1:18" x14ac:dyDescent="0.25">
      <c r="A674" t="s">
        <v>1023</v>
      </c>
      <c r="B674" s="2">
        <v>45463</v>
      </c>
      <c r="C674" t="s">
        <v>150</v>
      </c>
      <c r="D674" t="s">
        <v>159</v>
      </c>
      <c r="E674" t="s">
        <v>142</v>
      </c>
      <c r="F674">
        <v>2.84</v>
      </c>
      <c r="G674">
        <v>0</v>
      </c>
      <c r="H674">
        <v>0</v>
      </c>
      <c r="I674">
        <v>20</v>
      </c>
      <c r="J674">
        <v>0</v>
      </c>
      <c r="K674">
        <v>0</v>
      </c>
      <c r="L674" t="s">
        <v>143</v>
      </c>
      <c r="M674">
        <v>20</v>
      </c>
      <c r="N674">
        <v>1</v>
      </c>
      <c r="O674">
        <v>0.9</v>
      </c>
      <c r="P674" t="s">
        <v>114</v>
      </c>
      <c r="Q674">
        <v>0.9</v>
      </c>
      <c r="R674" t="s">
        <v>144</v>
      </c>
    </row>
    <row r="675" spans="1:18" x14ac:dyDescent="0.25">
      <c r="A675" t="s">
        <v>1024</v>
      </c>
      <c r="B675" s="2">
        <v>45463</v>
      </c>
      <c r="C675" t="s">
        <v>150</v>
      </c>
      <c r="D675" t="s">
        <v>159</v>
      </c>
      <c r="E675" t="s">
        <v>142</v>
      </c>
      <c r="F675">
        <v>1.546</v>
      </c>
      <c r="G675">
        <v>0</v>
      </c>
      <c r="H675">
        <v>0</v>
      </c>
      <c r="I675">
        <v>20</v>
      </c>
      <c r="J675">
        <v>0</v>
      </c>
      <c r="K675">
        <v>0</v>
      </c>
      <c r="L675" t="s">
        <v>1025</v>
      </c>
      <c r="M675">
        <v>20</v>
      </c>
      <c r="N675">
        <v>1</v>
      </c>
      <c r="O675">
        <v>0.9</v>
      </c>
      <c r="P675" t="s">
        <v>114</v>
      </c>
      <c r="Q675">
        <v>0.9</v>
      </c>
      <c r="R675" t="s">
        <v>144</v>
      </c>
    </row>
    <row r="676" spans="1:18" x14ac:dyDescent="0.25">
      <c r="A676" t="s">
        <v>1026</v>
      </c>
      <c r="B676" s="2">
        <v>45463</v>
      </c>
      <c r="C676" t="s">
        <v>150</v>
      </c>
      <c r="D676" t="s">
        <v>159</v>
      </c>
      <c r="E676" t="s">
        <v>142</v>
      </c>
      <c r="F676">
        <v>5.8380000000000001</v>
      </c>
      <c r="G676">
        <v>0</v>
      </c>
      <c r="H676">
        <v>0</v>
      </c>
      <c r="I676">
        <v>20</v>
      </c>
      <c r="J676">
        <v>0</v>
      </c>
      <c r="K676">
        <v>0</v>
      </c>
      <c r="L676" t="s">
        <v>143</v>
      </c>
      <c r="M676">
        <v>20</v>
      </c>
      <c r="N676">
        <v>1</v>
      </c>
      <c r="O676">
        <v>0.9</v>
      </c>
      <c r="P676" t="s">
        <v>114</v>
      </c>
      <c r="Q676">
        <v>0.9</v>
      </c>
      <c r="R676" t="s">
        <v>144</v>
      </c>
    </row>
    <row r="677" spans="1:18" x14ac:dyDescent="0.25">
      <c r="A677" t="s">
        <v>1027</v>
      </c>
      <c r="B677" s="2">
        <v>45463</v>
      </c>
      <c r="C677" t="s">
        <v>150</v>
      </c>
      <c r="D677" t="s">
        <v>159</v>
      </c>
      <c r="E677" t="s">
        <v>142</v>
      </c>
      <c r="F677">
        <v>5.7389999999999999</v>
      </c>
      <c r="G677">
        <v>0</v>
      </c>
      <c r="H677">
        <v>0</v>
      </c>
      <c r="I677">
        <v>20</v>
      </c>
      <c r="J677">
        <v>0</v>
      </c>
      <c r="K677">
        <v>0</v>
      </c>
      <c r="L677" t="s">
        <v>143</v>
      </c>
      <c r="M677">
        <v>20</v>
      </c>
      <c r="N677">
        <v>1</v>
      </c>
      <c r="O677">
        <v>0.9</v>
      </c>
      <c r="P677" t="s">
        <v>114</v>
      </c>
      <c r="Q677">
        <v>0.9</v>
      </c>
      <c r="R677" t="s">
        <v>144</v>
      </c>
    </row>
    <row r="678" spans="1:18" x14ac:dyDescent="0.25">
      <c r="A678" t="s">
        <v>1028</v>
      </c>
      <c r="B678" s="2">
        <v>45463</v>
      </c>
      <c r="C678" t="s">
        <v>150</v>
      </c>
      <c r="D678" t="s">
        <v>159</v>
      </c>
      <c r="E678" t="s">
        <v>142</v>
      </c>
      <c r="F678">
        <v>10</v>
      </c>
      <c r="G678">
        <v>3.8639999999999999</v>
      </c>
      <c r="H678">
        <v>5.7960000000000003</v>
      </c>
      <c r="I678">
        <v>20</v>
      </c>
      <c r="J678">
        <v>0</v>
      </c>
      <c r="K678">
        <v>0</v>
      </c>
      <c r="L678" t="s">
        <v>143</v>
      </c>
      <c r="M678">
        <v>25.795999999999999</v>
      </c>
      <c r="N678">
        <v>1</v>
      </c>
      <c r="O678">
        <v>0.9</v>
      </c>
      <c r="P678" t="s">
        <v>114</v>
      </c>
      <c r="Q678">
        <v>0.9</v>
      </c>
      <c r="R678" t="s">
        <v>144</v>
      </c>
    </row>
    <row r="679" spans="1:18" x14ac:dyDescent="0.25">
      <c r="A679" t="s">
        <v>1029</v>
      </c>
      <c r="B679" s="2">
        <v>45463</v>
      </c>
      <c r="C679" t="s">
        <v>150</v>
      </c>
      <c r="D679" t="s">
        <v>159</v>
      </c>
      <c r="E679" t="s">
        <v>142</v>
      </c>
      <c r="F679">
        <v>6.6109999999999998</v>
      </c>
      <c r="G679">
        <v>0</v>
      </c>
      <c r="H679">
        <v>0</v>
      </c>
      <c r="I679">
        <v>20</v>
      </c>
      <c r="J679">
        <v>0</v>
      </c>
      <c r="K679">
        <v>0</v>
      </c>
      <c r="L679" t="s">
        <v>143</v>
      </c>
      <c r="M679">
        <v>20</v>
      </c>
      <c r="N679">
        <v>1</v>
      </c>
      <c r="O679">
        <v>0.9</v>
      </c>
      <c r="P679" t="s">
        <v>114</v>
      </c>
      <c r="Q679">
        <v>0.9</v>
      </c>
      <c r="R679" t="s">
        <v>144</v>
      </c>
    </row>
    <row r="680" spans="1:18" x14ac:dyDescent="0.25">
      <c r="A680" t="s">
        <v>1030</v>
      </c>
      <c r="B680" s="2">
        <v>45463</v>
      </c>
      <c r="C680" t="s">
        <v>150</v>
      </c>
      <c r="D680" t="s">
        <v>159</v>
      </c>
      <c r="E680" t="s">
        <v>142</v>
      </c>
      <c r="F680">
        <v>1.607</v>
      </c>
      <c r="G680">
        <v>0</v>
      </c>
      <c r="H680">
        <v>0</v>
      </c>
      <c r="I680">
        <v>20</v>
      </c>
      <c r="J680">
        <v>0</v>
      </c>
      <c r="K680">
        <v>0</v>
      </c>
      <c r="L680" t="s">
        <v>143</v>
      </c>
      <c r="M680">
        <v>20</v>
      </c>
      <c r="N680">
        <v>1</v>
      </c>
      <c r="O680">
        <v>0.9</v>
      </c>
      <c r="P680" t="s">
        <v>114</v>
      </c>
      <c r="Q680">
        <v>0.9</v>
      </c>
      <c r="R680" t="s">
        <v>144</v>
      </c>
    </row>
    <row r="681" spans="1:18" x14ac:dyDescent="0.25">
      <c r="A681" t="s">
        <v>1031</v>
      </c>
      <c r="B681" s="2">
        <v>45463</v>
      </c>
      <c r="C681" t="s">
        <v>150</v>
      </c>
      <c r="D681" t="s">
        <v>159</v>
      </c>
      <c r="E681" t="s">
        <v>142</v>
      </c>
      <c r="F681">
        <v>1.607</v>
      </c>
      <c r="G681">
        <v>0</v>
      </c>
      <c r="H681">
        <v>0</v>
      </c>
      <c r="I681">
        <v>5</v>
      </c>
      <c r="J681">
        <v>0</v>
      </c>
      <c r="K681">
        <v>0</v>
      </c>
      <c r="L681" t="s">
        <v>1008</v>
      </c>
      <c r="M681">
        <v>5</v>
      </c>
      <c r="N681">
        <v>0</v>
      </c>
      <c r="O681">
        <v>0.9</v>
      </c>
      <c r="P681" t="s">
        <v>114</v>
      </c>
      <c r="Q681">
        <v>0</v>
      </c>
      <c r="R681" t="s">
        <v>144</v>
      </c>
    </row>
    <row r="682" spans="1:18" x14ac:dyDescent="0.25">
      <c r="A682" t="s">
        <v>1032</v>
      </c>
      <c r="B682" s="2">
        <v>45463</v>
      </c>
      <c r="C682" t="s">
        <v>150</v>
      </c>
      <c r="D682" t="s">
        <v>159</v>
      </c>
      <c r="E682" t="s">
        <v>142</v>
      </c>
      <c r="F682">
        <v>6.6</v>
      </c>
      <c r="G682">
        <v>0</v>
      </c>
      <c r="H682">
        <v>0</v>
      </c>
      <c r="I682">
        <v>20</v>
      </c>
      <c r="J682">
        <v>0</v>
      </c>
      <c r="K682">
        <v>0</v>
      </c>
      <c r="L682" t="s">
        <v>143</v>
      </c>
      <c r="M682">
        <v>20</v>
      </c>
      <c r="N682">
        <v>1</v>
      </c>
      <c r="O682">
        <v>0.9</v>
      </c>
      <c r="P682" t="s">
        <v>114</v>
      </c>
      <c r="Q682">
        <v>0.9</v>
      </c>
      <c r="R682" t="s">
        <v>144</v>
      </c>
    </row>
    <row r="683" spans="1:18" x14ac:dyDescent="0.25">
      <c r="A683" t="s">
        <v>1033</v>
      </c>
      <c r="B683" s="2">
        <v>45463</v>
      </c>
      <c r="C683" t="s">
        <v>150</v>
      </c>
      <c r="D683" t="s">
        <v>159</v>
      </c>
      <c r="E683" t="s">
        <v>142</v>
      </c>
      <c r="F683">
        <v>6.49</v>
      </c>
      <c r="G683">
        <v>0</v>
      </c>
      <c r="H683">
        <v>0</v>
      </c>
      <c r="I683">
        <v>20</v>
      </c>
      <c r="J683">
        <v>0</v>
      </c>
      <c r="K683">
        <v>0</v>
      </c>
      <c r="L683" t="s">
        <v>143</v>
      </c>
      <c r="M683">
        <v>20</v>
      </c>
      <c r="N683">
        <v>1</v>
      </c>
      <c r="O683">
        <v>0.9</v>
      </c>
      <c r="P683" t="s">
        <v>114</v>
      </c>
      <c r="Q683">
        <v>0.9</v>
      </c>
      <c r="R683" t="s">
        <v>144</v>
      </c>
    </row>
    <row r="684" spans="1:18" x14ac:dyDescent="0.25">
      <c r="A684" t="s">
        <v>1034</v>
      </c>
      <c r="B684" s="2">
        <v>45464</v>
      </c>
      <c r="C684" t="s">
        <v>150</v>
      </c>
      <c r="D684" t="s">
        <v>159</v>
      </c>
      <c r="E684" t="s">
        <v>142</v>
      </c>
      <c r="F684">
        <v>0.94</v>
      </c>
      <c r="G684">
        <v>0</v>
      </c>
      <c r="H684">
        <v>0</v>
      </c>
      <c r="I684">
        <v>20</v>
      </c>
      <c r="J684">
        <v>0</v>
      </c>
      <c r="K684">
        <v>0</v>
      </c>
      <c r="L684" t="s">
        <v>143</v>
      </c>
      <c r="M684">
        <v>20</v>
      </c>
      <c r="N684">
        <v>1</v>
      </c>
      <c r="O684">
        <v>0.9</v>
      </c>
      <c r="P684" t="s">
        <v>114</v>
      </c>
      <c r="Q684">
        <v>0.9</v>
      </c>
      <c r="R684" t="s">
        <v>144</v>
      </c>
    </row>
    <row r="685" spans="1:18" x14ac:dyDescent="0.25">
      <c r="A685" t="s">
        <v>1035</v>
      </c>
      <c r="B685" s="2">
        <v>45464</v>
      </c>
      <c r="C685" t="s">
        <v>150</v>
      </c>
      <c r="D685" t="s">
        <v>159</v>
      </c>
      <c r="E685" t="s">
        <v>142</v>
      </c>
      <c r="F685">
        <v>7.4850000000000003</v>
      </c>
      <c r="G685">
        <v>0</v>
      </c>
      <c r="H685">
        <v>0</v>
      </c>
      <c r="I685">
        <v>20</v>
      </c>
      <c r="J685">
        <v>0</v>
      </c>
      <c r="K685">
        <v>0</v>
      </c>
      <c r="L685" t="s">
        <v>143</v>
      </c>
      <c r="M685">
        <v>20</v>
      </c>
      <c r="N685">
        <v>1</v>
      </c>
      <c r="O685">
        <v>0.9</v>
      </c>
      <c r="P685" t="s">
        <v>114</v>
      </c>
      <c r="Q685">
        <v>0.9</v>
      </c>
      <c r="R685" t="s">
        <v>144</v>
      </c>
    </row>
    <row r="686" spans="1:18" x14ac:dyDescent="0.25">
      <c r="A686" t="s">
        <v>1036</v>
      </c>
      <c r="B686" s="2">
        <v>45464</v>
      </c>
      <c r="C686" t="s">
        <v>150</v>
      </c>
      <c r="D686" t="s">
        <v>159</v>
      </c>
      <c r="E686" t="s">
        <v>142</v>
      </c>
      <c r="F686">
        <v>4.0979999999999999</v>
      </c>
      <c r="G686">
        <v>0</v>
      </c>
      <c r="H686">
        <v>0</v>
      </c>
      <c r="I686">
        <v>5</v>
      </c>
      <c r="J686">
        <v>0</v>
      </c>
      <c r="K686">
        <v>0</v>
      </c>
      <c r="L686" t="s">
        <v>1037</v>
      </c>
      <c r="M686">
        <v>5</v>
      </c>
      <c r="N686">
        <v>0</v>
      </c>
      <c r="O686">
        <v>0.9</v>
      </c>
      <c r="P686" t="s">
        <v>114</v>
      </c>
      <c r="Q686">
        <v>0</v>
      </c>
      <c r="R686" t="s">
        <v>144</v>
      </c>
    </row>
    <row r="687" spans="1:18" x14ac:dyDescent="0.25">
      <c r="A687" t="s">
        <v>1038</v>
      </c>
      <c r="B687" s="2">
        <v>45464</v>
      </c>
      <c r="C687" t="s">
        <v>150</v>
      </c>
      <c r="D687" t="s">
        <v>159</v>
      </c>
      <c r="E687" t="s">
        <v>142</v>
      </c>
      <c r="F687">
        <v>6.49</v>
      </c>
      <c r="G687">
        <v>0</v>
      </c>
      <c r="H687">
        <v>0</v>
      </c>
      <c r="I687">
        <v>20</v>
      </c>
      <c r="J687">
        <v>0</v>
      </c>
      <c r="K687">
        <v>0</v>
      </c>
      <c r="L687" t="s">
        <v>143</v>
      </c>
      <c r="M687">
        <v>20</v>
      </c>
      <c r="N687">
        <v>1</v>
      </c>
      <c r="O687">
        <v>0.9</v>
      </c>
      <c r="P687" t="s">
        <v>114</v>
      </c>
      <c r="Q687">
        <v>0.9</v>
      </c>
      <c r="R687" t="s">
        <v>144</v>
      </c>
    </row>
    <row r="688" spans="1:18" x14ac:dyDescent="0.25">
      <c r="A688" t="s">
        <v>1039</v>
      </c>
      <c r="B688" s="2">
        <v>45464</v>
      </c>
      <c r="C688" t="s">
        <v>150</v>
      </c>
      <c r="D688" t="s">
        <v>159</v>
      </c>
      <c r="E688" t="s">
        <v>142</v>
      </c>
      <c r="F688">
        <v>4.46</v>
      </c>
      <c r="G688">
        <v>0</v>
      </c>
      <c r="H688">
        <v>0</v>
      </c>
      <c r="I688">
        <v>20</v>
      </c>
      <c r="J688">
        <v>0</v>
      </c>
      <c r="K688">
        <v>0</v>
      </c>
      <c r="L688" t="s">
        <v>143</v>
      </c>
      <c r="M688">
        <v>20</v>
      </c>
      <c r="N688">
        <v>1</v>
      </c>
      <c r="O688">
        <v>0.9</v>
      </c>
      <c r="P688" t="s">
        <v>114</v>
      </c>
      <c r="Q688">
        <v>0.9</v>
      </c>
      <c r="R688" t="s">
        <v>144</v>
      </c>
    </row>
    <row r="689" spans="1:18" x14ac:dyDescent="0.25">
      <c r="A689" t="s">
        <v>1040</v>
      </c>
      <c r="B689" s="2">
        <v>45464</v>
      </c>
      <c r="C689" t="s">
        <v>150</v>
      </c>
      <c r="D689" t="s">
        <v>159</v>
      </c>
      <c r="E689" t="s">
        <v>142</v>
      </c>
      <c r="F689">
        <v>7.468</v>
      </c>
      <c r="G689">
        <v>0</v>
      </c>
      <c r="H689">
        <v>0</v>
      </c>
      <c r="I689">
        <v>20</v>
      </c>
      <c r="J689">
        <v>0</v>
      </c>
      <c r="K689">
        <v>0</v>
      </c>
      <c r="L689" t="s">
        <v>143</v>
      </c>
      <c r="M689">
        <v>20</v>
      </c>
      <c r="N689">
        <v>1</v>
      </c>
      <c r="O689">
        <v>0.9</v>
      </c>
      <c r="P689" t="s">
        <v>114</v>
      </c>
      <c r="Q689">
        <v>0.9</v>
      </c>
      <c r="R689" t="s">
        <v>144</v>
      </c>
    </row>
    <row r="690" spans="1:18" x14ac:dyDescent="0.25">
      <c r="A690" t="s">
        <v>1041</v>
      </c>
      <c r="B690" s="2">
        <v>45465</v>
      </c>
      <c r="C690" t="s">
        <v>150</v>
      </c>
      <c r="D690" t="s">
        <v>159</v>
      </c>
      <c r="E690" t="s">
        <v>142</v>
      </c>
      <c r="F690">
        <v>1.9159999999999999</v>
      </c>
      <c r="G690">
        <v>0</v>
      </c>
      <c r="H690">
        <v>0</v>
      </c>
      <c r="I690">
        <v>20</v>
      </c>
      <c r="J690">
        <v>0</v>
      </c>
      <c r="K690">
        <v>0</v>
      </c>
      <c r="L690" t="s">
        <v>143</v>
      </c>
      <c r="M690">
        <v>20</v>
      </c>
      <c r="N690">
        <v>1</v>
      </c>
      <c r="O690">
        <v>0.9</v>
      </c>
      <c r="P690" t="s">
        <v>114</v>
      </c>
      <c r="Q690">
        <v>0.9</v>
      </c>
      <c r="R690" t="s">
        <v>144</v>
      </c>
    </row>
    <row r="691" spans="1:18" x14ac:dyDescent="0.25">
      <c r="A691" t="s">
        <v>1042</v>
      </c>
      <c r="B691" s="2">
        <v>45465</v>
      </c>
      <c r="C691" t="s">
        <v>150</v>
      </c>
      <c r="D691" t="s">
        <v>159</v>
      </c>
      <c r="E691" t="s">
        <v>142</v>
      </c>
      <c r="F691">
        <v>10</v>
      </c>
      <c r="G691">
        <v>3.7269999999999999</v>
      </c>
      <c r="H691">
        <v>5.5904999999999996</v>
      </c>
      <c r="I691">
        <v>20</v>
      </c>
      <c r="J691">
        <v>0</v>
      </c>
      <c r="K691">
        <v>0</v>
      </c>
      <c r="L691" t="s">
        <v>143</v>
      </c>
      <c r="M691">
        <v>25.590499999999999</v>
      </c>
      <c r="N691">
        <v>1</v>
      </c>
      <c r="O691">
        <v>0.9</v>
      </c>
      <c r="P691" t="s">
        <v>114</v>
      </c>
      <c r="Q691">
        <v>0.9</v>
      </c>
      <c r="R691" t="s">
        <v>144</v>
      </c>
    </row>
    <row r="692" spans="1:18" x14ac:dyDescent="0.25">
      <c r="A692" t="s">
        <v>1043</v>
      </c>
      <c r="B692" s="2">
        <v>45465</v>
      </c>
      <c r="C692" t="s">
        <v>150</v>
      </c>
      <c r="D692" t="s">
        <v>159</v>
      </c>
      <c r="E692" t="s">
        <v>142</v>
      </c>
      <c r="F692">
        <v>6.6520000000000001</v>
      </c>
      <c r="G692">
        <v>0</v>
      </c>
      <c r="H692">
        <v>0</v>
      </c>
      <c r="I692">
        <v>20</v>
      </c>
      <c r="J692">
        <v>0</v>
      </c>
      <c r="K692">
        <v>0</v>
      </c>
      <c r="L692" t="s">
        <v>1044</v>
      </c>
      <c r="M692">
        <v>20</v>
      </c>
      <c r="N692">
        <v>1</v>
      </c>
      <c r="O692">
        <v>0.9</v>
      </c>
      <c r="P692" t="s">
        <v>114</v>
      </c>
      <c r="Q692">
        <v>0.9</v>
      </c>
      <c r="R692" t="s">
        <v>144</v>
      </c>
    </row>
    <row r="693" spans="1:18" x14ac:dyDescent="0.25">
      <c r="A693" t="s">
        <v>1045</v>
      </c>
      <c r="B693" s="2">
        <v>45465</v>
      </c>
      <c r="C693" t="s">
        <v>150</v>
      </c>
      <c r="D693" t="s">
        <v>159</v>
      </c>
      <c r="E693" t="s">
        <v>142</v>
      </c>
      <c r="F693">
        <v>2.5960000000000001</v>
      </c>
      <c r="G693">
        <v>0</v>
      </c>
      <c r="H693">
        <v>0</v>
      </c>
      <c r="I693">
        <v>20</v>
      </c>
      <c r="J693">
        <v>0</v>
      </c>
      <c r="K693">
        <v>0</v>
      </c>
      <c r="L693" t="s">
        <v>143</v>
      </c>
      <c r="M693">
        <v>20</v>
      </c>
      <c r="N693">
        <v>1</v>
      </c>
      <c r="O693">
        <v>0.9</v>
      </c>
      <c r="P693" t="s">
        <v>114</v>
      </c>
      <c r="Q693">
        <v>0.9</v>
      </c>
      <c r="R693" t="s">
        <v>144</v>
      </c>
    </row>
    <row r="694" spans="1:18" x14ac:dyDescent="0.25">
      <c r="A694" t="s">
        <v>1046</v>
      </c>
      <c r="B694" s="2">
        <v>45465</v>
      </c>
      <c r="C694" t="s">
        <v>150</v>
      </c>
      <c r="D694" t="s">
        <v>159</v>
      </c>
      <c r="E694" t="s">
        <v>142</v>
      </c>
      <c r="F694">
        <v>2.8050000000000002</v>
      </c>
      <c r="G694">
        <v>0</v>
      </c>
      <c r="H694">
        <v>0</v>
      </c>
      <c r="I694">
        <v>20</v>
      </c>
      <c r="J694">
        <v>0</v>
      </c>
      <c r="K694">
        <v>0</v>
      </c>
      <c r="L694" t="s">
        <v>143</v>
      </c>
      <c r="M694">
        <v>20</v>
      </c>
      <c r="N694">
        <v>1</v>
      </c>
      <c r="O694">
        <v>0.9</v>
      </c>
      <c r="P694" t="s">
        <v>114</v>
      </c>
      <c r="Q694">
        <v>0.9</v>
      </c>
      <c r="R694" t="s">
        <v>144</v>
      </c>
    </row>
    <row r="695" spans="1:18" x14ac:dyDescent="0.25">
      <c r="A695" t="s">
        <v>1047</v>
      </c>
      <c r="B695" s="2">
        <v>45465</v>
      </c>
      <c r="C695" t="s">
        <v>150</v>
      </c>
      <c r="D695" t="s">
        <v>159</v>
      </c>
      <c r="E695" t="s">
        <v>142</v>
      </c>
      <c r="F695">
        <v>0.41499999999999998</v>
      </c>
      <c r="G695">
        <v>0</v>
      </c>
      <c r="H695">
        <v>0</v>
      </c>
      <c r="I695">
        <v>20</v>
      </c>
      <c r="J695">
        <v>0</v>
      </c>
      <c r="K695">
        <v>0</v>
      </c>
      <c r="L695" t="s">
        <v>143</v>
      </c>
      <c r="M695">
        <v>20</v>
      </c>
      <c r="N695">
        <v>1</v>
      </c>
      <c r="O695">
        <v>0.9</v>
      </c>
      <c r="P695" t="s">
        <v>114</v>
      </c>
      <c r="Q695">
        <v>0.9</v>
      </c>
      <c r="R695" t="s">
        <v>144</v>
      </c>
    </row>
    <row r="696" spans="1:18" x14ac:dyDescent="0.25">
      <c r="A696" t="s">
        <v>1048</v>
      </c>
      <c r="B696" s="2">
        <v>45465</v>
      </c>
      <c r="C696" t="s">
        <v>150</v>
      </c>
      <c r="D696" t="s">
        <v>159</v>
      </c>
      <c r="E696" t="s">
        <v>142</v>
      </c>
      <c r="F696">
        <v>0.33700000000000002</v>
      </c>
      <c r="G696">
        <v>0</v>
      </c>
      <c r="H696">
        <v>0</v>
      </c>
      <c r="I696">
        <v>20</v>
      </c>
      <c r="J696">
        <v>0</v>
      </c>
      <c r="K696">
        <v>0</v>
      </c>
      <c r="L696" t="s">
        <v>143</v>
      </c>
      <c r="M696">
        <v>20</v>
      </c>
      <c r="N696">
        <v>1</v>
      </c>
      <c r="O696">
        <v>0.9</v>
      </c>
      <c r="P696" t="s">
        <v>114</v>
      </c>
      <c r="Q696">
        <v>0.9</v>
      </c>
      <c r="R696" t="s">
        <v>144</v>
      </c>
    </row>
    <row r="697" spans="1:18" x14ac:dyDescent="0.25">
      <c r="A697" t="s">
        <v>1049</v>
      </c>
      <c r="B697" s="2">
        <v>45465</v>
      </c>
      <c r="C697" t="s">
        <v>150</v>
      </c>
      <c r="D697" t="s">
        <v>159</v>
      </c>
      <c r="E697" t="s">
        <v>142</v>
      </c>
      <c r="F697">
        <v>3.9689999999999999</v>
      </c>
      <c r="G697">
        <v>0</v>
      </c>
      <c r="H697">
        <v>0</v>
      </c>
      <c r="I697">
        <v>20</v>
      </c>
      <c r="J697">
        <v>0</v>
      </c>
      <c r="K697">
        <v>0</v>
      </c>
      <c r="L697" t="s">
        <v>143</v>
      </c>
      <c r="M697">
        <v>20</v>
      </c>
      <c r="N697">
        <v>1</v>
      </c>
      <c r="O697">
        <v>0.9</v>
      </c>
      <c r="P697" t="s">
        <v>114</v>
      </c>
      <c r="Q697">
        <v>0.9</v>
      </c>
      <c r="R697" t="s">
        <v>144</v>
      </c>
    </row>
    <row r="698" spans="1:18" x14ac:dyDescent="0.25">
      <c r="A698" t="s">
        <v>1050</v>
      </c>
      <c r="B698" s="2">
        <v>45465</v>
      </c>
      <c r="C698" t="s">
        <v>150</v>
      </c>
      <c r="D698" t="s">
        <v>159</v>
      </c>
      <c r="E698" t="s">
        <v>142</v>
      </c>
      <c r="F698">
        <v>0.30299999999999999</v>
      </c>
      <c r="G698">
        <v>0</v>
      </c>
      <c r="H698">
        <v>0</v>
      </c>
      <c r="I698">
        <v>20</v>
      </c>
      <c r="J698">
        <v>0</v>
      </c>
      <c r="K698">
        <v>0</v>
      </c>
      <c r="L698" t="s">
        <v>143</v>
      </c>
      <c r="M698">
        <v>20</v>
      </c>
      <c r="N698">
        <v>1</v>
      </c>
      <c r="O698">
        <v>0.9</v>
      </c>
      <c r="P698" t="s">
        <v>114</v>
      </c>
      <c r="Q698">
        <v>0.9</v>
      </c>
      <c r="R698" t="s">
        <v>144</v>
      </c>
    </row>
    <row r="699" spans="1:18" x14ac:dyDescent="0.25">
      <c r="A699" t="s">
        <v>1051</v>
      </c>
      <c r="B699" s="2">
        <v>45465</v>
      </c>
      <c r="C699" t="s">
        <v>150</v>
      </c>
      <c r="D699" t="s">
        <v>159</v>
      </c>
      <c r="E699" t="s">
        <v>142</v>
      </c>
      <c r="F699">
        <v>2.2000000000000002</v>
      </c>
      <c r="G699">
        <v>0</v>
      </c>
      <c r="H699">
        <v>0</v>
      </c>
      <c r="I699">
        <v>20</v>
      </c>
      <c r="J699">
        <v>0</v>
      </c>
      <c r="K699">
        <v>0</v>
      </c>
      <c r="L699" t="s">
        <v>143</v>
      </c>
      <c r="M699">
        <v>20</v>
      </c>
      <c r="N699">
        <v>1</v>
      </c>
      <c r="O699">
        <v>0.9</v>
      </c>
      <c r="P699" t="s">
        <v>114</v>
      </c>
      <c r="Q699">
        <v>0.9</v>
      </c>
      <c r="R699" t="s">
        <v>144</v>
      </c>
    </row>
    <row r="700" spans="1:18" x14ac:dyDescent="0.25">
      <c r="A700" t="s">
        <v>1052</v>
      </c>
      <c r="B700" s="2">
        <v>45467</v>
      </c>
      <c r="C700" t="s">
        <v>150</v>
      </c>
      <c r="D700" t="s">
        <v>159</v>
      </c>
      <c r="E700" t="s">
        <v>142</v>
      </c>
      <c r="F700">
        <v>1.357</v>
      </c>
      <c r="G700">
        <v>0</v>
      </c>
      <c r="H700">
        <v>0</v>
      </c>
      <c r="I700">
        <v>20</v>
      </c>
      <c r="J700">
        <v>0</v>
      </c>
      <c r="K700">
        <v>0</v>
      </c>
      <c r="L700" t="s">
        <v>143</v>
      </c>
      <c r="M700">
        <v>20</v>
      </c>
      <c r="N700">
        <v>1</v>
      </c>
      <c r="O700">
        <v>0.9</v>
      </c>
      <c r="P700" t="s">
        <v>115</v>
      </c>
      <c r="Q700">
        <v>0.9</v>
      </c>
      <c r="R700" t="s">
        <v>144</v>
      </c>
    </row>
    <row r="701" spans="1:18" x14ac:dyDescent="0.25">
      <c r="A701" t="s">
        <v>1053</v>
      </c>
      <c r="B701" s="2">
        <v>45467</v>
      </c>
      <c r="C701" t="s">
        <v>150</v>
      </c>
      <c r="D701" t="s">
        <v>159</v>
      </c>
      <c r="E701" t="s">
        <v>142</v>
      </c>
      <c r="F701">
        <v>4.0979999999999999</v>
      </c>
      <c r="G701">
        <v>0</v>
      </c>
      <c r="H701">
        <v>0</v>
      </c>
      <c r="I701">
        <v>20</v>
      </c>
      <c r="J701">
        <v>0</v>
      </c>
      <c r="K701">
        <v>0</v>
      </c>
      <c r="L701" t="s">
        <v>143</v>
      </c>
      <c r="M701">
        <v>20</v>
      </c>
      <c r="N701">
        <v>1</v>
      </c>
      <c r="O701">
        <v>0.9</v>
      </c>
      <c r="P701" t="s">
        <v>115</v>
      </c>
      <c r="Q701">
        <v>0.9</v>
      </c>
      <c r="R701" t="s">
        <v>144</v>
      </c>
    </row>
    <row r="702" spans="1:18" x14ac:dyDescent="0.25">
      <c r="A702" t="s">
        <v>1054</v>
      </c>
      <c r="B702" s="2">
        <v>45467</v>
      </c>
      <c r="C702" t="s">
        <v>150</v>
      </c>
      <c r="D702" t="s">
        <v>159</v>
      </c>
      <c r="E702" t="s">
        <v>142</v>
      </c>
      <c r="F702">
        <v>7.0540000000000003</v>
      </c>
      <c r="G702">
        <v>0</v>
      </c>
      <c r="H702">
        <v>0</v>
      </c>
      <c r="I702">
        <v>20</v>
      </c>
      <c r="J702">
        <v>0</v>
      </c>
      <c r="K702">
        <v>0</v>
      </c>
      <c r="L702" t="s">
        <v>143</v>
      </c>
      <c r="M702">
        <v>20</v>
      </c>
      <c r="N702">
        <v>1</v>
      </c>
      <c r="O702">
        <v>0.9</v>
      </c>
      <c r="P702" t="s">
        <v>115</v>
      </c>
      <c r="Q702">
        <v>0.9</v>
      </c>
      <c r="R702" t="s">
        <v>144</v>
      </c>
    </row>
    <row r="703" spans="1:18" x14ac:dyDescent="0.25">
      <c r="A703" t="s">
        <v>1055</v>
      </c>
      <c r="B703" s="2">
        <v>45467</v>
      </c>
      <c r="C703" t="s">
        <v>150</v>
      </c>
      <c r="D703" t="s">
        <v>159</v>
      </c>
      <c r="E703" t="s">
        <v>142</v>
      </c>
      <c r="F703">
        <v>5.9009999999999998</v>
      </c>
      <c r="G703">
        <v>0</v>
      </c>
      <c r="H703">
        <v>0</v>
      </c>
      <c r="I703">
        <v>20</v>
      </c>
      <c r="J703">
        <v>0</v>
      </c>
      <c r="K703">
        <v>0</v>
      </c>
      <c r="L703" t="s">
        <v>143</v>
      </c>
      <c r="M703">
        <v>20</v>
      </c>
      <c r="N703">
        <v>1</v>
      </c>
      <c r="O703">
        <v>0.9</v>
      </c>
      <c r="P703" t="s">
        <v>115</v>
      </c>
      <c r="Q703">
        <v>0.9</v>
      </c>
      <c r="R703" t="s">
        <v>144</v>
      </c>
    </row>
    <row r="704" spans="1:18" x14ac:dyDescent="0.25">
      <c r="A704" t="s">
        <v>1056</v>
      </c>
      <c r="B704" s="2">
        <v>45467</v>
      </c>
      <c r="C704" t="s">
        <v>150</v>
      </c>
      <c r="D704" t="s">
        <v>159</v>
      </c>
      <c r="E704" t="s">
        <v>142</v>
      </c>
      <c r="F704">
        <v>10</v>
      </c>
      <c r="G704">
        <v>4</v>
      </c>
      <c r="H704">
        <v>6</v>
      </c>
      <c r="I704">
        <v>20</v>
      </c>
      <c r="J704">
        <v>0</v>
      </c>
      <c r="K704">
        <v>0</v>
      </c>
      <c r="L704" t="s">
        <v>1057</v>
      </c>
      <c r="M704">
        <v>26</v>
      </c>
      <c r="N704">
        <v>1</v>
      </c>
      <c r="O704">
        <v>0.9</v>
      </c>
      <c r="P704" t="s">
        <v>115</v>
      </c>
      <c r="Q704">
        <v>0.9</v>
      </c>
      <c r="R704" t="s">
        <v>144</v>
      </c>
    </row>
    <row r="705" spans="1:18" x14ac:dyDescent="0.25">
      <c r="A705" t="s">
        <v>1058</v>
      </c>
      <c r="B705" s="2">
        <v>45467</v>
      </c>
      <c r="C705" t="s">
        <v>150</v>
      </c>
      <c r="D705" t="s">
        <v>159</v>
      </c>
      <c r="E705" t="s">
        <v>142</v>
      </c>
      <c r="F705">
        <v>3.5720000000000001</v>
      </c>
      <c r="G705">
        <v>0</v>
      </c>
      <c r="H705">
        <v>0</v>
      </c>
      <c r="I705">
        <v>20</v>
      </c>
      <c r="J705">
        <v>0</v>
      </c>
      <c r="K705">
        <v>0</v>
      </c>
      <c r="L705" t="s">
        <v>143</v>
      </c>
      <c r="M705">
        <v>20</v>
      </c>
      <c r="N705">
        <v>1</v>
      </c>
      <c r="O705">
        <v>0.9</v>
      </c>
      <c r="P705" t="s">
        <v>115</v>
      </c>
      <c r="Q705">
        <v>0.9</v>
      </c>
      <c r="R705" t="s">
        <v>144</v>
      </c>
    </row>
    <row r="706" spans="1:18" x14ac:dyDescent="0.25">
      <c r="A706" t="s">
        <v>1059</v>
      </c>
      <c r="B706" s="2">
        <v>45467</v>
      </c>
      <c r="C706" t="s">
        <v>150</v>
      </c>
      <c r="D706" t="s">
        <v>159</v>
      </c>
      <c r="E706" t="s">
        <v>142</v>
      </c>
      <c r="F706">
        <v>6.2939999999999996</v>
      </c>
      <c r="G706">
        <v>0</v>
      </c>
      <c r="H706">
        <v>0</v>
      </c>
      <c r="I706">
        <v>20</v>
      </c>
      <c r="J706">
        <v>0</v>
      </c>
      <c r="K706">
        <v>0</v>
      </c>
      <c r="L706" t="s">
        <v>143</v>
      </c>
      <c r="M706">
        <v>20</v>
      </c>
      <c r="N706">
        <v>1</v>
      </c>
      <c r="O706">
        <v>0.9</v>
      </c>
      <c r="P706" t="s">
        <v>115</v>
      </c>
      <c r="Q706">
        <v>0.9</v>
      </c>
      <c r="R706" t="s">
        <v>144</v>
      </c>
    </row>
    <row r="707" spans="1:18" x14ac:dyDescent="0.25">
      <c r="A707" t="s">
        <v>1060</v>
      </c>
      <c r="B707" s="2">
        <v>45467</v>
      </c>
      <c r="C707" t="s">
        <v>150</v>
      </c>
      <c r="D707" t="s">
        <v>159</v>
      </c>
      <c r="E707" t="s">
        <v>142</v>
      </c>
      <c r="F707">
        <v>4.7649999999999997</v>
      </c>
      <c r="G707">
        <v>0</v>
      </c>
      <c r="H707">
        <v>0</v>
      </c>
      <c r="I707">
        <v>20</v>
      </c>
      <c r="J707">
        <v>0</v>
      </c>
      <c r="K707">
        <v>0</v>
      </c>
      <c r="L707" t="s">
        <v>143</v>
      </c>
      <c r="M707">
        <v>20</v>
      </c>
      <c r="N707">
        <v>1</v>
      </c>
      <c r="O707">
        <v>0.9</v>
      </c>
      <c r="P707" t="s">
        <v>115</v>
      </c>
      <c r="Q707">
        <v>0.9</v>
      </c>
      <c r="R707" t="s">
        <v>144</v>
      </c>
    </row>
    <row r="708" spans="1:18" x14ac:dyDescent="0.25">
      <c r="A708" t="s">
        <v>1061</v>
      </c>
      <c r="B708" s="2">
        <v>45467</v>
      </c>
      <c r="C708" t="s">
        <v>150</v>
      </c>
      <c r="D708" t="s">
        <v>159</v>
      </c>
      <c r="E708" t="s">
        <v>142</v>
      </c>
      <c r="F708">
        <v>4.5750000000000002</v>
      </c>
      <c r="G708">
        <v>0</v>
      </c>
      <c r="H708">
        <v>0</v>
      </c>
      <c r="I708">
        <v>20</v>
      </c>
      <c r="J708">
        <v>0</v>
      </c>
      <c r="K708">
        <v>0</v>
      </c>
      <c r="L708" t="s">
        <v>143</v>
      </c>
      <c r="M708">
        <v>20</v>
      </c>
      <c r="N708">
        <v>1</v>
      </c>
      <c r="O708">
        <v>0.9</v>
      </c>
      <c r="P708" t="s">
        <v>115</v>
      </c>
      <c r="Q708">
        <v>0.9</v>
      </c>
      <c r="R708" t="s">
        <v>144</v>
      </c>
    </row>
    <row r="709" spans="1:18" x14ac:dyDescent="0.25">
      <c r="A709" t="s">
        <v>1062</v>
      </c>
      <c r="B709" s="2">
        <v>45467</v>
      </c>
      <c r="C709" t="s">
        <v>150</v>
      </c>
      <c r="D709" t="s">
        <v>159</v>
      </c>
      <c r="E709" t="s">
        <v>142</v>
      </c>
      <c r="F709">
        <v>7.5990000000000002</v>
      </c>
      <c r="G709">
        <v>0</v>
      </c>
      <c r="H709">
        <v>0</v>
      </c>
      <c r="I709">
        <v>5</v>
      </c>
      <c r="J709">
        <v>0</v>
      </c>
      <c r="K709">
        <v>0</v>
      </c>
      <c r="L709" t="s">
        <v>1063</v>
      </c>
      <c r="M709">
        <v>5</v>
      </c>
      <c r="N709">
        <v>0</v>
      </c>
      <c r="O709">
        <v>0.9</v>
      </c>
      <c r="P709" t="s">
        <v>115</v>
      </c>
      <c r="Q709">
        <v>0</v>
      </c>
      <c r="R709" t="s">
        <v>144</v>
      </c>
    </row>
    <row r="710" spans="1:18" x14ac:dyDescent="0.25">
      <c r="A710" t="s">
        <v>1064</v>
      </c>
      <c r="B710" s="2">
        <v>45467</v>
      </c>
      <c r="C710" t="s">
        <v>150</v>
      </c>
      <c r="D710" t="s">
        <v>159</v>
      </c>
      <c r="E710" t="s">
        <v>142</v>
      </c>
      <c r="F710">
        <v>5.3360000000000003</v>
      </c>
      <c r="G710">
        <v>0</v>
      </c>
      <c r="H710">
        <v>0</v>
      </c>
      <c r="I710">
        <v>20</v>
      </c>
      <c r="J710">
        <v>0</v>
      </c>
      <c r="K710">
        <v>0</v>
      </c>
      <c r="L710" t="s">
        <v>143</v>
      </c>
      <c r="M710">
        <v>20</v>
      </c>
      <c r="N710">
        <v>1</v>
      </c>
      <c r="O710">
        <v>0.9</v>
      </c>
      <c r="P710" t="s">
        <v>115</v>
      </c>
      <c r="Q710">
        <v>0.9</v>
      </c>
      <c r="R710" t="s">
        <v>144</v>
      </c>
    </row>
    <row r="711" spans="1:18" x14ac:dyDescent="0.25">
      <c r="A711" t="s">
        <v>1065</v>
      </c>
      <c r="B711" s="2">
        <v>45468</v>
      </c>
      <c r="C711" t="s">
        <v>150</v>
      </c>
      <c r="D711" t="s">
        <v>159</v>
      </c>
      <c r="E711" t="s">
        <v>142</v>
      </c>
      <c r="F711">
        <v>8.3610000000000007</v>
      </c>
      <c r="G711">
        <v>0</v>
      </c>
      <c r="H711">
        <v>0</v>
      </c>
      <c r="I711">
        <v>20</v>
      </c>
      <c r="J711">
        <v>0</v>
      </c>
      <c r="K711">
        <v>0</v>
      </c>
      <c r="L711" t="s">
        <v>143</v>
      </c>
      <c r="M711">
        <v>20</v>
      </c>
      <c r="N711">
        <v>1</v>
      </c>
      <c r="O711">
        <v>0.9</v>
      </c>
      <c r="P711" t="s">
        <v>115</v>
      </c>
      <c r="Q711">
        <v>0.9</v>
      </c>
      <c r="R711" t="s">
        <v>144</v>
      </c>
    </row>
    <row r="712" spans="1:18" x14ac:dyDescent="0.25">
      <c r="A712" t="s">
        <v>1066</v>
      </c>
      <c r="B712" s="2">
        <v>45468</v>
      </c>
      <c r="C712" t="s">
        <v>150</v>
      </c>
      <c r="D712" t="s">
        <v>159</v>
      </c>
      <c r="E712" t="s">
        <v>142</v>
      </c>
      <c r="F712">
        <v>8.2490000000000006</v>
      </c>
      <c r="G712">
        <v>0</v>
      </c>
      <c r="H712">
        <v>0</v>
      </c>
      <c r="I712">
        <v>20</v>
      </c>
      <c r="J712">
        <v>0</v>
      </c>
      <c r="K712">
        <v>0</v>
      </c>
      <c r="L712" t="s">
        <v>1067</v>
      </c>
      <c r="M712">
        <v>20</v>
      </c>
      <c r="N712">
        <v>1</v>
      </c>
      <c r="O712">
        <v>0.9</v>
      </c>
      <c r="P712" t="s">
        <v>115</v>
      </c>
      <c r="Q712">
        <v>0.9</v>
      </c>
      <c r="R712" t="s">
        <v>144</v>
      </c>
    </row>
    <row r="713" spans="1:18" x14ac:dyDescent="0.25">
      <c r="A713" t="s">
        <v>1068</v>
      </c>
      <c r="B713" s="2">
        <v>45468</v>
      </c>
      <c r="C713" t="s">
        <v>150</v>
      </c>
      <c r="D713" t="s">
        <v>159</v>
      </c>
      <c r="E713" t="s">
        <v>142</v>
      </c>
      <c r="F713">
        <v>1.2829999999999999</v>
      </c>
      <c r="G713">
        <v>0</v>
      </c>
      <c r="H713">
        <v>0</v>
      </c>
      <c r="I713">
        <v>20</v>
      </c>
      <c r="J713">
        <v>0</v>
      </c>
      <c r="K713">
        <v>0</v>
      </c>
      <c r="L713" t="s">
        <v>143</v>
      </c>
      <c r="M713">
        <v>20</v>
      </c>
      <c r="N713">
        <v>1</v>
      </c>
      <c r="O713">
        <v>0.9</v>
      </c>
      <c r="P713" t="s">
        <v>115</v>
      </c>
      <c r="Q713">
        <v>0.9</v>
      </c>
      <c r="R713" t="s">
        <v>144</v>
      </c>
    </row>
    <row r="714" spans="1:18" x14ac:dyDescent="0.25">
      <c r="A714" t="s">
        <v>1069</v>
      </c>
      <c r="B714" s="2">
        <v>45468</v>
      </c>
      <c r="C714" t="s">
        <v>150</v>
      </c>
      <c r="D714" t="s">
        <v>159</v>
      </c>
      <c r="E714" t="s">
        <v>142</v>
      </c>
      <c r="F714">
        <v>4.1059999999999999</v>
      </c>
      <c r="G714">
        <v>0</v>
      </c>
      <c r="H714">
        <v>0</v>
      </c>
      <c r="I714">
        <v>20</v>
      </c>
      <c r="J714">
        <v>0</v>
      </c>
      <c r="K714">
        <v>0</v>
      </c>
      <c r="L714" t="s">
        <v>143</v>
      </c>
      <c r="M714">
        <v>20</v>
      </c>
      <c r="N714">
        <v>1</v>
      </c>
      <c r="O714">
        <v>0.9</v>
      </c>
      <c r="P714" t="s">
        <v>115</v>
      </c>
      <c r="Q714">
        <v>0.9</v>
      </c>
      <c r="R714" t="s">
        <v>144</v>
      </c>
    </row>
    <row r="715" spans="1:18" x14ac:dyDescent="0.25">
      <c r="A715" t="s">
        <v>1070</v>
      </c>
      <c r="B715" s="2">
        <v>45468</v>
      </c>
      <c r="C715" t="s">
        <v>150</v>
      </c>
      <c r="D715" t="s">
        <v>159</v>
      </c>
      <c r="E715" t="s">
        <v>142</v>
      </c>
      <c r="F715">
        <v>10</v>
      </c>
      <c r="G715">
        <v>6.0229999999999997</v>
      </c>
      <c r="H715">
        <v>9.0344999999999995</v>
      </c>
      <c r="I715">
        <v>20</v>
      </c>
      <c r="J715">
        <v>0</v>
      </c>
      <c r="K715">
        <v>0</v>
      </c>
      <c r="L715" t="s">
        <v>143</v>
      </c>
      <c r="M715">
        <v>29.034500000000001</v>
      </c>
      <c r="N715">
        <v>1</v>
      </c>
      <c r="O715">
        <v>0.9</v>
      </c>
      <c r="P715" t="s">
        <v>115</v>
      </c>
      <c r="Q715">
        <v>0.9</v>
      </c>
      <c r="R715" t="s">
        <v>144</v>
      </c>
    </row>
    <row r="716" spans="1:18" x14ac:dyDescent="0.25">
      <c r="A716" t="s">
        <v>1071</v>
      </c>
      <c r="B716" s="2">
        <v>45468</v>
      </c>
      <c r="C716" t="s">
        <v>150</v>
      </c>
      <c r="D716" t="s">
        <v>159</v>
      </c>
      <c r="E716" t="s">
        <v>142</v>
      </c>
      <c r="F716">
        <v>1.607</v>
      </c>
      <c r="G716">
        <v>0</v>
      </c>
      <c r="H716">
        <v>0</v>
      </c>
      <c r="I716">
        <v>20</v>
      </c>
      <c r="J716">
        <v>0</v>
      </c>
      <c r="K716">
        <v>0</v>
      </c>
      <c r="L716" t="s">
        <v>143</v>
      </c>
      <c r="M716">
        <v>20</v>
      </c>
      <c r="N716">
        <v>1</v>
      </c>
      <c r="O716">
        <v>0.9</v>
      </c>
      <c r="P716" t="s">
        <v>115</v>
      </c>
      <c r="Q716">
        <v>0.9</v>
      </c>
      <c r="R716" t="s">
        <v>144</v>
      </c>
    </row>
    <row r="717" spans="1:18" x14ac:dyDescent="0.25">
      <c r="A717" t="s">
        <v>1072</v>
      </c>
      <c r="B717" s="2">
        <v>45468</v>
      </c>
      <c r="C717" t="s">
        <v>150</v>
      </c>
      <c r="D717" t="s">
        <v>159</v>
      </c>
      <c r="E717" t="s">
        <v>142</v>
      </c>
      <c r="F717">
        <v>1.607</v>
      </c>
      <c r="G717">
        <v>0</v>
      </c>
      <c r="H717">
        <v>0</v>
      </c>
      <c r="I717">
        <v>20</v>
      </c>
      <c r="J717">
        <v>0</v>
      </c>
      <c r="K717">
        <v>0</v>
      </c>
      <c r="L717" t="s">
        <v>143</v>
      </c>
      <c r="M717">
        <v>20</v>
      </c>
      <c r="N717">
        <v>1</v>
      </c>
      <c r="O717">
        <v>0.9</v>
      </c>
      <c r="P717" t="s">
        <v>115</v>
      </c>
      <c r="Q717">
        <v>0.9</v>
      </c>
      <c r="R717" t="s">
        <v>144</v>
      </c>
    </row>
    <row r="718" spans="1:18" x14ac:dyDescent="0.25">
      <c r="A718" t="s">
        <v>1073</v>
      </c>
      <c r="B718" s="2">
        <v>45468</v>
      </c>
      <c r="C718" t="s">
        <v>150</v>
      </c>
      <c r="D718" t="s">
        <v>159</v>
      </c>
      <c r="E718" t="s">
        <v>142</v>
      </c>
      <c r="F718">
        <v>7.024</v>
      </c>
      <c r="G718">
        <v>0</v>
      </c>
      <c r="H718">
        <v>0</v>
      </c>
      <c r="I718">
        <v>20</v>
      </c>
      <c r="J718">
        <v>0</v>
      </c>
      <c r="K718">
        <v>0</v>
      </c>
      <c r="L718" t="s">
        <v>339</v>
      </c>
      <c r="M718">
        <v>20</v>
      </c>
      <c r="N718">
        <v>1</v>
      </c>
      <c r="O718">
        <v>0.9</v>
      </c>
      <c r="P718" t="s">
        <v>115</v>
      </c>
      <c r="Q718">
        <v>0.9</v>
      </c>
      <c r="R718" t="s">
        <v>144</v>
      </c>
    </row>
    <row r="719" spans="1:18" x14ac:dyDescent="0.25">
      <c r="A719" t="s">
        <v>1074</v>
      </c>
      <c r="B719" s="2">
        <v>45468</v>
      </c>
      <c r="C719" t="s">
        <v>150</v>
      </c>
      <c r="D719" t="s">
        <v>159</v>
      </c>
      <c r="E719" t="s">
        <v>142</v>
      </c>
      <c r="F719">
        <v>6.7060000000000004</v>
      </c>
      <c r="G719">
        <v>0</v>
      </c>
      <c r="H719">
        <v>0</v>
      </c>
      <c r="I719">
        <v>20</v>
      </c>
      <c r="J719">
        <v>0</v>
      </c>
      <c r="K719">
        <v>0</v>
      </c>
      <c r="L719" t="s">
        <v>143</v>
      </c>
      <c r="M719">
        <v>20</v>
      </c>
      <c r="N719">
        <v>1</v>
      </c>
      <c r="O719">
        <v>0.9</v>
      </c>
      <c r="P719" t="s">
        <v>115</v>
      </c>
      <c r="Q719">
        <v>0.9</v>
      </c>
      <c r="R719" t="s">
        <v>144</v>
      </c>
    </row>
    <row r="720" spans="1:18" x14ac:dyDescent="0.25">
      <c r="A720" t="s">
        <v>1075</v>
      </c>
      <c r="B720" s="2">
        <v>45468</v>
      </c>
      <c r="C720" t="s">
        <v>150</v>
      </c>
      <c r="D720" t="s">
        <v>159</v>
      </c>
      <c r="E720" t="s">
        <v>142</v>
      </c>
      <c r="F720">
        <v>0.44900000000000001</v>
      </c>
      <c r="G720">
        <v>0</v>
      </c>
      <c r="H720">
        <v>0</v>
      </c>
      <c r="I720">
        <v>20</v>
      </c>
      <c r="J720">
        <v>0</v>
      </c>
      <c r="K720">
        <v>0</v>
      </c>
      <c r="L720" t="s">
        <v>143</v>
      </c>
      <c r="M720">
        <v>20</v>
      </c>
      <c r="N720">
        <v>1</v>
      </c>
      <c r="O720">
        <v>0.9</v>
      </c>
      <c r="P720" t="s">
        <v>115</v>
      </c>
      <c r="Q720">
        <v>0.9</v>
      </c>
      <c r="R720" t="s">
        <v>144</v>
      </c>
    </row>
    <row r="721" spans="1:18" x14ac:dyDescent="0.25">
      <c r="A721" t="s">
        <v>1076</v>
      </c>
      <c r="B721" s="2">
        <v>45468</v>
      </c>
      <c r="C721" t="s">
        <v>150</v>
      </c>
      <c r="D721" t="s">
        <v>159</v>
      </c>
      <c r="E721" t="s">
        <v>142</v>
      </c>
      <c r="F721">
        <v>0.30299999999999999</v>
      </c>
      <c r="G721">
        <v>0</v>
      </c>
      <c r="H721">
        <v>0</v>
      </c>
      <c r="I721">
        <v>20</v>
      </c>
      <c r="J721">
        <v>0</v>
      </c>
      <c r="K721">
        <v>0</v>
      </c>
      <c r="L721" t="s">
        <v>143</v>
      </c>
      <c r="M721">
        <v>20</v>
      </c>
      <c r="N721">
        <v>1</v>
      </c>
      <c r="O721">
        <v>0.9</v>
      </c>
      <c r="P721" t="s">
        <v>115</v>
      </c>
      <c r="Q721">
        <v>0.9</v>
      </c>
      <c r="R721" t="s">
        <v>144</v>
      </c>
    </row>
    <row r="722" spans="1:18" x14ac:dyDescent="0.25">
      <c r="A722" t="s">
        <v>1077</v>
      </c>
      <c r="B722" s="2">
        <v>45468</v>
      </c>
      <c r="C722" t="s">
        <v>150</v>
      </c>
      <c r="D722" t="s">
        <v>159</v>
      </c>
      <c r="E722" t="s">
        <v>142</v>
      </c>
      <c r="F722">
        <v>3.1720000000000002</v>
      </c>
      <c r="G722">
        <v>0</v>
      </c>
      <c r="H722">
        <v>0</v>
      </c>
      <c r="I722">
        <v>20</v>
      </c>
      <c r="J722">
        <v>0</v>
      </c>
      <c r="K722">
        <v>0</v>
      </c>
      <c r="L722" t="s">
        <v>143</v>
      </c>
      <c r="M722">
        <v>20</v>
      </c>
      <c r="N722">
        <v>1</v>
      </c>
      <c r="O722">
        <v>0.9</v>
      </c>
      <c r="P722" t="s">
        <v>115</v>
      </c>
      <c r="Q722">
        <v>0.9</v>
      </c>
      <c r="R722" t="s">
        <v>144</v>
      </c>
    </row>
    <row r="723" spans="1:18" x14ac:dyDescent="0.25">
      <c r="A723" t="s">
        <v>1078</v>
      </c>
      <c r="B723" s="2">
        <v>45468</v>
      </c>
      <c r="C723" t="s">
        <v>150</v>
      </c>
      <c r="D723" t="s">
        <v>159</v>
      </c>
      <c r="E723" t="s">
        <v>142</v>
      </c>
      <c r="F723">
        <v>0.81200000000000006</v>
      </c>
      <c r="G723">
        <v>0</v>
      </c>
      <c r="H723">
        <v>0</v>
      </c>
      <c r="I723">
        <v>5</v>
      </c>
      <c r="J723">
        <v>0</v>
      </c>
      <c r="K723">
        <v>0</v>
      </c>
      <c r="L723" t="s">
        <v>1079</v>
      </c>
      <c r="M723">
        <v>5</v>
      </c>
      <c r="N723">
        <v>0</v>
      </c>
      <c r="O723">
        <v>0.9</v>
      </c>
      <c r="P723" t="s">
        <v>115</v>
      </c>
      <c r="Q723">
        <v>0</v>
      </c>
      <c r="R723" t="s">
        <v>144</v>
      </c>
    </row>
    <row r="724" spans="1:18" x14ac:dyDescent="0.25">
      <c r="A724" t="s">
        <v>1080</v>
      </c>
      <c r="B724" s="2">
        <v>45468</v>
      </c>
      <c r="C724" t="s">
        <v>150</v>
      </c>
      <c r="D724" t="s">
        <v>159</v>
      </c>
      <c r="E724" t="s">
        <v>142</v>
      </c>
      <c r="F724">
        <v>3.601</v>
      </c>
      <c r="G724">
        <v>0</v>
      </c>
      <c r="H724">
        <v>0</v>
      </c>
      <c r="I724">
        <v>20</v>
      </c>
      <c r="J724">
        <v>0</v>
      </c>
      <c r="K724">
        <v>0</v>
      </c>
      <c r="L724" t="s">
        <v>143</v>
      </c>
      <c r="M724">
        <v>20</v>
      </c>
      <c r="N724">
        <v>1</v>
      </c>
      <c r="O724">
        <v>0.9</v>
      </c>
      <c r="P724" t="s">
        <v>115</v>
      </c>
      <c r="Q724">
        <v>0.9</v>
      </c>
      <c r="R724" t="s">
        <v>144</v>
      </c>
    </row>
    <row r="725" spans="1:18" x14ac:dyDescent="0.25">
      <c r="A725" t="s">
        <v>1081</v>
      </c>
      <c r="B725" s="2">
        <v>45469</v>
      </c>
      <c r="C725" t="s">
        <v>150</v>
      </c>
      <c r="D725" t="s">
        <v>159</v>
      </c>
      <c r="E725" t="s">
        <v>142</v>
      </c>
      <c r="F725">
        <v>10</v>
      </c>
      <c r="G725">
        <v>3.2360000000000002</v>
      </c>
      <c r="H725">
        <v>4.8540000000000001</v>
      </c>
      <c r="I725">
        <v>20</v>
      </c>
      <c r="J725">
        <v>0</v>
      </c>
      <c r="K725">
        <v>0</v>
      </c>
      <c r="L725" t="s">
        <v>143</v>
      </c>
      <c r="M725">
        <v>24.853999999999999</v>
      </c>
      <c r="N725">
        <v>1</v>
      </c>
      <c r="O725">
        <v>0.9</v>
      </c>
      <c r="P725" t="s">
        <v>115</v>
      </c>
      <c r="Q725">
        <v>0.9</v>
      </c>
      <c r="R725" t="s">
        <v>144</v>
      </c>
    </row>
    <row r="726" spans="1:18" x14ac:dyDescent="0.25">
      <c r="A726" t="s">
        <v>1082</v>
      </c>
      <c r="B726" s="2">
        <v>45469</v>
      </c>
      <c r="C726" t="s">
        <v>150</v>
      </c>
      <c r="D726" t="s">
        <v>159</v>
      </c>
      <c r="E726" t="s">
        <v>142</v>
      </c>
      <c r="F726">
        <v>1.9670000000000001</v>
      </c>
      <c r="G726">
        <v>0</v>
      </c>
      <c r="H726">
        <v>0</v>
      </c>
      <c r="I726">
        <v>20</v>
      </c>
      <c r="J726">
        <v>0</v>
      </c>
      <c r="K726">
        <v>0</v>
      </c>
      <c r="L726" t="s">
        <v>143</v>
      </c>
      <c r="M726">
        <v>20</v>
      </c>
      <c r="N726">
        <v>1</v>
      </c>
      <c r="O726">
        <v>0.9</v>
      </c>
      <c r="P726" t="s">
        <v>115</v>
      </c>
      <c r="Q726">
        <v>0.9</v>
      </c>
      <c r="R726" t="s">
        <v>144</v>
      </c>
    </row>
    <row r="727" spans="1:18" x14ac:dyDescent="0.25">
      <c r="A727" t="s">
        <v>1083</v>
      </c>
      <c r="B727" s="2">
        <v>45469</v>
      </c>
      <c r="C727" t="s">
        <v>150</v>
      </c>
      <c r="D727" t="s">
        <v>159</v>
      </c>
      <c r="E727" t="s">
        <v>142</v>
      </c>
      <c r="F727">
        <v>1.9670000000000001</v>
      </c>
      <c r="G727">
        <v>0</v>
      </c>
      <c r="H727">
        <v>0</v>
      </c>
      <c r="I727">
        <v>20</v>
      </c>
      <c r="J727">
        <v>0</v>
      </c>
      <c r="K727">
        <v>0</v>
      </c>
      <c r="L727" t="s">
        <v>143</v>
      </c>
      <c r="M727">
        <v>20</v>
      </c>
      <c r="N727">
        <v>1</v>
      </c>
      <c r="O727">
        <v>0.9</v>
      </c>
      <c r="P727" t="s">
        <v>115</v>
      </c>
      <c r="Q727">
        <v>0.9</v>
      </c>
      <c r="R727" t="s">
        <v>144</v>
      </c>
    </row>
    <row r="728" spans="1:18" x14ac:dyDescent="0.25">
      <c r="A728" t="s">
        <v>1084</v>
      </c>
      <c r="B728" s="2">
        <v>45469</v>
      </c>
      <c r="C728" t="s">
        <v>150</v>
      </c>
      <c r="D728" t="s">
        <v>159</v>
      </c>
      <c r="E728" t="s">
        <v>142</v>
      </c>
      <c r="F728">
        <v>10</v>
      </c>
      <c r="G728">
        <v>0.875</v>
      </c>
      <c r="H728">
        <v>1.3125</v>
      </c>
      <c r="I728">
        <v>20</v>
      </c>
      <c r="J728">
        <v>0</v>
      </c>
      <c r="K728">
        <v>0</v>
      </c>
      <c r="L728" t="s">
        <v>143</v>
      </c>
      <c r="M728">
        <v>21.3125</v>
      </c>
      <c r="N728">
        <v>1</v>
      </c>
      <c r="O728">
        <v>0.9</v>
      </c>
      <c r="P728" t="s">
        <v>115</v>
      </c>
      <c r="Q728">
        <v>0.9</v>
      </c>
      <c r="R728" t="s">
        <v>144</v>
      </c>
    </row>
    <row r="729" spans="1:18" x14ac:dyDescent="0.25">
      <c r="A729" t="s">
        <v>1085</v>
      </c>
      <c r="B729" s="2">
        <v>45469</v>
      </c>
      <c r="C729" t="s">
        <v>150</v>
      </c>
      <c r="D729" t="s">
        <v>159</v>
      </c>
      <c r="E729" t="s">
        <v>142</v>
      </c>
      <c r="F729">
        <v>4.0220000000000002</v>
      </c>
      <c r="G729">
        <v>0</v>
      </c>
      <c r="H729">
        <v>0</v>
      </c>
      <c r="I729">
        <v>20</v>
      </c>
      <c r="J729">
        <v>0</v>
      </c>
      <c r="K729">
        <v>0</v>
      </c>
      <c r="L729" t="s">
        <v>143</v>
      </c>
      <c r="M729">
        <v>20</v>
      </c>
      <c r="N729">
        <v>1</v>
      </c>
      <c r="O729">
        <v>0.9</v>
      </c>
      <c r="P729" t="s">
        <v>115</v>
      </c>
      <c r="Q729">
        <v>0.9</v>
      </c>
      <c r="R729" t="s">
        <v>144</v>
      </c>
    </row>
    <row r="730" spans="1:18" x14ac:dyDescent="0.25">
      <c r="A730" t="s">
        <v>1086</v>
      </c>
      <c r="B730" s="2">
        <v>45469</v>
      </c>
      <c r="C730" t="s">
        <v>150</v>
      </c>
      <c r="D730" t="s">
        <v>159</v>
      </c>
      <c r="E730" t="s">
        <v>142</v>
      </c>
      <c r="F730">
        <v>6.9640000000000004</v>
      </c>
      <c r="G730">
        <v>0</v>
      </c>
      <c r="H730">
        <v>0</v>
      </c>
      <c r="I730">
        <v>20</v>
      </c>
      <c r="J730">
        <v>0</v>
      </c>
      <c r="K730">
        <v>0</v>
      </c>
      <c r="L730" t="s">
        <v>143</v>
      </c>
      <c r="M730">
        <v>20</v>
      </c>
      <c r="N730">
        <v>1</v>
      </c>
      <c r="O730">
        <v>0.9</v>
      </c>
      <c r="P730" t="s">
        <v>115</v>
      </c>
      <c r="Q730">
        <v>0.9</v>
      </c>
      <c r="R730" t="s">
        <v>144</v>
      </c>
    </row>
    <row r="731" spans="1:18" x14ac:dyDescent="0.25">
      <c r="A731" t="s">
        <v>1087</v>
      </c>
      <c r="B731" s="2">
        <v>45469</v>
      </c>
      <c r="C731" t="s">
        <v>150</v>
      </c>
      <c r="D731" t="s">
        <v>159</v>
      </c>
      <c r="E731" t="s">
        <v>142</v>
      </c>
      <c r="F731">
        <v>7.36</v>
      </c>
      <c r="G731">
        <v>0</v>
      </c>
      <c r="H731">
        <v>0</v>
      </c>
      <c r="I731">
        <v>20</v>
      </c>
      <c r="J731">
        <v>0</v>
      </c>
      <c r="K731">
        <v>0</v>
      </c>
      <c r="L731" t="s">
        <v>143</v>
      </c>
      <c r="M731">
        <v>20</v>
      </c>
      <c r="N731">
        <v>1</v>
      </c>
      <c r="O731">
        <v>0.9</v>
      </c>
      <c r="P731" t="s">
        <v>115</v>
      </c>
      <c r="Q731">
        <v>0.9</v>
      </c>
      <c r="R731" t="s">
        <v>144</v>
      </c>
    </row>
    <row r="732" spans="1:18" x14ac:dyDescent="0.25">
      <c r="A732" t="s">
        <v>1088</v>
      </c>
      <c r="B732" s="2">
        <v>45469</v>
      </c>
      <c r="C732" t="s">
        <v>150</v>
      </c>
      <c r="D732" t="s">
        <v>159</v>
      </c>
      <c r="E732" t="s">
        <v>142</v>
      </c>
      <c r="F732">
        <v>4.0979999999999999</v>
      </c>
      <c r="G732">
        <v>0</v>
      </c>
      <c r="H732">
        <v>0</v>
      </c>
      <c r="I732">
        <v>20</v>
      </c>
      <c r="J732">
        <v>0</v>
      </c>
      <c r="K732">
        <v>0</v>
      </c>
      <c r="L732" t="s">
        <v>143</v>
      </c>
      <c r="M732">
        <v>20</v>
      </c>
      <c r="N732">
        <v>1</v>
      </c>
      <c r="O732">
        <v>0.9</v>
      </c>
      <c r="P732" t="s">
        <v>115</v>
      </c>
      <c r="Q732">
        <v>0.9</v>
      </c>
      <c r="R732" t="s">
        <v>144</v>
      </c>
    </row>
    <row r="733" spans="1:18" x14ac:dyDescent="0.25">
      <c r="A733" t="s">
        <v>1089</v>
      </c>
      <c r="B733" s="2">
        <v>45469</v>
      </c>
      <c r="C733" t="s">
        <v>150</v>
      </c>
      <c r="D733" t="s">
        <v>159</v>
      </c>
      <c r="E733" t="s">
        <v>142</v>
      </c>
      <c r="F733">
        <v>3.1829999999999998</v>
      </c>
      <c r="G733">
        <v>0</v>
      </c>
      <c r="H733">
        <v>0</v>
      </c>
      <c r="I733">
        <v>20</v>
      </c>
      <c r="J733">
        <v>0</v>
      </c>
      <c r="K733">
        <v>0</v>
      </c>
      <c r="L733" t="s">
        <v>143</v>
      </c>
      <c r="M733">
        <v>20</v>
      </c>
      <c r="N733">
        <v>1</v>
      </c>
      <c r="O733">
        <v>0.9</v>
      </c>
      <c r="P733" t="s">
        <v>115</v>
      </c>
      <c r="Q733">
        <v>0.9</v>
      </c>
      <c r="R733" t="s">
        <v>144</v>
      </c>
    </row>
    <row r="734" spans="1:18" x14ac:dyDescent="0.25">
      <c r="A734" t="s">
        <v>1090</v>
      </c>
      <c r="B734" s="2">
        <v>45469</v>
      </c>
      <c r="C734" t="s">
        <v>150</v>
      </c>
      <c r="D734" t="s">
        <v>159</v>
      </c>
      <c r="E734" t="s">
        <v>142</v>
      </c>
      <c r="F734">
        <v>4.6660000000000004</v>
      </c>
      <c r="G734">
        <v>0</v>
      </c>
      <c r="H734">
        <v>0</v>
      </c>
      <c r="I734">
        <v>20</v>
      </c>
      <c r="J734">
        <v>0</v>
      </c>
      <c r="K734">
        <v>0</v>
      </c>
      <c r="L734" t="s">
        <v>1091</v>
      </c>
      <c r="M734">
        <v>20</v>
      </c>
      <c r="N734">
        <v>1</v>
      </c>
      <c r="O734">
        <v>0.9</v>
      </c>
      <c r="P734" t="s">
        <v>115</v>
      </c>
      <c r="Q734">
        <v>0.9</v>
      </c>
      <c r="R734" t="s">
        <v>144</v>
      </c>
    </row>
    <row r="735" spans="1:18" x14ac:dyDescent="0.25">
      <c r="A735" t="s">
        <v>1092</v>
      </c>
      <c r="B735" s="2">
        <v>45469</v>
      </c>
      <c r="C735" t="s">
        <v>150</v>
      </c>
      <c r="D735" t="s">
        <v>159</v>
      </c>
      <c r="E735" t="s">
        <v>142</v>
      </c>
      <c r="F735">
        <v>10</v>
      </c>
      <c r="G735">
        <v>14.849</v>
      </c>
      <c r="H735">
        <v>22.273499999999999</v>
      </c>
      <c r="I735">
        <v>20</v>
      </c>
      <c r="J735">
        <v>0</v>
      </c>
      <c r="K735">
        <v>0</v>
      </c>
      <c r="L735" t="s">
        <v>1093</v>
      </c>
      <c r="M735">
        <v>42.273499999999999</v>
      </c>
      <c r="N735">
        <v>1</v>
      </c>
      <c r="O735">
        <v>0.9</v>
      </c>
      <c r="P735" t="s">
        <v>115</v>
      </c>
      <c r="Q735">
        <v>0.9</v>
      </c>
      <c r="R735" t="s">
        <v>144</v>
      </c>
    </row>
    <row r="736" spans="1:18" x14ac:dyDescent="0.25">
      <c r="A736" t="s">
        <v>1094</v>
      </c>
      <c r="B736" s="2">
        <v>45469</v>
      </c>
      <c r="C736" t="s">
        <v>150</v>
      </c>
      <c r="D736" t="s">
        <v>159</v>
      </c>
      <c r="E736" t="s">
        <v>142</v>
      </c>
      <c r="F736">
        <v>1.607</v>
      </c>
      <c r="G736">
        <v>0</v>
      </c>
      <c r="H736">
        <v>0</v>
      </c>
      <c r="I736">
        <v>20</v>
      </c>
      <c r="J736">
        <v>0</v>
      </c>
      <c r="K736">
        <v>0</v>
      </c>
      <c r="L736" t="s">
        <v>143</v>
      </c>
      <c r="M736">
        <v>20</v>
      </c>
      <c r="N736">
        <v>1</v>
      </c>
      <c r="O736">
        <v>0.9</v>
      </c>
      <c r="P736" t="s">
        <v>115</v>
      </c>
      <c r="Q736">
        <v>0.9</v>
      </c>
      <c r="R736" t="s">
        <v>144</v>
      </c>
    </row>
    <row r="737" spans="1:18" x14ac:dyDescent="0.25">
      <c r="A737" t="s">
        <v>1095</v>
      </c>
      <c r="B737" s="2">
        <v>45469</v>
      </c>
      <c r="C737" t="s">
        <v>150</v>
      </c>
      <c r="D737" t="s">
        <v>159</v>
      </c>
      <c r="E737" t="s">
        <v>142</v>
      </c>
      <c r="F737">
        <v>3.0270000000000001</v>
      </c>
      <c r="G737">
        <v>0</v>
      </c>
      <c r="H737">
        <v>0</v>
      </c>
      <c r="I737">
        <v>5</v>
      </c>
      <c r="J737">
        <v>0</v>
      </c>
      <c r="K737">
        <v>0</v>
      </c>
      <c r="L737" t="s">
        <v>1096</v>
      </c>
      <c r="M737">
        <v>5</v>
      </c>
      <c r="N737">
        <v>0</v>
      </c>
      <c r="O737">
        <v>0.9</v>
      </c>
      <c r="P737" t="s">
        <v>115</v>
      </c>
      <c r="Q737">
        <v>0</v>
      </c>
      <c r="R737" t="s">
        <v>144</v>
      </c>
    </row>
    <row r="738" spans="1:18" x14ac:dyDescent="0.25">
      <c r="A738" t="s">
        <v>1097</v>
      </c>
      <c r="B738" s="2">
        <v>45469</v>
      </c>
      <c r="C738" t="s">
        <v>150</v>
      </c>
      <c r="D738" t="s">
        <v>159</v>
      </c>
      <c r="E738" t="s">
        <v>142</v>
      </c>
      <c r="F738">
        <v>1.607</v>
      </c>
      <c r="G738">
        <v>0</v>
      </c>
      <c r="H738">
        <v>0</v>
      </c>
      <c r="I738">
        <v>20</v>
      </c>
      <c r="J738">
        <v>0</v>
      </c>
      <c r="K738">
        <v>0</v>
      </c>
      <c r="L738" t="s">
        <v>143</v>
      </c>
      <c r="M738">
        <v>20</v>
      </c>
      <c r="N738">
        <v>1</v>
      </c>
      <c r="O738">
        <v>0.9</v>
      </c>
      <c r="P738" t="s">
        <v>115</v>
      </c>
      <c r="Q738">
        <v>0.9</v>
      </c>
      <c r="R738" t="s">
        <v>144</v>
      </c>
    </row>
    <row r="739" spans="1:18" x14ac:dyDescent="0.25">
      <c r="A739" t="s">
        <v>1098</v>
      </c>
      <c r="B739" s="2">
        <v>45470</v>
      </c>
      <c r="C739" t="s">
        <v>150</v>
      </c>
      <c r="D739" t="s">
        <v>159</v>
      </c>
      <c r="E739" t="s">
        <v>142</v>
      </c>
      <c r="F739">
        <v>7.2709999999999999</v>
      </c>
      <c r="G739">
        <v>0</v>
      </c>
      <c r="H739">
        <v>0</v>
      </c>
      <c r="I739">
        <v>20</v>
      </c>
      <c r="J739">
        <v>0</v>
      </c>
      <c r="K739">
        <v>0</v>
      </c>
      <c r="L739" t="s">
        <v>143</v>
      </c>
      <c r="M739">
        <v>20</v>
      </c>
      <c r="N739">
        <v>1</v>
      </c>
      <c r="O739">
        <v>0.9</v>
      </c>
      <c r="P739" t="s">
        <v>115</v>
      </c>
      <c r="Q739">
        <v>0.9</v>
      </c>
      <c r="R739" t="s">
        <v>144</v>
      </c>
    </row>
    <row r="740" spans="1:18" x14ac:dyDescent="0.25">
      <c r="A740" t="s">
        <v>1099</v>
      </c>
      <c r="B740" s="2">
        <v>45470</v>
      </c>
      <c r="C740" t="s">
        <v>150</v>
      </c>
      <c r="D740" t="s">
        <v>159</v>
      </c>
      <c r="E740" t="s">
        <v>142</v>
      </c>
      <c r="F740">
        <v>3.7</v>
      </c>
      <c r="G740">
        <v>0</v>
      </c>
      <c r="H740">
        <v>0</v>
      </c>
      <c r="I740">
        <v>20</v>
      </c>
      <c r="J740">
        <v>0</v>
      </c>
      <c r="K740">
        <v>0</v>
      </c>
      <c r="L740" t="s">
        <v>143</v>
      </c>
      <c r="M740">
        <v>20</v>
      </c>
      <c r="N740">
        <v>1</v>
      </c>
      <c r="O740">
        <v>0.9</v>
      </c>
      <c r="P740" t="s">
        <v>115</v>
      </c>
      <c r="Q740">
        <v>0.9</v>
      </c>
      <c r="R740" t="s">
        <v>144</v>
      </c>
    </row>
    <row r="741" spans="1:18" x14ac:dyDescent="0.25">
      <c r="A741" t="s">
        <v>1100</v>
      </c>
      <c r="B741" s="2">
        <v>45470</v>
      </c>
      <c r="C741" t="s">
        <v>150</v>
      </c>
      <c r="D741" t="s">
        <v>159</v>
      </c>
      <c r="E741" t="s">
        <v>142</v>
      </c>
      <c r="F741">
        <v>10</v>
      </c>
      <c r="G741">
        <v>6.4870000000000001</v>
      </c>
      <c r="H741">
        <v>9.7304999999999993</v>
      </c>
      <c r="I741">
        <v>20</v>
      </c>
      <c r="J741">
        <v>0</v>
      </c>
      <c r="K741">
        <v>0</v>
      </c>
      <c r="L741" t="s">
        <v>143</v>
      </c>
      <c r="M741">
        <v>29.730499999999999</v>
      </c>
      <c r="N741">
        <v>1</v>
      </c>
      <c r="O741">
        <v>0.9</v>
      </c>
      <c r="P741" t="s">
        <v>115</v>
      </c>
      <c r="Q741">
        <v>0.9</v>
      </c>
      <c r="R741" t="s">
        <v>144</v>
      </c>
    </row>
    <row r="742" spans="1:18" x14ac:dyDescent="0.25">
      <c r="A742" t="s">
        <v>1101</v>
      </c>
      <c r="B742" s="2">
        <v>45470</v>
      </c>
      <c r="C742" t="s">
        <v>150</v>
      </c>
      <c r="D742" t="s">
        <v>159</v>
      </c>
      <c r="E742" t="s">
        <v>142</v>
      </c>
      <c r="F742">
        <v>5.8760000000000003</v>
      </c>
      <c r="G742">
        <v>0</v>
      </c>
      <c r="H742">
        <v>0</v>
      </c>
      <c r="I742">
        <v>20</v>
      </c>
      <c r="J742">
        <v>0</v>
      </c>
      <c r="K742">
        <v>0</v>
      </c>
      <c r="L742" t="s">
        <v>143</v>
      </c>
      <c r="M742">
        <v>20</v>
      </c>
      <c r="N742">
        <v>1</v>
      </c>
      <c r="O742">
        <v>0.9</v>
      </c>
      <c r="P742" t="s">
        <v>115</v>
      </c>
      <c r="Q742">
        <v>0.9</v>
      </c>
      <c r="R742" t="s">
        <v>144</v>
      </c>
    </row>
    <row r="743" spans="1:18" x14ac:dyDescent="0.25">
      <c r="A743" t="s">
        <v>1102</v>
      </c>
      <c r="B743" s="2">
        <v>45470</v>
      </c>
      <c r="C743" t="s">
        <v>150</v>
      </c>
      <c r="D743" t="s">
        <v>159</v>
      </c>
      <c r="E743" t="s">
        <v>142</v>
      </c>
      <c r="F743">
        <v>5.6150000000000002</v>
      </c>
      <c r="G743">
        <v>0</v>
      </c>
      <c r="H743">
        <v>0</v>
      </c>
      <c r="I743">
        <v>20</v>
      </c>
      <c r="J743">
        <v>0</v>
      </c>
      <c r="K743">
        <v>0</v>
      </c>
      <c r="L743" t="s">
        <v>143</v>
      </c>
      <c r="M743">
        <v>20</v>
      </c>
      <c r="N743">
        <v>1</v>
      </c>
      <c r="O743">
        <v>0.9</v>
      </c>
      <c r="P743" t="s">
        <v>115</v>
      </c>
      <c r="Q743">
        <v>0.9</v>
      </c>
      <c r="R743" t="s">
        <v>144</v>
      </c>
    </row>
    <row r="744" spans="1:18" x14ac:dyDescent="0.25">
      <c r="A744" t="s">
        <v>1103</v>
      </c>
      <c r="B744" s="2">
        <v>45470</v>
      </c>
      <c r="C744" t="s">
        <v>150</v>
      </c>
      <c r="D744" t="s">
        <v>159</v>
      </c>
      <c r="E744" t="s">
        <v>142</v>
      </c>
      <c r="F744">
        <v>2.7160000000000002</v>
      </c>
      <c r="G744">
        <v>0</v>
      </c>
      <c r="H744">
        <v>0</v>
      </c>
      <c r="I744">
        <v>20</v>
      </c>
      <c r="J744">
        <v>0</v>
      </c>
      <c r="K744">
        <v>0</v>
      </c>
      <c r="L744" t="s">
        <v>143</v>
      </c>
      <c r="M744">
        <v>20</v>
      </c>
      <c r="N744">
        <v>1</v>
      </c>
      <c r="O744">
        <v>0.9</v>
      </c>
      <c r="P744" t="s">
        <v>115</v>
      </c>
      <c r="Q744">
        <v>0.9</v>
      </c>
      <c r="R744" t="s">
        <v>144</v>
      </c>
    </row>
    <row r="745" spans="1:18" x14ac:dyDescent="0.25">
      <c r="A745" t="s">
        <v>1104</v>
      </c>
      <c r="B745" s="2">
        <v>45470</v>
      </c>
      <c r="C745" t="s">
        <v>150</v>
      </c>
      <c r="D745" t="s">
        <v>159</v>
      </c>
      <c r="E745" t="s">
        <v>142</v>
      </c>
      <c r="F745">
        <v>3.0710000000000002</v>
      </c>
      <c r="G745">
        <v>0</v>
      </c>
      <c r="H745">
        <v>0</v>
      </c>
      <c r="I745">
        <v>20</v>
      </c>
      <c r="J745">
        <v>0</v>
      </c>
      <c r="K745">
        <v>0</v>
      </c>
      <c r="L745" t="s">
        <v>143</v>
      </c>
      <c r="M745">
        <v>20</v>
      </c>
      <c r="N745">
        <v>1</v>
      </c>
      <c r="O745">
        <v>0.9</v>
      </c>
      <c r="P745" t="s">
        <v>115</v>
      </c>
      <c r="Q745">
        <v>0.9</v>
      </c>
      <c r="R745" t="s">
        <v>144</v>
      </c>
    </row>
    <row r="746" spans="1:18" x14ac:dyDescent="0.25">
      <c r="A746" t="s">
        <v>1105</v>
      </c>
      <c r="B746" s="2">
        <v>45470</v>
      </c>
      <c r="C746" t="s">
        <v>150</v>
      </c>
      <c r="D746" t="s">
        <v>159</v>
      </c>
      <c r="E746" t="s">
        <v>142</v>
      </c>
      <c r="F746">
        <v>0.871</v>
      </c>
      <c r="G746">
        <v>0</v>
      </c>
      <c r="H746">
        <v>0</v>
      </c>
      <c r="I746">
        <v>20</v>
      </c>
      <c r="J746">
        <v>0</v>
      </c>
      <c r="K746">
        <v>0</v>
      </c>
      <c r="L746" t="s">
        <v>143</v>
      </c>
      <c r="M746">
        <v>20</v>
      </c>
      <c r="N746">
        <v>1</v>
      </c>
      <c r="O746">
        <v>0.9</v>
      </c>
      <c r="P746" t="s">
        <v>115</v>
      </c>
      <c r="Q746">
        <v>0.9</v>
      </c>
      <c r="R746" t="s">
        <v>144</v>
      </c>
    </row>
    <row r="747" spans="1:18" x14ac:dyDescent="0.25">
      <c r="A747" t="s">
        <v>1106</v>
      </c>
      <c r="B747" s="2">
        <v>45470</v>
      </c>
      <c r="C747" t="s">
        <v>150</v>
      </c>
      <c r="D747" t="s">
        <v>159</v>
      </c>
      <c r="E747" t="s">
        <v>142</v>
      </c>
      <c r="F747">
        <v>1.2949999999999999</v>
      </c>
      <c r="G747">
        <v>0</v>
      </c>
      <c r="H747">
        <v>0</v>
      </c>
      <c r="I747">
        <v>20</v>
      </c>
      <c r="J747">
        <v>0</v>
      </c>
      <c r="K747">
        <v>0</v>
      </c>
      <c r="L747" t="s">
        <v>143</v>
      </c>
      <c r="M747">
        <v>20</v>
      </c>
      <c r="N747">
        <v>1</v>
      </c>
      <c r="O747">
        <v>0.9</v>
      </c>
      <c r="P747" t="s">
        <v>115</v>
      </c>
      <c r="Q747">
        <v>0.9</v>
      </c>
      <c r="R747" t="s">
        <v>144</v>
      </c>
    </row>
    <row r="748" spans="1:18" x14ac:dyDescent="0.25">
      <c r="A748" t="s">
        <v>1107</v>
      </c>
      <c r="B748" s="2">
        <v>45470</v>
      </c>
      <c r="C748" t="s">
        <v>150</v>
      </c>
      <c r="D748" t="s">
        <v>159</v>
      </c>
      <c r="E748" t="s">
        <v>142</v>
      </c>
      <c r="F748">
        <v>4.9800000000000004</v>
      </c>
      <c r="G748">
        <v>0</v>
      </c>
      <c r="H748">
        <v>0</v>
      </c>
      <c r="I748">
        <v>20</v>
      </c>
      <c r="J748">
        <v>0</v>
      </c>
      <c r="K748">
        <v>0</v>
      </c>
      <c r="L748" t="s">
        <v>143</v>
      </c>
      <c r="M748">
        <v>20</v>
      </c>
      <c r="N748">
        <v>1</v>
      </c>
      <c r="O748">
        <v>0.9</v>
      </c>
      <c r="P748" t="s">
        <v>115</v>
      </c>
      <c r="Q748">
        <v>0.9</v>
      </c>
      <c r="R748" t="s">
        <v>144</v>
      </c>
    </row>
    <row r="749" spans="1:18" x14ac:dyDescent="0.25">
      <c r="A749" t="s">
        <v>1108</v>
      </c>
      <c r="B749" s="2">
        <v>45470</v>
      </c>
      <c r="C749" t="s">
        <v>150</v>
      </c>
      <c r="D749" t="s">
        <v>159</v>
      </c>
      <c r="E749" t="s">
        <v>142</v>
      </c>
      <c r="F749">
        <v>5.2409999999999997</v>
      </c>
      <c r="G749">
        <v>0</v>
      </c>
      <c r="H749">
        <v>0</v>
      </c>
      <c r="I749">
        <v>20</v>
      </c>
      <c r="J749">
        <v>0</v>
      </c>
      <c r="K749">
        <v>0</v>
      </c>
      <c r="L749" t="s">
        <v>143</v>
      </c>
      <c r="M749">
        <v>20</v>
      </c>
      <c r="N749">
        <v>1</v>
      </c>
      <c r="O749">
        <v>0.9</v>
      </c>
      <c r="P749" t="s">
        <v>115</v>
      </c>
      <c r="Q749">
        <v>0.9</v>
      </c>
      <c r="R749" t="s">
        <v>144</v>
      </c>
    </row>
    <row r="750" spans="1:18" x14ac:dyDescent="0.25">
      <c r="A750" t="s">
        <v>1109</v>
      </c>
      <c r="B750" s="2">
        <v>45470</v>
      </c>
      <c r="C750" t="s">
        <v>150</v>
      </c>
      <c r="D750" t="s">
        <v>159</v>
      </c>
      <c r="E750" t="s">
        <v>142</v>
      </c>
      <c r="F750">
        <v>1.514</v>
      </c>
      <c r="G750">
        <v>0</v>
      </c>
      <c r="H750">
        <v>0</v>
      </c>
      <c r="I750">
        <v>20</v>
      </c>
      <c r="J750">
        <v>0</v>
      </c>
      <c r="K750">
        <v>0</v>
      </c>
      <c r="L750" t="s">
        <v>143</v>
      </c>
      <c r="M750">
        <v>20</v>
      </c>
      <c r="N750">
        <v>1</v>
      </c>
      <c r="O750">
        <v>0.9</v>
      </c>
      <c r="P750" t="s">
        <v>115</v>
      </c>
      <c r="Q750">
        <v>0.9</v>
      </c>
      <c r="R750" t="s">
        <v>144</v>
      </c>
    </row>
    <row r="751" spans="1:18" x14ac:dyDescent="0.25">
      <c r="A751" t="s">
        <v>1110</v>
      </c>
      <c r="B751" s="2">
        <v>45470</v>
      </c>
      <c r="C751" t="s">
        <v>150</v>
      </c>
      <c r="D751" t="s">
        <v>159</v>
      </c>
      <c r="E751" t="s">
        <v>142</v>
      </c>
      <c r="F751">
        <v>4.1180000000000003</v>
      </c>
      <c r="G751">
        <v>0</v>
      </c>
      <c r="H751">
        <v>0</v>
      </c>
      <c r="I751">
        <v>20</v>
      </c>
      <c r="J751">
        <v>0</v>
      </c>
      <c r="K751">
        <v>0</v>
      </c>
      <c r="L751" t="s">
        <v>143</v>
      </c>
      <c r="M751">
        <v>20</v>
      </c>
      <c r="N751">
        <v>1</v>
      </c>
      <c r="O751">
        <v>0.9</v>
      </c>
      <c r="P751" t="s">
        <v>115</v>
      </c>
      <c r="Q751">
        <v>0.9</v>
      </c>
      <c r="R751" t="s">
        <v>144</v>
      </c>
    </row>
    <row r="752" spans="1:18" x14ac:dyDescent="0.25">
      <c r="A752" t="s">
        <v>1111</v>
      </c>
      <c r="B752" s="2">
        <v>45470</v>
      </c>
      <c r="C752" t="s">
        <v>150</v>
      </c>
      <c r="D752" t="s">
        <v>159</v>
      </c>
      <c r="E752" t="s">
        <v>142</v>
      </c>
      <c r="F752">
        <v>3.1829999999999998</v>
      </c>
      <c r="G752">
        <v>0</v>
      </c>
      <c r="H752">
        <v>0</v>
      </c>
      <c r="I752">
        <v>20</v>
      </c>
      <c r="J752">
        <v>0</v>
      </c>
      <c r="K752">
        <v>0</v>
      </c>
      <c r="L752" t="s">
        <v>143</v>
      </c>
      <c r="M752">
        <v>20</v>
      </c>
      <c r="N752">
        <v>1</v>
      </c>
      <c r="O752">
        <v>0.9</v>
      </c>
      <c r="P752" t="s">
        <v>115</v>
      </c>
      <c r="Q752">
        <v>0.9</v>
      </c>
      <c r="R752" t="s">
        <v>144</v>
      </c>
    </row>
    <row r="753" spans="1:18" x14ac:dyDescent="0.25">
      <c r="A753" t="s">
        <v>1112</v>
      </c>
      <c r="B753" s="2">
        <v>45470</v>
      </c>
      <c r="C753" t="s">
        <v>150</v>
      </c>
      <c r="D753" t="s">
        <v>159</v>
      </c>
      <c r="E753" t="s">
        <v>142</v>
      </c>
      <c r="F753">
        <v>1.637</v>
      </c>
      <c r="G753">
        <v>0</v>
      </c>
      <c r="H753">
        <v>0</v>
      </c>
      <c r="I753">
        <v>20</v>
      </c>
      <c r="J753">
        <v>0</v>
      </c>
      <c r="K753">
        <v>0</v>
      </c>
      <c r="L753" t="s">
        <v>143</v>
      </c>
      <c r="M753">
        <v>20</v>
      </c>
      <c r="N753">
        <v>1</v>
      </c>
      <c r="O753">
        <v>0.9</v>
      </c>
      <c r="P753" t="s">
        <v>115</v>
      </c>
      <c r="Q753">
        <v>0.9</v>
      </c>
      <c r="R753" t="s">
        <v>144</v>
      </c>
    </row>
    <row r="754" spans="1:18" x14ac:dyDescent="0.25">
      <c r="A754" t="s">
        <v>1113</v>
      </c>
      <c r="B754" s="2">
        <v>45471</v>
      </c>
      <c r="C754" t="s">
        <v>150</v>
      </c>
      <c r="D754" t="s">
        <v>159</v>
      </c>
      <c r="E754" t="s">
        <v>142</v>
      </c>
      <c r="F754">
        <v>10</v>
      </c>
      <c r="G754">
        <v>2.1190000000000002</v>
      </c>
      <c r="H754">
        <v>3.1785000000000001</v>
      </c>
      <c r="I754">
        <v>20</v>
      </c>
      <c r="J754">
        <v>0</v>
      </c>
      <c r="K754">
        <v>0</v>
      </c>
      <c r="L754" t="s">
        <v>143</v>
      </c>
      <c r="M754">
        <v>23.1785</v>
      </c>
      <c r="N754">
        <v>1</v>
      </c>
      <c r="O754">
        <v>0.9</v>
      </c>
      <c r="P754" t="s">
        <v>115</v>
      </c>
      <c r="Q754">
        <v>0.9</v>
      </c>
      <c r="R754" t="s">
        <v>144</v>
      </c>
    </row>
    <row r="755" spans="1:18" x14ac:dyDescent="0.25">
      <c r="A755" t="s">
        <v>1114</v>
      </c>
      <c r="B755" s="2">
        <v>45471</v>
      </c>
      <c r="C755" t="s">
        <v>150</v>
      </c>
      <c r="D755" t="s">
        <v>159</v>
      </c>
      <c r="E755" t="s">
        <v>142</v>
      </c>
      <c r="F755">
        <v>2.4790000000000001</v>
      </c>
      <c r="G755">
        <v>0</v>
      </c>
      <c r="H755">
        <v>0</v>
      </c>
      <c r="I755">
        <v>20</v>
      </c>
      <c r="J755">
        <v>0</v>
      </c>
      <c r="K755">
        <v>0</v>
      </c>
      <c r="L755" t="s">
        <v>143</v>
      </c>
      <c r="M755">
        <v>20</v>
      </c>
      <c r="N755">
        <v>1</v>
      </c>
      <c r="O755">
        <v>0.9</v>
      </c>
      <c r="P755" t="s">
        <v>115</v>
      </c>
      <c r="Q755">
        <v>0.9</v>
      </c>
      <c r="R755" t="s">
        <v>144</v>
      </c>
    </row>
    <row r="756" spans="1:18" x14ac:dyDescent="0.25">
      <c r="A756" t="s">
        <v>1115</v>
      </c>
      <c r="B756" s="2">
        <v>45471</v>
      </c>
      <c r="C756" t="s">
        <v>150</v>
      </c>
      <c r="D756" t="s">
        <v>159</v>
      </c>
      <c r="E756" t="s">
        <v>142</v>
      </c>
      <c r="F756">
        <v>5.8609999999999998</v>
      </c>
      <c r="G756">
        <v>0</v>
      </c>
      <c r="H756">
        <v>0</v>
      </c>
      <c r="I756">
        <v>20</v>
      </c>
      <c r="J756">
        <v>0</v>
      </c>
      <c r="K756">
        <v>0</v>
      </c>
      <c r="L756" t="s">
        <v>143</v>
      </c>
      <c r="M756">
        <v>20</v>
      </c>
      <c r="N756">
        <v>1</v>
      </c>
      <c r="O756">
        <v>0.9</v>
      </c>
      <c r="P756" t="s">
        <v>115</v>
      </c>
      <c r="Q756">
        <v>0.9</v>
      </c>
      <c r="R756" t="s">
        <v>144</v>
      </c>
    </row>
    <row r="757" spans="1:18" x14ac:dyDescent="0.25">
      <c r="A757" t="s">
        <v>1116</v>
      </c>
      <c r="B757" s="2">
        <v>45471</v>
      </c>
      <c r="C757" t="s">
        <v>150</v>
      </c>
      <c r="D757" t="s">
        <v>159</v>
      </c>
      <c r="E757" t="s">
        <v>142</v>
      </c>
      <c r="F757">
        <v>4.0979999999999999</v>
      </c>
      <c r="G757">
        <v>0</v>
      </c>
      <c r="H757">
        <v>0</v>
      </c>
      <c r="I757">
        <v>20</v>
      </c>
      <c r="J757">
        <v>0</v>
      </c>
      <c r="K757">
        <v>0</v>
      </c>
      <c r="L757" t="s">
        <v>143</v>
      </c>
      <c r="M757">
        <v>20</v>
      </c>
      <c r="N757">
        <v>1</v>
      </c>
      <c r="O757">
        <v>0.9</v>
      </c>
      <c r="P757" t="s">
        <v>115</v>
      </c>
      <c r="Q757">
        <v>0.9</v>
      </c>
      <c r="R757" t="s">
        <v>144</v>
      </c>
    </row>
    <row r="758" spans="1:18" x14ac:dyDescent="0.25">
      <c r="A758" t="s">
        <v>1117</v>
      </c>
      <c r="B758" s="2">
        <v>45471</v>
      </c>
      <c r="C758" t="s">
        <v>150</v>
      </c>
      <c r="D758" t="s">
        <v>159</v>
      </c>
      <c r="E758" t="s">
        <v>142</v>
      </c>
      <c r="F758">
        <v>5.4829999999999997</v>
      </c>
      <c r="G758">
        <v>0</v>
      </c>
      <c r="H758">
        <v>0</v>
      </c>
      <c r="I758">
        <v>20</v>
      </c>
      <c r="J758">
        <v>0</v>
      </c>
      <c r="K758">
        <v>0</v>
      </c>
      <c r="L758" t="s">
        <v>143</v>
      </c>
      <c r="M758">
        <v>20</v>
      </c>
      <c r="N758">
        <v>1</v>
      </c>
      <c r="O758">
        <v>0.9</v>
      </c>
      <c r="P758" t="s">
        <v>115</v>
      </c>
      <c r="Q758">
        <v>0.9</v>
      </c>
      <c r="R758" t="s">
        <v>144</v>
      </c>
    </row>
    <row r="759" spans="1:18" x14ac:dyDescent="0.25">
      <c r="A759" t="s">
        <v>1118</v>
      </c>
      <c r="B759" s="2">
        <v>45471</v>
      </c>
      <c r="C759" t="s">
        <v>150</v>
      </c>
      <c r="D759" t="s">
        <v>159</v>
      </c>
      <c r="E759" t="s">
        <v>142</v>
      </c>
      <c r="F759">
        <v>5.2409999999999997</v>
      </c>
      <c r="G759">
        <v>0</v>
      </c>
      <c r="H759">
        <v>0</v>
      </c>
      <c r="I759">
        <v>20</v>
      </c>
      <c r="J759">
        <v>0</v>
      </c>
      <c r="K759">
        <v>0</v>
      </c>
      <c r="L759" t="s">
        <v>143</v>
      </c>
      <c r="M759">
        <v>20</v>
      </c>
      <c r="N759">
        <v>1</v>
      </c>
      <c r="O759">
        <v>0.9</v>
      </c>
      <c r="P759" t="s">
        <v>115</v>
      </c>
      <c r="Q759">
        <v>0.9</v>
      </c>
      <c r="R759" t="s">
        <v>144</v>
      </c>
    </row>
    <row r="760" spans="1:18" x14ac:dyDescent="0.25">
      <c r="A760" t="s">
        <v>1119</v>
      </c>
      <c r="B760" s="2">
        <v>45471</v>
      </c>
      <c r="C760" t="s">
        <v>150</v>
      </c>
      <c r="D760" t="s">
        <v>159</v>
      </c>
      <c r="E760" t="s">
        <v>142</v>
      </c>
      <c r="F760">
        <v>10</v>
      </c>
      <c r="G760">
        <v>10.746</v>
      </c>
      <c r="H760">
        <v>16.119</v>
      </c>
      <c r="I760">
        <v>20</v>
      </c>
      <c r="J760">
        <v>0</v>
      </c>
      <c r="K760">
        <v>0</v>
      </c>
      <c r="L760" t="s">
        <v>1120</v>
      </c>
      <c r="M760">
        <v>36.119</v>
      </c>
      <c r="N760">
        <v>1</v>
      </c>
      <c r="O760">
        <v>0.9</v>
      </c>
      <c r="P760" t="s">
        <v>115</v>
      </c>
      <c r="Q760">
        <v>0.9</v>
      </c>
      <c r="R760" t="s">
        <v>144</v>
      </c>
    </row>
    <row r="761" spans="1:18" x14ac:dyDescent="0.25">
      <c r="A761" t="s">
        <v>1121</v>
      </c>
      <c r="B761" s="2">
        <v>45471</v>
      </c>
      <c r="C761" t="s">
        <v>150</v>
      </c>
      <c r="D761" t="s">
        <v>159</v>
      </c>
      <c r="E761" t="s">
        <v>142</v>
      </c>
      <c r="F761">
        <v>5.9050000000000002</v>
      </c>
      <c r="G761">
        <v>0</v>
      </c>
      <c r="H761">
        <v>0</v>
      </c>
      <c r="I761">
        <v>20</v>
      </c>
      <c r="J761">
        <v>0</v>
      </c>
      <c r="K761">
        <v>0</v>
      </c>
      <c r="L761" t="s">
        <v>143</v>
      </c>
      <c r="M761">
        <v>20</v>
      </c>
      <c r="N761">
        <v>1</v>
      </c>
      <c r="O761">
        <v>0.9</v>
      </c>
      <c r="P761" t="s">
        <v>115</v>
      </c>
      <c r="Q761">
        <v>0.9</v>
      </c>
      <c r="R761" t="s">
        <v>144</v>
      </c>
    </row>
    <row r="762" spans="1:18" x14ac:dyDescent="0.25">
      <c r="A762" t="s">
        <v>1122</v>
      </c>
      <c r="B762" s="2">
        <v>45471</v>
      </c>
      <c r="C762" t="s">
        <v>150</v>
      </c>
      <c r="D762" t="s">
        <v>159</v>
      </c>
      <c r="E762" t="s">
        <v>142</v>
      </c>
      <c r="F762">
        <v>5.13</v>
      </c>
      <c r="G762">
        <v>0</v>
      </c>
      <c r="H762">
        <v>0</v>
      </c>
      <c r="I762">
        <v>20</v>
      </c>
      <c r="J762">
        <v>0</v>
      </c>
      <c r="K762">
        <v>0</v>
      </c>
      <c r="L762" t="s">
        <v>143</v>
      </c>
      <c r="M762">
        <v>20</v>
      </c>
      <c r="N762">
        <v>1</v>
      </c>
      <c r="O762">
        <v>0.9</v>
      </c>
      <c r="P762" t="s">
        <v>115</v>
      </c>
      <c r="Q762">
        <v>0.9</v>
      </c>
      <c r="R762" t="s">
        <v>144</v>
      </c>
    </row>
    <row r="763" spans="1:18" x14ac:dyDescent="0.25">
      <c r="A763" t="s">
        <v>1123</v>
      </c>
      <c r="B763" s="2">
        <v>45471</v>
      </c>
      <c r="C763" t="s">
        <v>150</v>
      </c>
      <c r="D763" t="s">
        <v>159</v>
      </c>
      <c r="E763" t="s">
        <v>142</v>
      </c>
      <c r="F763">
        <v>10</v>
      </c>
      <c r="G763">
        <v>1.4279999999999999</v>
      </c>
      <c r="H763">
        <v>2.1419999999999999</v>
      </c>
      <c r="I763">
        <v>20</v>
      </c>
      <c r="J763">
        <v>0</v>
      </c>
      <c r="K763">
        <v>0</v>
      </c>
      <c r="L763" t="s">
        <v>143</v>
      </c>
      <c r="M763">
        <v>22.141999999999999</v>
      </c>
      <c r="N763">
        <v>1</v>
      </c>
      <c r="O763">
        <v>0.9</v>
      </c>
      <c r="P763" t="s">
        <v>115</v>
      </c>
      <c r="Q763">
        <v>0.9</v>
      </c>
      <c r="R763" t="s">
        <v>144</v>
      </c>
    </row>
    <row r="764" spans="1:18" x14ac:dyDescent="0.25">
      <c r="A764" t="s">
        <v>1124</v>
      </c>
      <c r="B764" s="2">
        <v>45471</v>
      </c>
      <c r="C764" t="s">
        <v>150</v>
      </c>
      <c r="D764" t="s">
        <v>159</v>
      </c>
      <c r="E764" t="s">
        <v>142</v>
      </c>
      <c r="F764">
        <v>3.8</v>
      </c>
      <c r="G764">
        <v>0</v>
      </c>
      <c r="H764">
        <v>0</v>
      </c>
      <c r="I764">
        <v>20</v>
      </c>
      <c r="J764">
        <v>0</v>
      </c>
      <c r="K764">
        <v>0</v>
      </c>
      <c r="L764" t="s">
        <v>143</v>
      </c>
      <c r="M764">
        <v>20</v>
      </c>
      <c r="N764">
        <v>1</v>
      </c>
      <c r="O764">
        <v>0.9</v>
      </c>
      <c r="P764" t="s">
        <v>115</v>
      </c>
      <c r="Q764">
        <v>0.9</v>
      </c>
      <c r="R764" t="s">
        <v>144</v>
      </c>
    </row>
    <row r="765" spans="1:18" x14ac:dyDescent="0.25">
      <c r="A765" t="s">
        <v>1125</v>
      </c>
      <c r="B765" s="2">
        <v>45471</v>
      </c>
      <c r="C765" t="s">
        <v>150</v>
      </c>
      <c r="D765" t="s">
        <v>159</v>
      </c>
      <c r="E765" t="s">
        <v>142</v>
      </c>
      <c r="F765">
        <v>5.9009999999999998</v>
      </c>
      <c r="G765">
        <v>0</v>
      </c>
      <c r="H765">
        <v>0</v>
      </c>
      <c r="I765">
        <v>20</v>
      </c>
      <c r="J765">
        <v>0</v>
      </c>
      <c r="K765">
        <v>0</v>
      </c>
      <c r="L765" t="s">
        <v>143</v>
      </c>
      <c r="M765">
        <v>20</v>
      </c>
      <c r="N765">
        <v>1</v>
      </c>
      <c r="O765">
        <v>0.9</v>
      </c>
      <c r="P765" t="s">
        <v>115</v>
      </c>
      <c r="Q765">
        <v>0.9</v>
      </c>
      <c r="R765" t="s">
        <v>144</v>
      </c>
    </row>
    <row r="766" spans="1:18" x14ac:dyDescent="0.25">
      <c r="A766" t="s">
        <v>1126</v>
      </c>
      <c r="B766" s="2">
        <v>45471</v>
      </c>
      <c r="C766" t="s">
        <v>150</v>
      </c>
      <c r="D766" t="s">
        <v>159</v>
      </c>
      <c r="E766" t="s">
        <v>142</v>
      </c>
      <c r="F766">
        <v>10</v>
      </c>
      <c r="G766">
        <v>0.52699999999999902</v>
      </c>
      <c r="H766">
        <v>0.79049999999999998</v>
      </c>
      <c r="I766">
        <v>20</v>
      </c>
      <c r="J766">
        <v>0</v>
      </c>
      <c r="K766">
        <v>0</v>
      </c>
      <c r="L766" t="s">
        <v>143</v>
      </c>
      <c r="M766">
        <v>20.790500000000002</v>
      </c>
      <c r="N766">
        <v>1</v>
      </c>
      <c r="O766">
        <v>0.9</v>
      </c>
      <c r="P766" t="s">
        <v>115</v>
      </c>
      <c r="Q766">
        <v>0.9</v>
      </c>
      <c r="R766" t="s">
        <v>144</v>
      </c>
    </row>
    <row r="767" spans="1:18" x14ac:dyDescent="0.25">
      <c r="A767" t="s">
        <v>1127</v>
      </c>
      <c r="B767" s="2">
        <v>45471</v>
      </c>
      <c r="C767" t="s">
        <v>150</v>
      </c>
      <c r="D767" t="s">
        <v>159</v>
      </c>
      <c r="E767" t="s">
        <v>142</v>
      </c>
      <c r="F767">
        <v>0.96699999999999997</v>
      </c>
      <c r="G767">
        <v>0</v>
      </c>
      <c r="H767">
        <v>0</v>
      </c>
      <c r="I767">
        <v>20</v>
      </c>
      <c r="J767">
        <v>0</v>
      </c>
      <c r="K767">
        <v>0</v>
      </c>
      <c r="L767" t="s">
        <v>143</v>
      </c>
      <c r="M767">
        <v>20</v>
      </c>
      <c r="N767">
        <v>1</v>
      </c>
      <c r="O767">
        <v>0.9</v>
      </c>
      <c r="P767" t="s">
        <v>115</v>
      </c>
      <c r="Q767">
        <v>0.9</v>
      </c>
      <c r="R767" t="s">
        <v>144</v>
      </c>
    </row>
    <row r="768" spans="1:18" x14ac:dyDescent="0.25">
      <c r="A768" t="s">
        <v>1128</v>
      </c>
      <c r="B768" s="2">
        <v>45471</v>
      </c>
      <c r="C768" t="s">
        <v>150</v>
      </c>
      <c r="D768" t="s">
        <v>159</v>
      </c>
      <c r="E768" t="s">
        <v>142</v>
      </c>
      <c r="F768">
        <v>9.6129999999999995</v>
      </c>
      <c r="G768">
        <v>0</v>
      </c>
      <c r="H768">
        <v>0</v>
      </c>
      <c r="I768">
        <v>20</v>
      </c>
      <c r="J768">
        <v>0</v>
      </c>
      <c r="K768">
        <v>0</v>
      </c>
      <c r="L768" t="s">
        <v>143</v>
      </c>
      <c r="M768">
        <v>20</v>
      </c>
      <c r="N768">
        <v>1</v>
      </c>
      <c r="O768">
        <v>0.9</v>
      </c>
      <c r="P768" t="s">
        <v>115</v>
      </c>
      <c r="Q768">
        <v>0.9</v>
      </c>
      <c r="R768" t="s">
        <v>144</v>
      </c>
    </row>
    <row r="769" spans="1:18" x14ac:dyDescent="0.25">
      <c r="A769" t="s">
        <v>1129</v>
      </c>
      <c r="B769" s="2">
        <v>45471</v>
      </c>
      <c r="C769" t="s">
        <v>150</v>
      </c>
      <c r="D769" t="s">
        <v>159</v>
      </c>
      <c r="E769" t="s">
        <v>142</v>
      </c>
      <c r="F769">
        <v>1.76</v>
      </c>
      <c r="G769">
        <v>0</v>
      </c>
      <c r="H769">
        <v>0</v>
      </c>
      <c r="I769">
        <v>20</v>
      </c>
      <c r="J769">
        <v>0</v>
      </c>
      <c r="K769">
        <v>0</v>
      </c>
      <c r="L769" t="s">
        <v>143</v>
      </c>
      <c r="M769">
        <v>20</v>
      </c>
      <c r="N769">
        <v>1</v>
      </c>
      <c r="O769">
        <v>0.9</v>
      </c>
      <c r="P769" t="s">
        <v>115</v>
      </c>
      <c r="Q769">
        <v>0.9</v>
      </c>
      <c r="R769" t="s">
        <v>144</v>
      </c>
    </row>
    <row r="770" spans="1:18" x14ac:dyDescent="0.25">
      <c r="A770" t="s">
        <v>1130</v>
      </c>
      <c r="B770" s="2">
        <v>45472</v>
      </c>
      <c r="C770" t="s">
        <v>150</v>
      </c>
      <c r="D770" t="s">
        <v>159</v>
      </c>
      <c r="E770" t="s">
        <v>142</v>
      </c>
      <c r="F770">
        <v>0.86399999999999999</v>
      </c>
      <c r="G770">
        <v>0</v>
      </c>
      <c r="H770">
        <v>0</v>
      </c>
      <c r="I770">
        <v>20</v>
      </c>
      <c r="J770">
        <v>0</v>
      </c>
      <c r="K770">
        <v>0</v>
      </c>
      <c r="L770" t="s">
        <v>143</v>
      </c>
      <c r="M770">
        <v>20</v>
      </c>
      <c r="N770">
        <v>1</v>
      </c>
      <c r="O770">
        <v>0.9</v>
      </c>
      <c r="P770" t="s">
        <v>115</v>
      </c>
      <c r="Q770">
        <v>0.9</v>
      </c>
      <c r="R770" t="s">
        <v>144</v>
      </c>
    </row>
    <row r="771" spans="1:18" x14ac:dyDescent="0.25">
      <c r="A771" t="s">
        <v>1131</v>
      </c>
      <c r="B771" s="2">
        <v>45472</v>
      </c>
      <c r="C771" t="s">
        <v>150</v>
      </c>
      <c r="D771" t="s">
        <v>159</v>
      </c>
      <c r="E771" t="s">
        <v>142</v>
      </c>
      <c r="F771">
        <v>5.6150000000000002</v>
      </c>
      <c r="G771">
        <v>0</v>
      </c>
      <c r="H771">
        <v>0</v>
      </c>
      <c r="I771">
        <v>20</v>
      </c>
      <c r="J771">
        <v>0</v>
      </c>
      <c r="K771">
        <v>0</v>
      </c>
      <c r="L771" t="s">
        <v>143</v>
      </c>
      <c r="M771">
        <v>20</v>
      </c>
      <c r="N771">
        <v>1</v>
      </c>
      <c r="O771">
        <v>0.9</v>
      </c>
      <c r="P771" t="s">
        <v>115</v>
      </c>
      <c r="Q771">
        <v>0.9</v>
      </c>
      <c r="R771" t="s">
        <v>144</v>
      </c>
    </row>
    <row r="772" spans="1:18" x14ac:dyDescent="0.25">
      <c r="A772" t="s">
        <v>1132</v>
      </c>
      <c r="B772" s="2">
        <v>45472</v>
      </c>
      <c r="C772" t="s">
        <v>150</v>
      </c>
      <c r="D772" t="s">
        <v>159</v>
      </c>
      <c r="E772" t="s">
        <v>142</v>
      </c>
      <c r="F772">
        <v>1.7090000000000001</v>
      </c>
      <c r="G772">
        <v>0</v>
      </c>
      <c r="H772">
        <v>0</v>
      </c>
      <c r="I772">
        <v>5</v>
      </c>
      <c r="J772">
        <v>0</v>
      </c>
      <c r="K772">
        <v>0</v>
      </c>
      <c r="L772" t="s">
        <v>1133</v>
      </c>
      <c r="M772">
        <v>5</v>
      </c>
      <c r="N772">
        <v>0</v>
      </c>
      <c r="O772">
        <v>0.9</v>
      </c>
      <c r="P772" t="s">
        <v>115</v>
      </c>
      <c r="Q772">
        <v>0</v>
      </c>
      <c r="R772" t="s">
        <v>144</v>
      </c>
    </row>
    <row r="773" spans="1:18" x14ac:dyDescent="0.25">
      <c r="A773" t="s">
        <v>1134</v>
      </c>
      <c r="B773" s="2">
        <v>45472</v>
      </c>
      <c r="C773" t="s">
        <v>150</v>
      </c>
      <c r="D773" t="s">
        <v>159</v>
      </c>
      <c r="E773" t="s">
        <v>142</v>
      </c>
      <c r="F773">
        <v>7.7030000000000003</v>
      </c>
      <c r="G773">
        <v>0</v>
      </c>
      <c r="H773">
        <v>0</v>
      </c>
      <c r="I773">
        <v>20</v>
      </c>
      <c r="J773">
        <v>0</v>
      </c>
      <c r="K773">
        <v>0</v>
      </c>
      <c r="L773" t="s">
        <v>143</v>
      </c>
      <c r="M773">
        <v>20</v>
      </c>
      <c r="N773">
        <v>1</v>
      </c>
      <c r="O773">
        <v>0.9</v>
      </c>
      <c r="P773" t="s">
        <v>115</v>
      </c>
      <c r="Q773">
        <v>0.9</v>
      </c>
      <c r="R773" t="s">
        <v>144</v>
      </c>
    </row>
    <row r="774" spans="1:18" x14ac:dyDescent="0.25">
      <c r="A774" t="s">
        <v>1135</v>
      </c>
      <c r="B774" s="2">
        <v>45472</v>
      </c>
      <c r="C774" t="s">
        <v>150</v>
      </c>
      <c r="D774" t="s">
        <v>159</v>
      </c>
      <c r="E774" t="s">
        <v>142</v>
      </c>
      <c r="F774">
        <v>4.9800000000000004</v>
      </c>
      <c r="G774">
        <v>0</v>
      </c>
      <c r="H774">
        <v>0</v>
      </c>
      <c r="I774">
        <v>20</v>
      </c>
      <c r="J774">
        <v>0</v>
      </c>
      <c r="K774">
        <v>0</v>
      </c>
      <c r="L774" t="s">
        <v>143</v>
      </c>
      <c r="M774">
        <v>20</v>
      </c>
      <c r="N774">
        <v>1</v>
      </c>
      <c r="O774">
        <v>0.9</v>
      </c>
      <c r="P774" t="s">
        <v>115</v>
      </c>
      <c r="Q774">
        <v>0.9</v>
      </c>
      <c r="R774" t="s">
        <v>144</v>
      </c>
    </row>
    <row r="775" spans="1:18" x14ac:dyDescent="0.25">
      <c r="A775" t="s">
        <v>1136</v>
      </c>
      <c r="B775" s="2">
        <v>45472</v>
      </c>
      <c r="C775" t="s">
        <v>150</v>
      </c>
      <c r="D775" t="s">
        <v>159</v>
      </c>
      <c r="E775" t="s">
        <v>142</v>
      </c>
      <c r="F775">
        <v>5</v>
      </c>
      <c r="G775">
        <v>0</v>
      </c>
      <c r="H775">
        <v>0</v>
      </c>
      <c r="I775">
        <v>20</v>
      </c>
      <c r="J775">
        <v>0</v>
      </c>
      <c r="K775">
        <v>0</v>
      </c>
      <c r="L775" t="s">
        <v>143</v>
      </c>
      <c r="M775">
        <v>20</v>
      </c>
      <c r="N775">
        <v>1</v>
      </c>
      <c r="O775">
        <v>0.9</v>
      </c>
      <c r="P775" t="s">
        <v>115</v>
      </c>
      <c r="Q775">
        <v>0.9</v>
      </c>
      <c r="R775" t="s">
        <v>144</v>
      </c>
    </row>
    <row r="776" spans="1:18" x14ac:dyDescent="0.25">
      <c r="A776" t="s">
        <v>1137</v>
      </c>
      <c r="B776" s="2">
        <v>45472</v>
      </c>
      <c r="C776" t="s">
        <v>150</v>
      </c>
      <c r="D776" t="s">
        <v>159</v>
      </c>
      <c r="E776" t="s">
        <v>142</v>
      </c>
      <c r="F776">
        <v>1.0629999999999999</v>
      </c>
      <c r="G776">
        <v>0</v>
      </c>
      <c r="H776">
        <v>0</v>
      </c>
      <c r="I776">
        <v>20</v>
      </c>
      <c r="J776">
        <v>0</v>
      </c>
      <c r="K776">
        <v>0</v>
      </c>
      <c r="L776" t="s">
        <v>143</v>
      </c>
      <c r="M776">
        <v>20</v>
      </c>
      <c r="N776">
        <v>1</v>
      </c>
      <c r="O776">
        <v>0.9</v>
      </c>
      <c r="P776" t="s">
        <v>115</v>
      </c>
      <c r="Q776">
        <v>0.9</v>
      </c>
      <c r="R776" t="s">
        <v>144</v>
      </c>
    </row>
    <row r="777" spans="1:18" x14ac:dyDescent="0.25">
      <c r="A777" t="s">
        <v>1138</v>
      </c>
      <c r="B777" s="2">
        <v>45472</v>
      </c>
      <c r="C777" t="s">
        <v>150</v>
      </c>
      <c r="D777" t="s">
        <v>159</v>
      </c>
      <c r="E777" t="s">
        <v>142</v>
      </c>
      <c r="F777">
        <v>10</v>
      </c>
      <c r="G777">
        <v>0</v>
      </c>
      <c r="H777">
        <v>0</v>
      </c>
      <c r="I777">
        <v>20</v>
      </c>
      <c r="J777">
        <v>0</v>
      </c>
      <c r="K777">
        <v>0</v>
      </c>
      <c r="L777" t="s">
        <v>143</v>
      </c>
      <c r="M777">
        <v>20</v>
      </c>
      <c r="N777">
        <v>1</v>
      </c>
      <c r="O777">
        <v>0.9</v>
      </c>
      <c r="P777" t="s">
        <v>115</v>
      </c>
      <c r="Q777">
        <v>0.9</v>
      </c>
      <c r="R777" t="s">
        <v>144</v>
      </c>
    </row>
    <row r="778" spans="1:18" x14ac:dyDescent="0.25">
      <c r="A778" t="s">
        <v>1139</v>
      </c>
      <c r="B778" s="2">
        <v>45472</v>
      </c>
      <c r="C778" t="s">
        <v>150</v>
      </c>
      <c r="D778" t="s">
        <v>159</v>
      </c>
      <c r="E778" t="s">
        <v>142</v>
      </c>
      <c r="F778">
        <v>1.2949999999999999</v>
      </c>
      <c r="G778">
        <v>0</v>
      </c>
      <c r="H778">
        <v>0</v>
      </c>
      <c r="I778">
        <v>20</v>
      </c>
      <c r="J778">
        <v>0</v>
      </c>
      <c r="K778">
        <v>0</v>
      </c>
      <c r="L778" t="s">
        <v>143</v>
      </c>
      <c r="M778">
        <v>20</v>
      </c>
      <c r="N778">
        <v>1</v>
      </c>
      <c r="O778">
        <v>0.9</v>
      </c>
      <c r="P778" t="s">
        <v>115</v>
      </c>
      <c r="Q778">
        <v>0.9</v>
      </c>
      <c r="R778" t="s">
        <v>144</v>
      </c>
    </row>
    <row r="779" spans="1:18" x14ac:dyDescent="0.25">
      <c r="A779" t="s">
        <v>1140</v>
      </c>
      <c r="B779" s="2">
        <v>45472</v>
      </c>
      <c r="C779" t="s">
        <v>150</v>
      </c>
      <c r="D779" t="s">
        <v>159</v>
      </c>
      <c r="E779" t="s">
        <v>142</v>
      </c>
      <c r="F779">
        <v>2.08</v>
      </c>
      <c r="G779">
        <v>0</v>
      </c>
      <c r="H779">
        <v>0</v>
      </c>
      <c r="I779">
        <v>20</v>
      </c>
      <c r="J779">
        <v>0</v>
      </c>
      <c r="K779">
        <v>0</v>
      </c>
      <c r="L779" t="s">
        <v>143</v>
      </c>
      <c r="M779">
        <v>20</v>
      </c>
      <c r="N779">
        <v>1</v>
      </c>
      <c r="O779">
        <v>0.9</v>
      </c>
      <c r="P779" t="s">
        <v>115</v>
      </c>
      <c r="Q779">
        <v>0.9</v>
      </c>
      <c r="R779" t="s">
        <v>144</v>
      </c>
    </row>
    <row r="780" spans="1:18" x14ac:dyDescent="0.25">
      <c r="A780" t="s">
        <v>1141</v>
      </c>
      <c r="B780" s="2">
        <v>45472</v>
      </c>
      <c r="C780" t="s">
        <v>150</v>
      </c>
      <c r="D780" t="s">
        <v>159</v>
      </c>
      <c r="E780" t="s">
        <v>142</v>
      </c>
      <c r="F780">
        <v>7.5990000000000002</v>
      </c>
      <c r="G780">
        <v>0</v>
      </c>
      <c r="H780">
        <v>0</v>
      </c>
      <c r="I780">
        <v>20</v>
      </c>
      <c r="J780">
        <v>0</v>
      </c>
      <c r="K780">
        <v>0</v>
      </c>
      <c r="L780" t="s">
        <v>143</v>
      </c>
      <c r="M780">
        <v>20</v>
      </c>
      <c r="N780">
        <v>1</v>
      </c>
      <c r="O780">
        <v>0.9</v>
      </c>
      <c r="P780" t="s">
        <v>115</v>
      </c>
      <c r="Q780">
        <v>0.9</v>
      </c>
      <c r="R780" t="s">
        <v>144</v>
      </c>
    </row>
    <row r="781" spans="1:18" x14ac:dyDescent="0.25">
      <c r="A781" t="s">
        <v>1142</v>
      </c>
      <c r="B781" s="2">
        <v>45472</v>
      </c>
      <c r="C781" t="s">
        <v>150</v>
      </c>
      <c r="D781" t="s">
        <v>159</v>
      </c>
      <c r="E781" t="s">
        <v>142</v>
      </c>
      <c r="F781">
        <v>2.4769999999999999</v>
      </c>
      <c r="G781">
        <v>0</v>
      </c>
      <c r="H781">
        <v>0</v>
      </c>
      <c r="I781">
        <v>20</v>
      </c>
      <c r="J781">
        <v>0</v>
      </c>
      <c r="K781">
        <v>0</v>
      </c>
      <c r="L781" t="s">
        <v>143</v>
      </c>
      <c r="M781">
        <v>20</v>
      </c>
      <c r="N781">
        <v>1</v>
      </c>
      <c r="O781">
        <v>0.9</v>
      </c>
      <c r="P781" t="s">
        <v>115</v>
      </c>
      <c r="Q781">
        <v>0.9</v>
      </c>
      <c r="R781" t="s">
        <v>144</v>
      </c>
    </row>
    <row r="782" spans="1:18" x14ac:dyDescent="0.25">
      <c r="A782" t="s">
        <v>1143</v>
      </c>
      <c r="B782" s="2">
        <v>45472</v>
      </c>
      <c r="C782" t="s">
        <v>150</v>
      </c>
      <c r="D782" t="s">
        <v>159</v>
      </c>
      <c r="E782" t="s">
        <v>142</v>
      </c>
      <c r="F782">
        <v>2.5150000000000001</v>
      </c>
      <c r="G782">
        <v>0</v>
      </c>
      <c r="H782">
        <v>0</v>
      </c>
      <c r="I782">
        <v>20</v>
      </c>
      <c r="J782">
        <v>0</v>
      </c>
      <c r="K782">
        <v>0</v>
      </c>
      <c r="L782" t="s">
        <v>143</v>
      </c>
      <c r="M782">
        <v>20</v>
      </c>
      <c r="N782">
        <v>1</v>
      </c>
      <c r="O782">
        <v>0.9</v>
      </c>
      <c r="P782" t="s">
        <v>115</v>
      </c>
      <c r="Q782">
        <v>0.9</v>
      </c>
      <c r="R782" t="s">
        <v>144</v>
      </c>
    </row>
    <row r="783" spans="1:18" x14ac:dyDescent="0.25">
      <c r="A783" t="s">
        <v>1144</v>
      </c>
      <c r="B783" s="2">
        <v>45472</v>
      </c>
      <c r="C783" t="s">
        <v>150</v>
      </c>
      <c r="D783" t="s">
        <v>159</v>
      </c>
      <c r="E783" t="s">
        <v>142</v>
      </c>
      <c r="F783">
        <v>3.9689999999999999</v>
      </c>
      <c r="G783">
        <v>0</v>
      </c>
      <c r="H783">
        <v>0</v>
      </c>
      <c r="I783">
        <v>20</v>
      </c>
      <c r="J783">
        <v>0</v>
      </c>
      <c r="K783">
        <v>0</v>
      </c>
      <c r="L783" t="s">
        <v>143</v>
      </c>
      <c r="M783">
        <v>20</v>
      </c>
      <c r="N783">
        <v>1</v>
      </c>
      <c r="O783">
        <v>0.9</v>
      </c>
      <c r="P783" t="s">
        <v>115</v>
      </c>
      <c r="Q783">
        <v>0.9</v>
      </c>
      <c r="R783" t="s">
        <v>144</v>
      </c>
    </row>
    <row r="784" spans="1:18" x14ac:dyDescent="0.25">
      <c r="A784" t="s">
        <v>1145</v>
      </c>
      <c r="B784" s="2">
        <v>45460</v>
      </c>
      <c r="C784" t="s">
        <v>32</v>
      </c>
      <c r="D784" t="s">
        <v>118</v>
      </c>
      <c r="E784" t="s">
        <v>142</v>
      </c>
      <c r="F784">
        <v>0.68400000000000005</v>
      </c>
      <c r="G784">
        <v>0</v>
      </c>
      <c r="H784">
        <v>0</v>
      </c>
      <c r="I784">
        <v>20</v>
      </c>
      <c r="J784">
        <v>0</v>
      </c>
      <c r="K784">
        <v>0</v>
      </c>
      <c r="L784" t="s">
        <v>143</v>
      </c>
      <c r="M784">
        <v>20</v>
      </c>
      <c r="N784">
        <v>1</v>
      </c>
      <c r="O784">
        <v>0.9</v>
      </c>
      <c r="P784" t="s">
        <v>114</v>
      </c>
      <c r="Q784">
        <v>0.9</v>
      </c>
      <c r="R784" t="s">
        <v>144</v>
      </c>
    </row>
    <row r="785" spans="1:18" x14ac:dyDescent="0.25">
      <c r="A785" t="s">
        <v>1146</v>
      </c>
      <c r="B785" s="2">
        <v>45460</v>
      </c>
      <c r="C785" t="s">
        <v>32</v>
      </c>
      <c r="D785" t="s">
        <v>118</v>
      </c>
      <c r="E785" t="s">
        <v>142</v>
      </c>
      <c r="F785">
        <v>1.663</v>
      </c>
      <c r="G785">
        <v>0</v>
      </c>
      <c r="H785">
        <v>0</v>
      </c>
      <c r="I785">
        <v>20</v>
      </c>
      <c r="J785">
        <v>0</v>
      </c>
      <c r="K785">
        <v>0</v>
      </c>
      <c r="L785" t="s">
        <v>143</v>
      </c>
      <c r="M785">
        <v>20</v>
      </c>
      <c r="N785">
        <v>1</v>
      </c>
      <c r="O785">
        <v>0.9</v>
      </c>
      <c r="P785" t="s">
        <v>114</v>
      </c>
      <c r="Q785">
        <v>0.9</v>
      </c>
      <c r="R785" t="s">
        <v>144</v>
      </c>
    </row>
    <row r="786" spans="1:18" x14ac:dyDescent="0.25">
      <c r="A786" t="s">
        <v>1147</v>
      </c>
      <c r="B786" s="2">
        <v>45460</v>
      </c>
      <c r="C786" t="s">
        <v>32</v>
      </c>
      <c r="D786" t="s">
        <v>118</v>
      </c>
      <c r="E786" t="s">
        <v>142</v>
      </c>
      <c r="F786">
        <v>10</v>
      </c>
      <c r="G786">
        <v>2</v>
      </c>
      <c r="H786">
        <v>3</v>
      </c>
      <c r="I786">
        <v>20</v>
      </c>
      <c r="J786">
        <v>0</v>
      </c>
      <c r="K786">
        <v>0</v>
      </c>
      <c r="L786" t="s">
        <v>143</v>
      </c>
      <c r="M786">
        <v>23</v>
      </c>
      <c r="N786">
        <v>1</v>
      </c>
      <c r="O786">
        <v>0.9</v>
      </c>
      <c r="P786" t="s">
        <v>114</v>
      </c>
      <c r="Q786">
        <v>0.9</v>
      </c>
      <c r="R786" t="s">
        <v>144</v>
      </c>
    </row>
    <row r="787" spans="1:18" x14ac:dyDescent="0.25">
      <c r="A787" t="s">
        <v>1148</v>
      </c>
      <c r="B787" s="2">
        <v>45460</v>
      </c>
      <c r="C787" t="s">
        <v>32</v>
      </c>
      <c r="D787" t="s">
        <v>118</v>
      </c>
      <c r="E787" t="s">
        <v>142</v>
      </c>
      <c r="F787">
        <v>9.4339999999999993</v>
      </c>
      <c r="G787">
        <v>0</v>
      </c>
      <c r="H787">
        <v>0</v>
      </c>
      <c r="I787">
        <v>20</v>
      </c>
      <c r="J787">
        <v>0</v>
      </c>
      <c r="K787">
        <v>0</v>
      </c>
      <c r="L787" t="s">
        <v>143</v>
      </c>
      <c r="M787">
        <v>20</v>
      </c>
      <c r="N787">
        <v>1</v>
      </c>
      <c r="O787">
        <v>0.9</v>
      </c>
      <c r="P787" t="s">
        <v>114</v>
      </c>
      <c r="Q787">
        <v>0.9</v>
      </c>
      <c r="R787" t="s">
        <v>144</v>
      </c>
    </row>
    <row r="788" spans="1:18" x14ac:dyDescent="0.25">
      <c r="A788" t="s">
        <v>1149</v>
      </c>
      <c r="B788" s="2">
        <v>45460</v>
      </c>
      <c r="C788" t="s">
        <v>32</v>
      </c>
      <c r="D788" t="s">
        <v>118</v>
      </c>
      <c r="E788" t="s">
        <v>142</v>
      </c>
      <c r="F788">
        <v>10</v>
      </c>
      <c r="G788">
        <v>2.661</v>
      </c>
      <c r="H788">
        <v>3.9914999999999998</v>
      </c>
      <c r="I788">
        <v>20</v>
      </c>
      <c r="J788">
        <v>0</v>
      </c>
      <c r="K788">
        <v>0</v>
      </c>
      <c r="L788" t="s">
        <v>143</v>
      </c>
      <c r="M788">
        <v>23.991499999999998</v>
      </c>
      <c r="N788">
        <v>1</v>
      </c>
      <c r="O788">
        <v>0.9</v>
      </c>
      <c r="P788" t="s">
        <v>114</v>
      </c>
      <c r="Q788">
        <v>0.9</v>
      </c>
      <c r="R788" t="s">
        <v>144</v>
      </c>
    </row>
    <row r="789" spans="1:18" x14ac:dyDescent="0.25">
      <c r="A789" t="s">
        <v>1150</v>
      </c>
      <c r="B789" s="2">
        <v>45460</v>
      </c>
      <c r="C789" t="s">
        <v>32</v>
      </c>
      <c r="D789" t="s">
        <v>118</v>
      </c>
      <c r="E789" t="s">
        <v>142</v>
      </c>
      <c r="F789">
        <v>5.3789999999999996</v>
      </c>
      <c r="G789">
        <v>0</v>
      </c>
      <c r="H789">
        <v>0</v>
      </c>
      <c r="I789">
        <v>20</v>
      </c>
      <c r="J789">
        <v>0</v>
      </c>
      <c r="K789">
        <v>0</v>
      </c>
      <c r="L789" t="s">
        <v>1151</v>
      </c>
      <c r="M789">
        <v>20</v>
      </c>
      <c r="N789">
        <v>1</v>
      </c>
      <c r="O789">
        <v>0.9</v>
      </c>
      <c r="P789" t="s">
        <v>114</v>
      </c>
      <c r="Q789">
        <v>0.9</v>
      </c>
      <c r="R789" t="s">
        <v>144</v>
      </c>
    </row>
    <row r="790" spans="1:18" x14ac:dyDescent="0.25">
      <c r="A790" t="s">
        <v>1152</v>
      </c>
      <c r="B790" s="2">
        <v>45460</v>
      </c>
      <c r="C790" t="s">
        <v>32</v>
      </c>
      <c r="D790" t="s">
        <v>118</v>
      </c>
      <c r="E790" t="s">
        <v>142</v>
      </c>
      <c r="F790">
        <v>6.9420000000000002</v>
      </c>
      <c r="G790">
        <v>0</v>
      </c>
      <c r="H790">
        <v>0</v>
      </c>
      <c r="I790">
        <v>20</v>
      </c>
      <c r="J790">
        <v>0</v>
      </c>
      <c r="K790">
        <v>0</v>
      </c>
      <c r="L790" t="s">
        <v>143</v>
      </c>
      <c r="M790">
        <v>20</v>
      </c>
      <c r="N790">
        <v>1</v>
      </c>
      <c r="O790">
        <v>0.9</v>
      </c>
      <c r="P790" t="s">
        <v>114</v>
      </c>
      <c r="Q790">
        <v>0.9</v>
      </c>
      <c r="R790" t="s">
        <v>144</v>
      </c>
    </row>
    <row r="791" spans="1:18" x14ac:dyDescent="0.25">
      <c r="A791" t="s">
        <v>1153</v>
      </c>
      <c r="B791" s="2">
        <v>45460</v>
      </c>
      <c r="C791" t="s">
        <v>32</v>
      </c>
      <c r="D791" t="s">
        <v>118</v>
      </c>
      <c r="E791" t="s">
        <v>142</v>
      </c>
      <c r="F791">
        <v>6.8940000000000001</v>
      </c>
      <c r="G791">
        <v>0</v>
      </c>
      <c r="H791">
        <v>0</v>
      </c>
      <c r="I791">
        <v>20</v>
      </c>
      <c r="J791">
        <v>0</v>
      </c>
      <c r="K791">
        <v>0</v>
      </c>
      <c r="L791" t="s">
        <v>143</v>
      </c>
      <c r="M791">
        <v>20</v>
      </c>
      <c r="N791">
        <v>1</v>
      </c>
      <c r="O791">
        <v>0.9</v>
      </c>
      <c r="P791" t="s">
        <v>114</v>
      </c>
      <c r="Q791">
        <v>0.9</v>
      </c>
      <c r="R791" t="s">
        <v>144</v>
      </c>
    </row>
    <row r="792" spans="1:18" x14ac:dyDescent="0.25">
      <c r="A792" t="s">
        <v>1154</v>
      </c>
      <c r="B792" s="2">
        <v>45460</v>
      </c>
      <c r="C792" t="s">
        <v>32</v>
      </c>
      <c r="D792" t="s">
        <v>118</v>
      </c>
      <c r="E792" t="s">
        <v>142</v>
      </c>
      <c r="F792">
        <v>10</v>
      </c>
      <c r="G792">
        <v>23.632000000000001</v>
      </c>
      <c r="H792">
        <v>0</v>
      </c>
      <c r="I792">
        <v>5</v>
      </c>
      <c r="J792">
        <v>0</v>
      </c>
      <c r="K792">
        <v>0</v>
      </c>
      <c r="L792" t="s">
        <v>1155</v>
      </c>
      <c r="M792">
        <v>5</v>
      </c>
      <c r="N792">
        <v>0</v>
      </c>
      <c r="O792">
        <v>0.9</v>
      </c>
      <c r="P792" t="s">
        <v>114</v>
      </c>
      <c r="Q792">
        <v>0</v>
      </c>
      <c r="R792" t="s">
        <v>144</v>
      </c>
    </row>
    <row r="793" spans="1:18" x14ac:dyDescent="0.25">
      <c r="A793" t="s">
        <v>1156</v>
      </c>
      <c r="B793" s="2">
        <v>45460</v>
      </c>
      <c r="C793" t="s">
        <v>32</v>
      </c>
      <c r="D793" t="s">
        <v>118</v>
      </c>
      <c r="E793" t="s">
        <v>142</v>
      </c>
      <c r="F793">
        <v>4</v>
      </c>
      <c r="G793">
        <v>0</v>
      </c>
      <c r="H793">
        <v>0</v>
      </c>
      <c r="I793">
        <v>20</v>
      </c>
      <c r="J793">
        <v>0</v>
      </c>
      <c r="K793">
        <v>0</v>
      </c>
      <c r="L793" t="s">
        <v>143</v>
      </c>
      <c r="M793">
        <v>20</v>
      </c>
      <c r="N793">
        <v>1</v>
      </c>
      <c r="O793">
        <v>0.9</v>
      </c>
      <c r="P793" t="s">
        <v>114</v>
      </c>
      <c r="Q793">
        <v>0.9</v>
      </c>
      <c r="R793" t="s">
        <v>144</v>
      </c>
    </row>
    <row r="794" spans="1:18" x14ac:dyDescent="0.25">
      <c r="A794" t="s">
        <v>1157</v>
      </c>
      <c r="B794" s="2">
        <v>45461</v>
      </c>
      <c r="C794" t="s">
        <v>32</v>
      </c>
      <c r="D794" t="s">
        <v>117</v>
      </c>
      <c r="E794" t="s">
        <v>142</v>
      </c>
      <c r="F794">
        <v>10</v>
      </c>
      <c r="G794">
        <v>0.79100000000000004</v>
      </c>
      <c r="H794">
        <v>1.1865000000000001</v>
      </c>
      <c r="I794">
        <v>20</v>
      </c>
      <c r="J794">
        <v>0</v>
      </c>
      <c r="K794">
        <v>0</v>
      </c>
      <c r="L794" t="s">
        <v>143</v>
      </c>
      <c r="M794">
        <v>21.186499999999999</v>
      </c>
      <c r="N794">
        <v>1</v>
      </c>
      <c r="O794">
        <v>0.9</v>
      </c>
      <c r="P794" t="s">
        <v>114</v>
      </c>
      <c r="Q794">
        <v>0.9</v>
      </c>
      <c r="R794" t="s">
        <v>144</v>
      </c>
    </row>
    <row r="795" spans="1:18" x14ac:dyDescent="0.25">
      <c r="A795" t="s">
        <v>1158</v>
      </c>
      <c r="B795" s="2">
        <v>45461</v>
      </c>
      <c r="C795" t="s">
        <v>32</v>
      </c>
      <c r="D795" t="s">
        <v>117</v>
      </c>
      <c r="E795" t="s">
        <v>142</v>
      </c>
      <c r="F795">
        <v>10</v>
      </c>
      <c r="G795">
        <v>28.710999999999999</v>
      </c>
      <c r="H795">
        <v>43.066499999999998</v>
      </c>
      <c r="I795">
        <v>20</v>
      </c>
      <c r="J795">
        <v>0</v>
      </c>
      <c r="K795">
        <v>0</v>
      </c>
      <c r="L795" t="s">
        <v>143</v>
      </c>
      <c r="M795">
        <v>63.066499999999998</v>
      </c>
      <c r="N795">
        <v>1</v>
      </c>
      <c r="O795">
        <v>0.9</v>
      </c>
      <c r="P795" t="s">
        <v>114</v>
      </c>
      <c r="Q795">
        <v>0.9</v>
      </c>
      <c r="R795" t="s">
        <v>144</v>
      </c>
    </row>
    <row r="796" spans="1:18" x14ac:dyDescent="0.25">
      <c r="A796" t="s">
        <v>1159</v>
      </c>
      <c r="B796" s="2">
        <v>45461</v>
      </c>
      <c r="C796" t="s">
        <v>32</v>
      </c>
      <c r="D796" t="s">
        <v>117</v>
      </c>
      <c r="E796" t="s">
        <v>142</v>
      </c>
      <c r="F796">
        <v>10</v>
      </c>
      <c r="G796">
        <v>2.0449999999999999</v>
      </c>
      <c r="H796">
        <v>3.0674999999999999</v>
      </c>
      <c r="I796">
        <v>20</v>
      </c>
      <c r="J796">
        <v>0</v>
      </c>
      <c r="K796">
        <v>0</v>
      </c>
      <c r="L796" t="s">
        <v>1160</v>
      </c>
      <c r="M796">
        <v>23.067499999999999</v>
      </c>
      <c r="N796">
        <v>1</v>
      </c>
      <c r="O796">
        <v>0.9</v>
      </c>
      <c r="P796" t="s">
        <v>114</v>
      </c>
      <c r="Q796">
        <v>0.9</v>
      </c>
      <c r="R796" t="s">
        <v>144</v>
      </c>
    </row>
    <row r="797" spans="1:18" x14ac:dyDescent="0.25">
      <c r="A797" t="s">
        <v>1161</v>
      </c>
      <c r="B797" s="2">
        <v>45461</v>
      </c>
      <c r="C797" t="s">
        <v>32</v>
      </c>
      <c r="D797" t="s">
        <v>117</v>
      </c>
      <c r="E797" t="s">
        <v>142</v>
      </c>
      <c r="F797">
        <v>5.2590000000000003</v>
      </c>
      <c r="G797">
        <v>0</v>
      </c>
      <c r="H797">
        <v>0</v>
      </c>
      <c r="I797">
        <v>20</v>
      </c>
      <c r="J797">
        <v>0</v>
      </c>
      <c r="K797">
        <v>0</v>
      </c>
      <c r="L797" t="s">
        <v>143</v>
      </c>
      <c r="M797">
        <v>20</v>
      </c>
      <c r="N797">
        <v>1</v>
      </c>
      <c r="O797">
        <v>0.9</v>
      </c>
      <c r="P797" t="s">
        <v>114</v>
      </c>
      <c r="Q797">
        <v>0.9</v>
      </c>
      <c r="R797" t="s">
        <v>144</v>
      </c>
    </row>
    <row r="798" spans="1:18" x14ac:dyDescent="0.25">
      <c r="A798" t="s">
        <v>1162</v>
      </c>
      <c r="B798" s="2">
        <v>45461</v>
      </c>
      <c r="C798" t="s">
        <v>32</v>
      </c>
      <c r="D798" t="s">
        <v>117</v>
      </c>
      <c r="E798" t="s">
        <v>142</v>
      </c>
      <c r="F798">
        <v>5.8140000000000001</v>
      </c>
      <c r="G798">
        <v>0</v>
      </c>
      <c r="H798">
        <v>0</v>
      </c>
      <c r="I798">
        <v>20</v>
      </c>
      <c r="J798">
        <v>0</v>
      </c>
      <c r="K798">
        <v>0</v>
      </c>
      <c r="L798" t="s">
        <v>143</v>
      </c>
      <c r="M798">
        <v>20</v>
      </c>
      <c r="N798">
        <v>1</v>
      </c>
      <c r="O798">
        <v>0.9</v>
      </c>
      <c r="P798" t="s">
        <v>114</v>
      </c>
      <c r="Q798">
        <v>0.9</v>
      </c>
      <c r="R798" t="s">
        <v>144</v>
      </c>
    </row>
    <row r="799" spans="1:18" x14ac:dyDescent="0.25">
      <c r="A799" t="s">
        <v>1163</v>
      </c>
      <c r="B799" s="2">
        <v>45461</v>
      </c>
      <c r="C799" t="s">
        <v>32</v>
      </c>
      <c r="D799" t="s">
        <v>118</v>
      </c>
      <c r="E799" t="s">
        <v>142</v>
      </c>
      <c r="F799">
        <v>5.38</v>
      </c>
      <c r="G799">
        <v>0</v>
      </c>
      <c r="H799">
        <v>0</v>
      </c>
      <c r="I799">
        <v>20</v>
      </c>
      <c r="J799">
        <v>0</v>
      </c>
      <c r="K799">
        <v>0</v>
      </c>
      <c r="L799" t="s">
        <v>143</v>
      </c>
      <c r="M799">
        <v>20</v>
      </c>
      <c r="N799">
        <v>1</v>
      </c>
      <c r="O799">
        <v>0.9</v>
      </c>
      <c r="P799" t="s">
        <v>114</v>
      </c>
      <c r="Q799">
        <v>0.9</v>
      </c>
      <c r="R799" t="s">
        <v>144</v>
      </c>
    </row>
    <row r="800" spans="1:18" x14ac:dyDescent="0.25">
      <c r="A800" t="s">
        <v>1164</v>
      </c>
      <c r="B800" s="2">
        <v>45461</v>
      </c>
      <c r="C800" t="s">
        <v>32</v>
      </c>
      <c r="D800" t="s">
        <v>118</v>
      </c>
      <c r="E800" t="s">
        <v>142</v>
      </c>
      <c r="F800">
        <v>10</v>
      </c>
      <c r="G800">
        <v>10.618</v>
      </c>
      <c r="H800">
        <v>15.927</v>
      </c>
      <c r="I800">
        <v>20</v>
      </c>
      <c r="J800">
        <v>0</v>
      </c>
      <c r="K800">
        <v>0</v>
      </c>
      <c r="L800" t="s">
        <v>143</v>
      </c>
      <c r="M800">
        <v>35.927</v>
      </c>
      <c r="N800">
        <v>1</v>
      </c>
      <c r="O800">
        <v>0.9</v>
      </c>
      <c r="P800" t="s">
        <v>114</v>
      </c>
      <c r="Q800">
        <v>0.9</v>
      </c>
      <c r="R800" t="s">
        <v>144</v>
      </c>
    </row>
    <row r="801" spans="1:18" x14ac:dyDescent="0.25">
      <c r="A801" t="s">
        <v>1165</v>
      </c>
      <c r="B801" s="2">
        <v>45461</v>
      </c>
      <c r="C801" t="s">
        <v>32</v>
      </c>
      <c r="D801" t="s">
        <v>118</v>
      </c>
      <c r="E801" t="s">
        <v>142</v>
      </c>
      <c r="F801">
        <v>7.1669999999999998</v>
      </c>
      <c r="G801">
        <v>0</v>
      </c>
      <c r="H801">
        <v>0</v>
      </c>
      <c r="I801">
        <v>20</v>
      </c>
      <c r="J801">
        <v>0</v>
      </c>
      <c r="K801">
        <v>0</v>
      </c>
      <c r="L801" t="s">
        <v>143</v>
      </c>
      <c r="M801">
        <v>20</v>
      </c>
      <c r="N801">
        <v>1</v>
      </c>
      <c r="O801">
        <v>0.9</v>
      </c>
      <c r="P801" t="s">
        <v>114</v>
      </c>
      <c r="Q801">
        <v>0.9</v>
      </c>
      <c r="R801" t="s">
        <v>144</v>
      </c>
    </row>
    <row r="802" spans="1:18" x14ac:dyDescent="0.25">
      <c r="A802" t="s">
        <v>1166</v>
      </c>
      <c r="B802" s="2">
        <v>45461</v>
      </c>
      <c r="C802" t="s">
        <v>32</v>
      </c>
      <c r="D802" t="s">
        <v>118</v>
      </c>
      <c r="E802" t="s">
        <v>142</v>
      </c>
      <c r="F802">
        <v>6.3109999999999999</v>
      </c>
      <c r="G802">
        <v>0</v>
      </c>
      <c r="H802">
        <v>0</v>
      </c>
      <c r="I802">
        <v>20</v>
      </c>
      <c r="J802">
        <v>0</v>
      </c>
      <c r="K802">
        <v>0</v>
      </c>
      <c r="L802" t="s">
        <v>143</v>
      </c>
      <c r="M802">
        <v>20</v>
      </c>
      <c r="N802">
        <v>1</v>
      </c>
      <c r="O802">
        <v>0.9</v>
      </c>
      <c r="P802" t="s">
        <v>114</v>
      </c>
      <c r="Q802">
        <v>0.9</v>
      </c>
      <c r="R802" t="s">
        <v>144</v>
      </c>
    </row>
    <row r="803" spans="1:18" x14ac:dyDescent="0.25">
      <c r="A803" t="s">
        <v>1167</v>
      </c>
      <c r="B803" s="2">
        <v>45461</v>
      </c>
      <c r="C803" t="s">
        <v>32</v>
      </c>
      <c r="D803" t="s">
        <v>118</v>
      </c>
      <c r="E803" t="s">
        <v>142</v>
      </c>
      <c r="F803">
        <v>10</v>
      </c>
      <c r="G803">
        <v>28.202999999999999</v>
      </c>
      <c r="H803">
        <v>42.304499999999997</v>
      </c>
      <c r="I803">
        <v>20</v>
      </c>
      <c r="J803">
        <v>0</v>
      </c>
      <c r="K803">
        <v>0</v>
      </c>
      <c r="L803" t="s">
        <v>143</v>
      </c>
      <c r="M803">
        <v>62.304499999999997</v>
      </c>
      <c r="N803">
        <v>1</v>
      </c>
      <c r="O803">
        <v>0.9</v>
      </c>
      <c r="P803" t="s">
        <v>114</v>
      </c>
      <c r="Q803">
        <v>0.9</v>
      </c>
      <c r="R803" t="s">
        <v>144</v>
      </c>
    </row>
    <row r="804" spans="1:18" x14ac:dyDescent="0.25">
      <c r="A804" t="s">
        <v>1168</v>
      </c>
      <c r="B804" s="2">
        <v>45461</v>
      </c>
      <c r="C804" t="s">
        <v>32</v>
      </c>
      <c r="D804" t="s">
        <v>118</v>
      </c>
      <c r="E804" t="s">
        <v>142</v>
      </c>
      <c r="F804">
        <v>6.875</v>
      </c>
      <c r="G804">
        <v>0</v>
      </c>
      <c r="H804">
        <v>0</v>
      </c>
      <c r="I804">
        <v>20</v>
      </c>
      <c r="J804">
        <v>0</v>
      </c>
      <c r="K804">
        <v>0</v>
      </c>
      <c r="L804" t="s">
        <v>143</v>
      </c>
      <c r="M804">
        <v>20</v>
      </c>
      <c r="N804">
        <v>1</v>
      </c>
      <c r="O804">
        <v>0.9</v>
      </c>
      <c r="P804" t="s">
        <v>114</v>
      </c>
      <c r="Q804">
        <v>0.9</v>
      </c>
      <c r="R804" t="s">
        <v>144</v>
      </c>
    </row>
    <row r="805" spans="1:18" x14ac:dyDescent="0.25">
      <c r="A805" t="s">
        <v>1169</v>
      </c>
      <c r="B805" s="2">
        <v>45461</v>
      </c>
      <c r="C805" t="s">
        <v>32</v>
      </c>
      <c r="D805" t="s">
        <v>118</v>
      </c>
      <c r="E805" t="s">
        <v>142</v>
      </c>
      <c r="F805">
        <v>10</v>
      </c>
      <c r="G805">
        <v>2.9569999999999999</v>
      </c>
      <c r="H805">
        <v>4.4355000000000002</v>
      </c>
      <c r="I805">
        <v>20</v>
      </c>
      <c r="J805">
        <v>0</v>
      </c>
      <c r="K805">
        <v>0</v>
      </c>
      <c r="L805" t="s">
        <v>143</v>
      </c>
      <c r="M805">
        <v>24.435500000000001</v>
      </c>
      <c r="N805">
        <v>1</v>
      </c>
      <c r="O805">
        <v>0.9</v>
      </c>
      <c r="P805" t="s">
        <v>114</v>
      </c>
      <c r="Q805">
        <v>0.9</v>
      </c>
      <c r="R805" t="s">
        <v>144</v>
      </c>
    </row>
    <row r="806" spans="1:18" x14ac:dyDescent="0.25">
      <c r="A806" t="s">
        <v>1170</v>
      </c>
      <c r="B806" s="2">
        <v>45461</v>
      </c>
      <c r="C806" t="s">
        <v>32</v>
      </c>
      <c r="D806" t="s">
        <v>118</v>
      </c>
      <c r="E806" t="s">
        <v>142</v>
      </c>
      <c r="F806">
        <v>1.655</v>
      </c>
      <c r="G806">
        <v>0</v>
      </c>
      <c r="H806">
        <v>0</v>
      </c>
      <c r="I806">
        <v>20</v>
      </c>
      <c r="J806">
        <v>0</v>
      </c>
      <c r="K806">
        <v>0</v>
      </c>
      <c r="L806" t="s">
        <v>143</v>
      </c>
      <c r="M806">
        <v>20</v>
      </c>
      <c r="N806">
        <v>1</v>
      </c>
      <c r="O806">
        <v>0.9</v>
      </c>
      <c r="P806" t="s">
        <v>114</v>
      </c>
      <c r="Q806">
        <v>0.9</v>
      </c>
      <c r="R806" t="s">
        <v>144</v>
      </c>
    </row>
    <row r="807" spans="1:18" x14ac:dyDescent="0.25">
      <c r="A807" t="s">
        <v>1171</v>
      </c>
      <c r="B807" s="2">
        <v>45461</v>
      </c>
      <c r="C807" t="s">
        <v>32</v>
      </c>
      <c r="D807" t="s">
        <v>118</v>
      </c>
      <c r="E807" t="s">
        <v>142</v>
      </c>
      <c r="F807">
        <v>7.891</v>
      </c>
      <c r="G807">
        <v>0</v>
      </c>
      <c r="H807">
        <v>0</v>
      </c>
      <c r="I807">
        <v>5</v>
      </c>
      <c r="J807">
        <v>0</v>
      </c>
      <c r="K807">
        <v>0</v>
      </c>
      <c r="L807" t="s">
        <v>1172</v>
      </c>
      <c r="M807">
        <v>5</v>
      </c>
      <c r="N807">
        <v>0</v>
      </c>
      <c r="O807">
        <v>0.9</v>
      </c>
      <c r="P807" t="s">
        <v>114</v>
      </c>
      <c r="Q807">
        <v>0</v>
      </c>
      <c r="R807" t="s">
        <v>144</v>
      </c>
    </row>
    <row r="808" spans="1:18" x14ac:dyDescent="0.25">
      <c r="A808" t="s">
        <v>1173</v>
      </c>
      <c r="B808" s="2">
        <v>45462</v>
      </c>
      <c r="C808" t="s">
        <v>32</v>
      </c>
      <c r="D808" t="s">
        <v>117</v>
      </c>
      <c r="E808" t="s">
        <v>142</v>
      </c>
      <c r="F808">
        <v>1.575</v>
      </c>
      <c r="G808">
        <v>0</v>
      </c>
      <c r="H808">
        <v>0</v>
      </c>
      <c r="I808">
        <v>20</v>
      </c>
      <c r="J808">
        <v>0</v>
      </c>
      <c r="K808">
        <v>0</v>
      </c>
      <c r="L808" t="s">
        <v>143</v>
      </c>
      <c r="M808">
        <v>20</v>
      </c>
      <c r="N808">
        <v>1</v>
      </c>
      <c r="O808">
        <v>0.9</v>
      </c>
      <c r="P808" t="s">
        <v>114</v>
      </c>
      <c r="Q808">
        <v>0.9</v>
      </c>
      <c r="R808" t="s">
        <v>144</v>
      </c>
    </row>
    <row r="809" spans="1:18" x14ac:dyDescent="0.25">
      <c r="A809" t="s">
        <v>1174</v>
      </c>
      <c r="B809" s="2">
        <v>45462</v>
      </c>
      <c r="C809" t="s">
        <v>32</v>
      </c>
      <c r="D809" t="s">
        <v>117</v>
      </c>
      <c r="E809" t="s">
        <v>142</v>
      </c>
      <c r="F809">
        <v>10</v>
      </c>
      <c r="G809">
        <v>34.244</v>
      </c>
      <c r="H809">
        <v>51.366</v>
      </c>
      <c r="I809">
        <v>20</v>
      </c>
      <c r="J809">
        <v>0</v>
      </c>
      <c r="K809">
        <v>0</v>
      </c>
      <c r="L809" t="s">
        <v>143</v>
      </c>
      <c r="M809">
        <v>71.366</v>
      </c>
      <c r="N809">
        <v>1</v>
      </c>
      <c r="O809">
        <v>0.9</v>
      </c>
      <c r="P809" t="s">
        <v>114</v>
      </c>
      <c r="Q809">
        <v>0.9</v>
      </c>
      <c r="R809" t="s">
        <v>144</v>
      </c>
    </row>
    <row r="810" spans="1:18" x14ac:dyDescent="0.25">
      <c r="A810" t="s">
        <v>1175</v>
      </c>
      <c r="B810" s="2">
        <v>45462</v>
      </c>
      <c r="C810" t="s">
        <v>32</v>
      </c>
      <c r="D810" t="s">
        <v>117</v>
      </c>
      <c r="E810" t="s">
        <v>142</v>
      </c>
      <c r="F810">
        <v>10</v>
      </c>
      <c r="G810">
        <v>0.27699999999999902</v>
      </c>
      <c r="H810">
        <v>0.41549999999999998</v>
      </c>
      <c r="I810">
        <v>20</v>
      </c>
      <c r="J810">
        <v>0</v>
      </c>
      <c r="K810">
        <v>0</v>
      </c>
      <c r="L810" t="s">
        <v>143</v>
      </c>
      <c r="M810">
        <v>20.415500000000002</v>
      </c>
      <c r="N810">
        <v>1</v>
      </c>
      <c r="O810">
        <v>0.9</v>
      </c>
      <c r="P810" t="s">
        <v>114</v>
      </c>
      <c r="Q810">
        <v>0.9</v>
      </c>
      <c r="R810" t="s">
        <v>144</v>
      </c>
    </row>
    <row r="811" spans="1:18" x14ac:dyDescent="0.25">
      <c r="A811" t="s">
        <v>1176</v>
      </c>
      <c r="B811" s="2">
        <v>45462</v>
      </c>
      <c r="C811" t="s">
        <v>32</v>
      </c>
      <c r="D811" t="s">
        <v>117</v>
      </c>
      <c r="E811" t="s">
        <v>142</v>
      </c>
      <c r="F811">
        <v>9.8320000000000007</v>
      </c>
      <c r="G811">
        <v>0</v>
      </c>
      <c r="H811">
        <v>0</v>
      </c>
      <c r="I811">
        <v>20</v>
      </c>
      <c r="J811">
        <v>0</v>
      </c>
      <c r="K811">
        <v>0</v>
      </c>
      <c r="L811" t="s">
        <v>143</v>
      </c>
      <c r="M811">
        <v>20</v>
      </c>
      <c r="N811">
        <v>1</v>
      </c>
      <c r="O811">
        <v>0.9</v>
      </c>
      <c r="P811" t="s">
        <v>114</v>
      </c>
      <c r="Q811">
        <v>0.9</v>
      </c>
      <c r="R811" t="s">
        <v>144</v>
      </c>
    </row>
    <row r="812" spans="1:18" x14ac:dyDescent="0.25">
      <c r="A812" t="s">
        <v>1177</v>
      </c>
      <c r="B812" s="2">
        <v>45462</v>
      </c>
      <c r="C812" t="s">
        <v>32</v>
      </c>
      <c r="D812" t="s">
        <v>117</v>
      </c>
      <c r="E812" t="s">
        <v>142</v>
      </c>
      <c r="F812">
        <v>10</v>
      </c>
      <c r="G812">
        <v>4.05</v>
      </c>
      <c r="H812">
        <v>6.0750000000000002</v>
      </c>
      <c r="I812">
        <v>20</v>
      </c>
      <c r="J812">
        <v>0</v>
      </c>
      <c r="K812">
        <v>0</v>
      </c>
      <c r="L812" t="s">
        <v>143</v>
      </c>
      <c r="M812">
        <v>26.074999999999999</v>
      </c>
      <c r="N812">
        <v>1</v>
      </c>
      <c r="O812">
        <v>0.9</v>
      </c>
      <c r="P812" t="s">
        <v>114</v>
      </c>
      <c r="Q812">
        <v>0.9</v>
      </c>
      <c r="R812" t="s">
        <v>144</v>
      </c>
    </row>
    <row r="813" spans="1:18" x14ac:dyDescent="0.25">
      <c r="A813" t="s">
        <v>1178</v>
      </c>
      <c r="B813" s="2">
        <v>45462</v>
      </c>
      <c r="C813" t="s">
        <v>32</v>
      </c>
      <c r="D813" t="s">
        <v>117</v>
      </c>
      <c r="E813" t="s">
        <v>142</v>
      </c>
      <c r="F813">
        <v>9.4540000000000006</v>
      </c>
      <c r="G813">
        <v>0</v>
      </c>
      <c r="H813">
        <v>0</v>
      </c>
      <c r="I813">
        <v>20</v>
      </c>
      <c r="J813">
        <v>0</v>
      </c>
      <c r="K813">
        <v>0</v>
      </c>
      <c r="L813" t="s">
        <v>143</v>
      </c>
      <c r="M813">
        <v>20</v>
      </c>
      <c r="N813">
        <v>1</v>
      </c>
      <c r="O813">
        <v>0.9</v>
      </c>
      <c r="P813" t="s">
        <v>114</v>
      </c>
      <c r="Q813">
        <v>0.9</v>
      </c>
      <c r="R813" t="s">
        <v>144</v>
      </c>
    </row>
    <row r="814" spans="1:18" x14ac:dyDescent="0.25">
      <c r="A814" t="s">
        <v>1179</v>
      </c>
      <c r="B814" s="2">
        <v>45462</v>
      </c>
      <c r="C814" t="s">
        <v>32</v>
      </c>
      <c r="D814" t="s">
        <v>118</v>
      </c>
      <c r="E814" t="s">
        <v>142</v>
      </c>
      <c r="F814">
        <v>3.5590000000000002</v>
      </c>
      <c r="G814">
        <v>0</v>
      </c>
      <c r="H814">
        <v>0</v>
      </c>
      <c r="I814">
        <v>5</v>
      </c>
      <c r="J814">
        <v>0</v>
      </c>
      <c r="K814">
        <v>0</v>
      </c>
      <c r="L814" t="s">
        <v>1180</v>
      </c>
      <c r="M814">
        <v>5</v>
      </c>
      <c r="N814">
        <v>0</v>
      </c>
      <c r="O814">
        <v>0.9</v>
      </c>
      <c r="P814" t="s">
        <v>114</v>
      </c>
      <c r="Q814">
        <v>0</v>
      </c>
      <c r="R814" t="s">
        <v>144</v>
      </c>
    </row>
    <row r="815" spans="1:18" x14ac:dyDescent="0.25">
      <c r="A815" t="s">
        <v>1181</v>
      </c>
      <c r="B815" s="2">
        <v>45462</v>
      </c>
      <c r="C815" t="s">
        <v>32</v>
      </c>
      <c r="D815" t="s">
        <v>118</v>
      </c>
      <c r="E815" t="s">
        <v>142</v>
      </c>
      <c r="F815">
        <v>7.742</v>
      </c>
      <c r="G815">
        <v>0</v>
      </c>
      <c r="H815">
        <v>0</v>
      </c>
      <c r="I815">
        <v>20</v>
      </c>
      <c r="J815">
        <v>0</v>
      </c>
      <c r="K815">
        <v>0</v>
      </c>
      <c r="L815" t="s">
        <v>143</v>
      </c>
      <c r="M815">
        <v>20</v>
      </c>
      <c r="N815">
        <v>1</v>
      </c>
      <c r="O815">
        <v>0.9</v>
      </c>
      <c r="P815" t="s">
        <v>114</v>
      </c>
      <c r="Q815">
        <v>0.9</v>
      </c>
      <c r="R815" t="s">
        <v>144</v>
      </c>
    </row>
    <row r="816" spans="1:18" x14ac:dyDescent="0.25">
      <c r="A816" t="s">
        <v>1182</v>
      </c>
      <c r="B816" s="2">
        <v>45462</v>
      </c>
      <c r="C816" t="s">
        <v>32</v>
      </c>
      <c r="D816" t="s">
        <v>118</v>
      </c>
      <c r="E816" t="s">
        <v>142</v>
      </c>
      <c r="F816">
        <v>9.2569999999999997</v>
      </c>
      <c r="G816">
        <v>0</v>
      </c>
      <c r="H816">
        <v>0</v>
      </c>
      <c r="I816">
        <v>20</v>
      </c>
      <c r="J816">
        <v>0</v>
      </c>
      <c r="K816">
        <v>0</v>
      </c>
      <c r="L816" t="s">
        <v>143</v>
      </c>
      <c r="M816">
        <v>20</v>
      </c>
      <c r="N816">
        <v>1</v>
      </c>
      <c r="O816">
        <v>0.9</v>
      </c>
      <c r="P816" t="s">
        <v>114</v>
      </c>
      <c r="Q816">
        <v>0.9</v>
      </c>
      <c r="R816" t="s">
        <v>144</v>
      </c>
    </row>
    <row r="817" spans="1:18" x14ac:dyDescent="0.25">
      <c r="A817" t="s">
        <v>1183</v>
      </c>
      <c r="B817" s="2">
        <v>45462</v>
      </c>
      <c r="C817" t="s">
        <v>32</v>
      </c>
      <c r="D817" t="s">
        <v>118</v>
      </c>
      <c r="E817" t="s">
        <v>142</v>
      </c>
      <c r="F817">
        <v>10</v>
      </c>
      <c r="G817">
        <v>7.0220000000000002</v>
      </c>
      <c r="H817">
        <v>10.532999999999999</v>
      </c>
      <c r="I817">
        <v>20</v>
      </c>
      <c r="J817">
        <v>0</v>
      </c>
      <c r="K817">
        <v>0</v>
      </c>
      <c r="L817" t="s">
        <v>143</v>
      </c>
      <c r="M817">
        <v>30.533000000000001</v>
      </c>
      <c r="N817">
        <v>1</v>
      </c>
      <c r="O817">
        <v>0.9</v>
      </c>
      <c r="P817" t="s">
        <v>114</v>
      </c>
      <c r="Q817">
        <v>0.9</v>
      </c>
      <c r="R817" t="s">
        <v>144</v>
      </c>
    </row>
    <row r="818" spans="1:18" x14ac:dyDescent="0.25">
      <c r="A818" t="s">
        <v>1184</v>
      </c>
      <c r="B818" s="2">
        <v>45462</v>
      </c>
      <c r="C818" t="s">
        <v>32</v>
      </c>
      <c r="D818" t="s">
        <v>118</v>
      </c>
      <c r="E818" t="s">
        <v>142</v>
      </c>
      <c r="F818">
        <v>10</v>
      </c>
      <c r="G818">
        <v>3.532</v>
      </c>
      <c r="H818">
        <v>5.298</v>
      </c>
      <c r="I818">
        <v>20</v>
      </c>
      <c r="J818">
        <v>0</v>
      </c>
      <c r="K818">
        <v>0</v>
      </c>
      <c r="L818" t="s">
        <v>143</v>
      </c>
      <c r="M818">
        <v>25.297999999999998</v>
      </c>
      <c r="N818">
        <v>1</v>
      </c>
      <c r="O818">
        <v>0.9</v>
      </c>
      <c r="P818" t="s">
        <v>114</v>
      </c>
      <c r="Q818">
        <v>0.9</v>
      </c>
      <c r="R818" t="s">
        <v>144</v>
      </c>
    </row>
    <row r="819" spans="1:18" x14ac:dyDescent="0.25">
      <c r="A819" t="s">
        <v>1185</v>
      </c>
      <c r="B819" s="2">
        <v>45462</v>
      </c>
      <c r="C819" t="s">
        <v>32</v>
      </c>
      <c r="D819" t="s">
        <v>118</v>
      </c>
      <c r="E819" t="s">
        <v>142</v>
      </c>
      <c r="F819">
        <v>9.6359999999999992</v>
      </c>
      <c r="G819">
        <v>0</v>
      </c>
      <c r="H819">
        <v>0</v>
      </c>
      <c r="I819">
        <v>20</v>
      </c>
      <c r="J819">
        <v>0</v>
      </c>
      <c r="K819">
        <v>0</v>
      </c>
      <c r="L819" t="s">
        <v>143</v>
      </c>
      <c r="M819">
        <v>20</v>
      </c>
      <c r="N819">
        <v>1</v>
      </c>
      <c r="O819">
        <v>0.9</v>
      </c>
      <c r="P819" t="s">
        <v>114</v>
      </c>
      <c r="Q819">
        <v>0.9</v>
      </c>
      <c r="R819" t="s">
        <v>144</v>
      </c>
    </row>
    <row r="820" spans="1:18" x14ac:dyDescent="0.25">
      <c r="A820" t="s">
        <v>1186</v>
      </c>
      <c r="B820" s="2">
        <v>45462</v>
      </c>
      <c r="C820" t="s">
        <v>32</v>
      </c>
      <c r="D820" t="s">
        <v>118</v>
      </c>
      <c r="E820" t="s">
        <v>142</v>
      </c>
      <c r="F820">
        <v>5.3250000000000002</v>
      </c>
      <c r="G820">
        <v>0</v>
      </c>
      <c r="H820">
        <v>0</v>
      </c>
      <c r="I820">
        <v>20</v>
      </c>
      <c r="J820">
        <v>0</v>
      </c>
      <c r="K820">
        <v>0</v>
      </c>
      <c r="L820" t="s">
        <v>143</v>
      </c>
      <c r="M820">
        <v>20</v>
      </c>
      <c r="N820">
        <v>1</v>
      </c>
      <c r="O820">
        <v>0.9</v>
      </c>
      <c r="P820" t="s">
        <v>114</v>
      </c>
      <c r="Q820">
        <v>0.9</v>
      </c>
      <c r="R820" t="s">
        <v>144</v>
      </c>
    </row>
    <row r="821" spans="1:18" x14ac:dyDescent="0.25">
      <c r="A821" t="s">
        <v>1187</v>
      </c>
      <c r="B821" s="2">
        <v>45462</v>
      </c>
      <c r="C821" t="s">
        <v>32</v>
      </c>
      <c r="D821" t="s">
        <v>118</v>
      </c>
      <c r="E821" t="s">
        <v>142</v>
      </c>
      <c r="F821">
        <v>5.6539999999999999</v>
      </c>
      <c r="G821">
        <v>0</v>
      </c>
      <c r="H821">
        <v>0</v>
      </c>
      <c r="I821">
        <v>20</v>
      </c>
      <c r="J821">
        <v>0</v>
      </c>
      <c r="K821">
        <v>0</v>
      </c>
      <c r="L821" t="s">
        <v>143</v>
      </c>
      <c r="M821">
        <v>20</v>
      </c>
      <c r="N821">
        <v>1</v>
      </c>
      <c r="O821">
        <v>0.9</v>
      </c>
      <c r="P821" t="s">
        <v>114</v>
      </c>
      <c r="Q821">
        <v>0.9</v>
      </c>
      <c r="R821" t="s">
        <v>144</v>
      </c>
    </row>
    <row r="822" spans="1:18" x14ac:dyDescent="0.25">
      <c r="A822" t="s">
        <v>1188</v>
      </c>
      <c r="B822" s="2">
        <v>45462</v>
      </c>
      <c r="C822" t="s">
        <v>32</v>
      </c>
      <c r="D822" t="s">
        <v>118</v>
      </c>
      <c r="E822" t="s">
        <v>142</v>
      </c>
      <c r="F822">
        <v>10</v>
      </c>
      <c r="G822">
        <v>2.4420000000000002</v>
      </c>
      <c r="H822">
        <v>3.6629999999999998</v>
      </c>
      <c r="I822">
        <v>20</v>
      </c>
      <c r="J822">
        <v>0</v>
      </c>
      <c r="K822">
        <v>0</v>
      </c>
      <c r="L822" t="s">
        <v>143</v>
      </c>
      <c r="M822">
        <v>23.663</v>
      </c>
      <c r="N822">
        <v>1</v>
      </c>
      <c r="O822">
        <v>0.9</v>
      </c>
      <c r="P822" t="s">
        <v>114</v>
      </c>
      <c r="Q822">
        <v>0.9</v>
      </c>
      <c r="R822" t="s">
        <v>144</v>
      </c>
    </row>
    <row r="823" spans="1:18" x14ac:dyDescent="0.25">
      <c r="A823" t="s">
        <v>1189</v>
      </c>
      <c r="B823" s="2">
        <v>45462</v>
      </c>
      <c r="C823" t="s">
        <v>32</v>
      </c>
      <c r="D823" t="s">
        <v>118</v>
      </c>
      <c r="E823" t="s">
        <v>142</v>
      </c>
      <c r="F823">
        <v>4.7329999999999997</v>
      </c>
      <c r="G823">
        <v>0</v>
      </c>
      <c r="H823">
        <v>0</v>
      </c>
      <c r="I823">
        <v>20</v>
      </c>
      <c r="J823">
        <v>0</v>
      </c>
      <c r="K823">
        <v>0</v>
      </c>
      <c r="L823" t="s">
        <v>143</v>
      </c>
      <c r="M823">
        <v>20</v>
      </c>
      <c r="N823">
        <v>1</v>
      </c>
      <c r="O823">
        <v>0.9</v>
      </c>
      <c r="P823" t="s">
        <v>114</v>
      </c>
      <c r="Q823">
        <v>0.9</v>
      </c>
      <c r="R823" t="s">
        <v>144</v>
      </c>
    </row>
    <row r="824" spans="1:18" x14ac:dyDescent="0.25">
      <c r="A824" t="s">
        <v>1190</v>
      </c>
      <c r="B824" s="2">
        <v>45462</v>
      </c>
      <c r="C824" t="s">
        <v>32</v>
      </c>
      <c r="D824" t="s">
        <v>118</v>
      </c>
      <c r="E824" t="s">
        <v>142</v>
      </c>
      <c r="F824">
        <v>2.3969999999999998</v>
      </c>
      <c r="G824">
        <v>0</v>
      </c>
      <c r="H824">
        <v>0</v>
      </c>
      <c r="I824">
        <v>20</v>
      </c>
      <c r="J824">
        <v>0</v>
      </c>
      <c r="K824">
        <v>0</v>
      </c>
      <c r="L824" t="s">
        <v>143</v>
      </c>
      <c r="M824">
        <v>20</v>
      </c>
      <c r="N824">
        <v>1</v>
      </c>
      <c r="O824">
        <v>0.9</v>
      </c>
      <c r="P824" t="s">
        <v>114</v>
      </c>
      <c r="Q824">
        <v>0.9</v>
      </c>
      <c r="R824" t="s">
        <v>144</v>
      </c>
    </row>
    <row r="825" spans="1:18" x14ac:dyDescent="0.25">
      <c r="A825" t="s">
        <v>1191</v>
      </c>
      <c r="B825" s="2">
        <v>45462</v>
      </c>
      <c r="C825" t="s">
        <v>32</v>
      </c>
      <c r="D825" t="s">
        <v>118</v>
      </c>
      <c r="E825" t="s">
        <v>142</v>
      </c>
      <c r="F825">
        <v>10</v>
      </c>
      <c r="G825">
        <v>10.675000000000001</v>
      </c>
      <c r="H825">
        <v>16.012499999999999</v>
      </c>
      <c r="I825">
        <v>20</v>
      </c>
      <c r="J825">
        <v>0</v>
      </c>
      <c r="K825">
        <v>0</v>
      </c>
      <c r="L825" t="s">
        <v>143</v>
      </c>
      <c r="M825">
        <v>36.012500000000003</v>
      </c>
      <c r="N825">
        <v>1</v>
      </c>
      <c r="O825">
        <v>0.9</v>
      </c>
      <c r="P825" t="s">
        <v>114</v>
      </c>
      <c r="Q825">
        <v>0.9</v>
      </c>
      <c r="R825" t="s">
        <v>144</v>
      </c>
    </row>
    <row r="826" spans="1:18" x14ac:dyDescent="0.25">
      <c r="A826" t="s">
        <v>1192</v>
      </c>
      <c r="B826" s="2">
        <v>45462</v>
      </c>
      <c r="C826" t="s">
        <v>32</v>
      </c>
      <c r="D826" t="s">
        <v>118</v>
      </c>
      <c r="E826" t="s">
        <v>142</v>
      </c>
      <c r="F826">
        <v>8.32</v>
      </c>
      <c r="G826">
        <v>0</v>
      </c>
      <c r="H826">
        <v>0</v>
      </c>
      <c r="I826">
        <v>20</v>
      </c>
      <c r="J826">
        <v>0</v>
      </c>
      <c r="K826">
        <v>0</v>
      </c>
      <c r="L826" t="s">
        <v>1193</v>
      </c>
      <c r="M826">
        <v>20</v>
      </c>
      <c r="N826">
        <v>1</v>
      </c>
      <c r="O826">
        <v>0.9</v>
      </c>
      <c r="P826" t="s">
        <v>114</v>
      </c>
      <c r="Q826">
        <v>0.9</v>
      </c>
      <c r="R826" t="s">
        <v>144</v>
      </c>
    </row>
    <row r="827" spans="1:18" x14ac:dyDescent="0.25">
      <c r="A827" t="s">
        <v>1194</v>
      </c>
      <c r="B827" s="2">
        <v>45462</v>
      </c>
      <c r="C827" t="s">
        <v>32</v>
      </c>
      <c r="D827" t="s">
        <v>118</v>
      </c>
      <c r="E827" t="s">
        <v>142</v>
      </c>
      <c r="F827">
        <v>5.9009999999999998</v>
      </c>
      <c r="G827">
        <v>0</v>
      </c>
      <c r="H827">
        <v>0</v>
      </c>
      <c r="I827">
        <v>20</v>
      </c>
      <c r="J827">
        <v>0</v>
      </c>
      <c r="K827">
        <v>0</v>
      </c>
      <c r="L827" t="s">
        <v>143</v>
      </c>
      <c r="M827">
        <v>20</v>
      </c>
      <c r="N827">
        <v>1</v>
      </c>
      <c r="O827">
        <v>0.9</v>
      </c>
      <c r="P827" t="s">
        <v>114</v>
      </c>
      <c r="Q827">
        <v>0.9</v>
      </c>
      <c r="R827" t="s">
        <v>144</v>
      </c>
    </row>
    <row r="828" spans="1:18" x14ac:dyDescent="0.25">
      <c r="A828" t="s">
        <v>1195</v>
      </c>
      <c r="B828" s="2">
        <v>45463</v>
      </c>
      <c r="C828" t="s">
        <v>32</v>
      </c>
      <c r="D828" t="s">
        <v>117</v>
      </c>
      <c r="E828" t="s">
        <v>142</v>
      </c>
      <c r="F828">
        <v>5.8140000000000001</v>
      </c>
      <c r="G828">
        <v>0</v>
      </c>
      <c r="H828">
        <v>0</v>
      </c>
      <c r="I828">
        <v>20</v>
      </c>
      <c r="J828">
        <v>0</v>
      </c>
      <c r="K828">
        <v>0</v>
      </c>
      <c r="L828" t="s">
        <v>143</v>
      </c>
      <c r="M828">
        <v>20</v>
      </c>
      <c r="N828">
        <v>1</v>
      </c>
      <c r="O828">
        <v>0.9</v>
      </c>
      <c r="P828" t="s">
        <v>114</v>
      </c>
      <c r="Q828">
        <v>0.9</v>
      </c>
      <c r="R828" t="s">
        <v>144</v>
      </c>
    </row>
    <row r="829" spans="1:18" x14ac:dyDescent="0.25">
      <c r="A829" t="s">
        <v>1196</v>
      </c>
      <c r="B829" s="2">
        <v>45463</v>
      </c>
      <c r="C829" t="s">
        <v>32</v>
      </c>
      <c r="D829" t="s">
        <v>117</v>
      </c>
      <c r="E829" t="s">
        <v>142</v>
      </c>
      <c r="F829">
        <v>10</v>
      </c>
      <c r="G829">
        <v>4.069</v>
      </c>
      <c r="H829">
        <v>0</v>
      </c>
      <c r="I829">
        <v>5</v>
      </c>
      <c r="J829">
        <v>0</v>
      </c>
      <c r="K829">
        <v>0</v>
      </c>
      <c r="L829" t="s">
        <v>1197</v>
      </c>
      <c r="M829">
        <v>5</v>
      </c>
      <c r="N829">
        <v>0</v>
      </c>
      <c r="O829">
        <v>0.9</v>
      </c>
      <c r="P829" t="s">
        <v>114</v>
      </c>
      <c r="Q829">
        <v>0</v>
      </c>
      <c r="R829" t="s">
        <v>144</v>
      </c>
    </row>
    <row r="830" spans="1:18" x14ac:dyDescent="0.25">
      <c r="A830" t="s">
        <v>1198</v>
      </c>
      <c r="B830" s="2">
        <v>45463</v>
      </c>
      <c r="C830" t="s">
        <v>32</v>
      </c>
      <c r="D830" t="s">
        <v>117</v>
      </c>
      <c r="E830" t="s">
        <v>142</v>
      </c>
      <c r="F830">
        <v>1.2949999999999999</v>
      </c>
      <c r="G830">
        <v>0</v>
      </c>
      <c r="H830">
        <v>0</v>
      </c>
      <c r="I830">
        <v>20</v>
      </c>
      <c r="J830">
        <v>0</v>
      </c>
      <c r="K830">
        <v>0</v>
      </c>
      <c r="L830" t="s">
        <v>143</v>
      </c>
      <c r="M830">
        <v>20</v>
      </c>
      <c r="N830">
        <v>1</v>
      </c>
      <c r="O830">
        <v>0.9</v>
      </c>
      <c r="P830" t="s">
        <v>114</v>
      </c>
      <c r="Q830">
        <v>0.9</v>
      </c>
      <c r="R830" t="s">
        <v>144</v>
      </c>
    </row>
    <row r="831" spans="1:18" x14ac:dyDescent="0.25">
      <c r="A831" t="s">
        <v>1199</v>
      </c>
      <c r="B831" s="2">
        <v>45463</v>
      </c>
      <c r="C831" t="s">
        <v>32</v>
      </c>
      <c r="D831" t="s">
        <v>117</v>
      </c>
      <c r="E831" t="s">
        <v>142</v>
      </c>
      <c r="F831">
        <v>8.0920000000000005</v>
      </c>
      <c r="G831">
        <v>0</v>
      </c>
      <c r="H831">
        <v>0</v>
      </c>
      <c r="I831">
        <v>20</v>
      </c>
      <c r="J831">
        <v>0</v>
      </c>
      <c r="K831">
        <v>0</v>
      </c>
      <c r="L831" t="s">
        <v>143</v>
      </c>
      <c r="M831">
        <v>20</v>
      </c>
      <c r="N831">
        <v>1</v>
      </c>
      <c r="O831">
        <v>0.9</v>
      </c>
      <c r="P831" t="s">
        <v>114</v>
      </c>
      <c r="Q831">
        <v>0.9</v>
      </c>
      <c r="R831" t="s">
        <v>144</v>
      </c>
    </row>
    <row r="832" spans="1:18" x14ac:dyDescent="0.25">
      <c r="A832" t="s">
        <v>1200</v>
      </c>
      <c r="B832" s="2">
        <v>45463</v>
      </c>
      <c r="C832" t="s">
        <v>32</v>
      </c>
      <c r="D832" t="s">
        <v>117</v>
      </c>
      <c r="E832" t="s">
        <v>142</v>
      </c>
      <c r="F832">
        <v>5.5</v>
      </c>
      <c r="G832">
        <v>0</v>
      </c>
      <c r="H832">
        <v>0</v>
      </c>
      <c r="I832">
        <v>20</v>
      </c>
      <c r="J832">
        <v>0</v>
      </c>
      <c r="K832">
        <v>0</v>
      </c>
      <c r="L832" t="s">
        <v>143</v>
      </c>
      <c r="M832">
        <v>20</v>
      </c>
      <c r="N832">
        <v>1</v>
      </c>
      <c r="O832">
        <v>0.9</v>
      </c>
      <c r="P832" t="s">
        <v>114</v>
      </c>
      <c r="Q832">
        <v>0.9</v>
      </c>
      <c r="R832" t="s">
        <v>144</v>
      </c>
    </row>
    <row r="833" spans="1:18" x14ac:dyDescent="0.25">
      <c r="A833" t="s">
        <v>1201</v>
      </c>
      <c r="B833" s="2">
        <v>45463</v>
      </c>
      <c r="C833" t="s">
        <v>32</v>
      </c>
      <c r="D833" t="s">
        <v>117</v>
      </c>
      <c r="E833" t="s">
        <v>142</v>
      </c>
      <c r="F833">
        <v>5.4260000000000002</v>
      </c>
      <c r="G833">
        <v>0</v>
      </c>
      <c r="H833">
        <v>0</v>
      </c>
      <c r="I833">
        <v>20</v>
      </c>
      <c r="J833">
        <v>0</v>
      </c>
      <c r="K833">
        <v>0</v>
      </c>
      <c r="L833" t="s">
        <v>143</v>
      </c>
      <c r="M833">
        <v>20</v>
      </c>
      <c r="N833">
        <v>1</v>
      </c>
      <c r="O833">
        <v>0.9</v>
      </c>
      <c r="P833" t="s">
        <v>114</v>
      </c>
      <c r="Q833">
        <v>0.9</v>
      </c>
      <c r="R833" t="s">
        <v>144</v>
      </c>
    </row>
    <row r="834" spans="1:18" x14ac:dyDescent="0.25">
      <c r="A834" t="s">
        <v>1202</v>
      </c>
      <c r="B834" s="2">
        <v>45463</v>
      </c>
      <c r="C834" t="s">
        <v>32</v>
      </c>
      <c r="D834" t="s">
        <v>117</v>
      </c>
      <c r="E834" t="s">
        <v>142</v>
      </c>
      <c r="F834">
        <v>3.2330000000000001</v>
      </c>
      <c r="G834">
        <v>0</v>
      </c>
      <c r="H834">
        <v>0</v>
      </c>
      <c r="I834">
        <v>20</v>
      </c>
      <c r="J834">
        <v>0</v>
      </c>
      <c r="K834">
        <v>0</v>
      </c>
      <c r="L834" t="s">
        <v>143</v>
      </c>
      <c r="M834">
        <v>20</v>
      </c>
      <c r="N834">
        <v>1</v>
      </c>
      <c r="O834">
        <v>0.9</v>
      </c>
      <c r="P834" t="s">
        <v>114</v>
      </c>
      <c r="Q834">
        <v>0.9</v>
      </c>
      <c r="R834" t="s">
        <v>144</v>
      </c>
    </row>
    <row r="835" spans="1:18" x14ac:dyDescent="0.25">
      <c r="A835" t="s">
        <v>1203</v>
      </c>
      <c r="B835" s="2">
        <v>45463</v>
      </c>
      <c r="C835" t="s">
        <v>32</v>
      </c>
      <c r="D835" t="s">
        <v>117</v>
      </c>
      <c r="E835" t="s">
        <v>142</v>
      </c>
      <c r="F835">
        <v>9.2249999999999996</v>
      </c>
      <c r="G835">
        <v>0</v>
      </c>
      <c r="H835">
        <v>0</v>
      </c>
      <c r="I835">
        <v>20</v>
      </c>
      <c r="J835">
        <v>0</v>
      </c>
      <c r="K835">
        <v>0</v>
      </c>
      <c r="L835" t="s">
        <v>143</v>
      </c>
      <c r="M835">
        <v>20</v>
      </c>
      <c r="N835">
        <v>1</v>
      </c>
      <c r="O835">
        <v>0.9</v>
      </c>
      <c r="P835" t="s">
        <v>114</v>
      </c>
      <c r="Q835">
        <v>0.9</v>
      </c>
      <c r="R835" t="s">
        <v>144</v>
      </c>
    </row>
    <row r="836" spans="1:18" x14ac:dyDescent="0.25">
      <c r="A836" t="s">
        <v>1204</v>
      </c>
      <c r="B836" s="2">
        <v>45463</v>
      </c>
      <c r="C836" t="s">
        <v>32</v>
      </c>
      <c r="D836" t="s">
        <v>117</v>
      </c>
      <c r="E836" t="s">
        <v>142</v>
      </c>
      <c r="F836">
        <v>8.2910000000000004</v>
      </c>
      <c r="G836">
        <v>0</v>
      </c>
      <c r="H836">
        <v>0</v>
      </c>
      <c r="I836">
        <v>5</v>
      </c>
      <c r="J836">
        <v>0</v>
      </c>
      <c r="K836">
        <v>0</v>
      </c>
      <c r="L836" t="s">
        <v>1205</v>
      </c>
      <c r="M836">
        <v>5</v>
      </c>
      <c r="N836">
        <v>0</v>
      </c>
      <c r="O836">
        <v>0.9</v>
      </c>
      <c r="P836" t="s">
        <v>114</v>
      </c>
      <c r="Q836">
        <v>0</v>
      </c>
      <c r="R836" t="s">
        <v>144</v>
      </c>
    </row>
    <row r="837" spans="1:18" x14ac:dyDescent="0.25">
      <c r="A837" t="s">
        <v>1206</v>
      </c>
      <c r="B837" s="2">
        <v>45463</v>
      </c>
      <c r="C837" t="s">
        <v>32</v>
      </c>
      <c r="D837" t="s">
        <v>118</v>
      </c>
      <c r="E837" t="s">
        <v>142</v>
      </c>
      <c r="F837">
        <v>10</v>
      </c>
      <c r="G837">
        <v>0.45600000000000002</v>
      </c>
      <c r="H837">
        <v>0.68400000000000005</v>
      </c>
      <c r="I837">
        <v>20</v>
      </c>
      <c r="J837">
        <v>0</v>
      </c>
      <c r="K837">
        <v>0</v>
      </c>
      <c r="L837" t="s">
        <v>143</v>
      </c>
      <c r="M837">
        <v>20.684000000000001</v>
      </c>
      <c r="N837">
        <v>1</v>
      </c>
      <c r="O837">
        <v>0.9</v>
      </c>
      <c r="P837" t="s">
        <v>114</v>
      </c>
      <c r="Q837">
        <v>0.9</v>
      </c>
      <c r="R837" t="s">
        <v>144</v>
      </c>
    </row>
    <row r="838" spans="1:18" x14ac:dyDescent="0.25">
      <c r="A838" t="s">
        <v>1207</v>
      </c>
      <c r="B838" s="2">
        <v>45463</v>
      </c>
      <c r="C838" t="s">
        <v>32</v>
      </c>
      <c r="D838" t="s">
        <v>118</v>
      </c>
      <c r="E838" t="s">
        <v>142</v>
      </c>
      <c r="F838">
        <v>6.6849999999999996</v>
      </c>
      <c r="G838">
        <v>0</v>
      </c>
      <c r="H838">
        <v>0</v>
      </c>
      <c r="I838">
        <v>20</v>
      </c>
      <c r="J838">
        <v>0</v>
      </c>
      <c r="K838">
        <v>0</v>
      </c>
      <c r="L838" t="s">
        <v>143</v>
      </c>
      <c r="M838">
        <v>20</v>
      </c>
      <c r="N838">
        <v>1</v>
      </c>
      <c r="O838">
        <v>0.9</v>
      </c>
      <c r="P838" t="s">
        <v>114</v>
      </c>
      <c r="Q838">
        <v>0.9</v>
      </c>
      <c r="R838" t="s">
        <v>144</v>
      </c>
    </row>
    <row r="839" spans="1:18" x14ac:dyDescent="0.25">
      <c r="A839" t="s">
        <v>1208</v>
      </c>
      <c r="B839" s="2">
        <v>45463</v>
      </c>
      <c r="C839" t="s">
        <v>32</v>
      </c>
      <c r="D839" t="s">
        <v>118</v>
      </c>
      <c r="E839" t="s">
        <v>142</v>
      </c>
      <c r="F839">
        <v>5.4870000000000001</v>
      </c>
      <c r="G839">
        <v>0</v>
      </c>
      <c r="H839">
        <v>0</v>
      </c>
      <c r="I839">
        <v>20</v>
      </c>
      <c r="J839">
        <v>0</v>
      </c>
      <c r="K839">
        <v>0</v>
      </c>
      <c r="L839" t="s">
        <v>143</v>
      </c>
      <c r="M839">
        <v>20</v>
      </c>
      <c r="N839">
        <v>1</v>
      </c>
      <c r="O839">
        <v>0.9</v>
      </c>
      <c r="P839" t="s">
        <v>114</v>
      </c>
      <c r="Q839">
        <v>0.9</v>
      </c>
      <c r="R839" t="s">
        <v>144</v>
      </c>
    </row>
    <row r="840" spans="1:18" x14ac:dyDescent="0.25">
      <c r="A840" t="s">
        <v>1209</v>
      </c>
      <c r="B840" s="2">
        <v>45463</v>
      </c>
      <c r="C840" t="s">
        <v>32</v>
      </c>
      <c r="D840" t="s">
        <v>118</v>
      </c>
      <c r="E840" t="s">
        <v>142</v>
      </c>
      <c r="F840">
        <v>10</v>
      </c>
      <c r="G840">
        <v>5</v>
      </c>
      <c r="H840">
        <v>0</v>
      </c>
      <c r="I840">
        <v>5</v>
      </c>
      <c r="J840">
        <v>0</v>
      </c>
      <c r="K840">
        <v>0</v>
      </c>
      <c r="L840" t="s">
        <v>1210</v>
      </c>
      <c r="M840">
        <v>5</v>
      </c>
      <c r="N840">
        <v>0</v>
      </c>
      <c r="O840">
        <v>0.9</v>
      </c>
      <c r="P840" t="s">
        <v>114</v>
      </c>
      <c r="Q840">
        <v>0</v>
      </c>
      <c r="R840" t="s">
        <v>144</v>
      </c>
    </row>
    <row r="841" spans="1:18" x14ac:dyDescent="0.25">
      <c r="A841" t="s">
        <v>1211</v>
      </c>
      <c r="B841" s="2">
        <v>45463</v>
      </c>
      <c r="C841" t="s">
        <v>32</v>
      </c>
      <c r="D841" t="s">
        <v>118</v>
      </c>
      <c r="E841" t="s">
        <v>142</v>
      </c>
      <c r="F841">
        <v>7.5019999999999998</v>
      </c>
      <c r="G841">
        <v>0</v>
      </c>
      <c r="H841">
        <v>0</v>
      </c>
      <c r="I841">
        <v>20</v>
      </c>
      <c r="J841">
        <v>0</v>
      </c>
      <c r="K841">
        <v>0</v>
      </c>
      <c r="L841" t="s">
        <v>143</v>
      </c>
      <c r="M841">
        <v>20</v>
      </c>
      <c r="N841">
        <v>1</v>
      </c>
      <c r="O841">
        <v>0.9</v>
      </c>
      <c r="P841" t="s">
        <v>114</v>
      </c>
      <c r="Q841">
        <v>0.9</v>
      </c>
      <c r="R841" t="s">
        <v>144</v>
      </c>
    </row>
    <row r="842" spans="1:18" x14ac:dyDescent="0.25">
      <c r="A842" t="s">
        <v>1212</v>
      </c>
      <c r="B842" s="2">
        <v>45463</v>
      </c>
      <c r="C842" t="s">
        <v>32</v>
      </c>
      <c r="D842" t="s">
        <v>118</v>
      </c>
      <c r="E842" t="s">
        <v>142</v>
      </c>
      <c r="F842">
        <v>10</v>
      </c>
      <c r="G842">
        <v>19.79</v>
      </c>
      <c r="H842">
        <v>29.684999999999999</v>
      </c>
      <c r="I842">
        <v>20</v>
      </c>
      <c r="J842">
        <v>0</v>
      </c>
      <c r="K842">
        <v>0</v>
      </c>
      <c r="L842" t="s">
        <v>143</v>
      </c>
      <c r="M842">
        <v>49.685000000000002</v>
      </c>
      <c r="N842">
        <v>1</v>
      </c>
      <c r="O842">
        <v>0.9</v>
      </c>
      <c r="P842" t="s">
        <v>114</v>
      </c>
      <c r="Q842">
        <v>0.9</v>
      </c>
      <c r="R842" t="s">
        <v>144</v>
      </c>
    </row>
    <row r="843" spans="1:18" x14ac:dyDescent="0.25">
      <c r="A843" t="s">
        <v>1213</v>
      </c>
      <c r="B843" s="2">
        <v>45463</v>
      </c>
      <c r="C843" t="s">
        <v>32</v>
      </c>
      <c r="D843" t="s">
        <v>118</v>
      </c>
      <c r="E843" t="s">
        <v>142</v>
      </c>
      <c r="F843">
        <v>6.1619999999999999</v>
      </c>
      <c r="G843">
        <v>0</v>
      </c>
      <c r="H843">
        <v>0</v>
      </c>
      <c r="I843">
        <v>20</v>
      </c>
      <c r="J843">
        <v>0</v>
      </c>
      <c r="K843">
        <v>0</v>
      </c>
      <c r="L843" t="s">
        <v>143</v>
      </c>
      <c r="M843">
        <v>20</v>
      </c>
      <c r="N843">
        <v>1</v>
      </c>
      <c r="O843">
        <v>0.9</v>
      </c>
      <c r="P843" t="s">
        <v>114</v>
      </c>
      <c r="Q843">
        <v>0.9</v>
      </c>
      <c r="R843" t="s">
        <v>144</v>
      </c>
    </row>
    <row r="844" spans="1:18" x14ac:dyDescent="0.25">
      <c r="A844" t="s">
        <v>1214</v>
      </c>
      <c r="B844" s="2">
        <v>45464</v>
      </c>
      <c r="C844" t="s">
        <v>32</v>
      </c>
      <c r="D844" t="s">
        <v>117</v>
      </c>
      <c r="E844" t="s">
        <v>142</v>
      </c>
      <c r="F844">
        <v>10</v>
      </c>
      <c r="G844">
        <v>3.1560000000000001</v>
      </c>
      <c r="H844">
        <v>4.734</v>
      </c>
      <c r="I844">
        <v>20</v>
      </c>
      <c r="J844">
        <v>0</v>
      </c>
      <c r="K844">
        <v>0</v>
      </c>
      <c r="L844" t="s">
        <v>1215</v>
      </c>
      <c r="M844">
        <v>24.734000000000002</v>
      </c>
      <c r="N844">
        <v>1</v>
      </c>
      <c r="O844">
        <v>0.9</v>
      </c>
      <c r="P844" t="s">
        <v>114</v>
      </c>
      <c r="Q844">
        <v>0.9</v>
      </c>
      <c r="R844" t="s">
        <v>144</v>
      </c>
    </row>
    <row r="845" spans="1:18" x14ac:dyDescent="0.25">
      <c r="A845" t="s">
        <v>1216</v>
      </c>
      <c r="B845" s="2">
        <v>45464</v>
      </c>
      <c r="C845" t="s">
        <v>32</v>
      </c>
      <c r="D845" t="s">
        <v>117</v>
      </c>
      <c r="E845" t="s">
        <v>142</v>
      </c>
      <c r="F845">
        <v>7.2</v>
      </c>
      <c r="G845">
        <v>0</v>
      </c>
      <c r="H845">
        <v>0</v>
      </c>
      <c r="I845">
        <v>20</v>
      </c>
      <c r="J845">
        <v>0</v>
      </c>
      <c r="K845">
        <v>0</v>
      </c>
      <c r="L845" t="s">
        <v>143</v>
      </c>
      <c r="M845">
        <v>20</v>
      </c>
      <c r="N845">
        <v>1</v>
      </c>
      <c r="O845">
        <v>0.9</v>
      </c>
      <c r="P845" t="s">
        <v>114</v>
      </c>
      <c r="Q845">
        <v>0.9</v>
      </c>
      <c r="R845" t="s">
        <v>144</v>
      </c>
    </row>
    <row r="846" spans="1:18" x14ac:dyDescent="0.25">
      <c r="A846" t="s">
        <v>1217</v>
      </c>
      <c r="B846" s="2">
        <v>45464</v>
      </c>
      <c r="C846" t="s">
        <v>32</v>
      </c>
      <c r="D846" t="s">
        <v>118</v>
      </c>
      <c r="E846" t="s">
        <v>142</v>
      </c>
      <c r="F846">
        <v>6.1859999999999999</v>
      </c>
      <c r="G846">
        <v>0</v>
      </c>
      <c r="H846">
        <v>0</v>
      </c>
      <c r="I846">
        <v>20</v>
      </c>
      <c r="J846">
        <v>0</v>
      </c>
      <c r="K846">
        <v>0</v>
      </c>
      <c r="L846" t="s">
        <v>143</v>
      </c>
      <c r="M846">
        <v>20</v>
      </c>
      <c r="N846">
        <v>1</v>
      </c>
      <c r="O846">
        <v>0.9</v>
      </c>
      <c r="P846" t="s">
        <v>114</v>
      </c>
      <c r="Q846">
        <v>0.9</v>
      </c>
      <c r="R846" t="s">
        <v>144</v>
      </c>
    </row>
    <row r="847" spans="1:18" x14ac:dyDescent="0.25">
      <c r="A847" t="s">
        <v>1218</v>
      </c>
      <c r="B847" s="2">
        <v>45464</v>
      </c>
      <c r="C847" t="s">
        <v>32</v>
      </c>
      <c r="D847" t="s">
        <v>118</v>
      </c>
      <c r="E847" t="s">
        <v>142</v>
      </c>
      <c r="F847">
        <v>6.7409999999999997</v>
      </c>
      <c r="G847">
        <v>0</v>
      </c>
      <c r="H847">
        <v>0</v>
      </c>
      <c r="I847">
        <v>20</v>
      </c>
      <c r="J847">
        <v>0</v>
      </c>
      <c r="K847">
        <v>0</v>
      </c>
      <c r="L847" t="s">
        <v>143</v>
      </c>
      <c r="M847">
        <v>20</v>
      </c>
      <c r="N847">
        <v>1</v>
      </c>
      <c r="O847">
        <v>0.9</v>
      </c>
      <c r="P847" t="s">
        <v>114</v>
      </c>
      <c r="Q847">
        <v>0.9</v>
      </c>
      <c r="R847" t="s">
        <v>144</v>
      </c>
    </row>
    <row r="848" spans="1:18" x14ac:dyDescent="0.25">
      <c r="A848" t="s">
        <v>1219</v>
      </c>
      <c r="B848" s="2">
        <v>45464</v>
      </c>
      <c r="C848" t="s">
        <v>32</v>
      </c>
      <c r="D848" t="s">
        <v>118</v>
      </c>
      <c r="E848" t="s">
        <v>142</v>
      </c>
      <c r="F848">
        <v>8.9130000000000003</v>
      </c>
      <c r="G848">
        <v>0</v>
      </c>
      <c r="H848">
        <v>0</v>
      </c>
      <c r="I848">
        <v>20</v>
      </c>
      <c r="J848">
        <v>0</v>
      </c>
      <c r="K848">
        <v>0</v>
      </c>
      <c r="L848" t="s">
        <v>143</v>
      </c>
      <c r="M848">
        <v>20</v>
      </c>
      <c r="N848">
        <v>1</v>
      </c>
      <c r="O848">
        <v>0.9</v>
      </c>
      <c r="P848" t="s">
        <v>114</v>
      </c>
      <c r="Q848">
        <v>0.9</v>
      </c>
      <c r="R848" t="s">
        <v>144</v>
      </c>
    </row>
    <row r="849" spans="1:18" x14ac:dyDescent="0.25">
      <c r="A849" t="s">
        <v>1220</v>
      </c>
      <c r="B849" s="2">
        <v>45464</v>
      </c>
      <c r="C849" t="s">
        <v>32</v>
      </c>
      <c r="D849" t="s">
        <v>118</v>
      </c>
      <c r="E849" t="s">
        <v>142</v>
      </c>
      <c r="F849">
        <v>10</v>
      </c>
      <c r="G849">
        <v>7.6539999999999999</v>
      </c>
      <c r="H849">
        <v>0</v>
      </c>
      <c r="I849">
        <v>5</v>
      </c>
      <c r="J849">
        <v>0</v>
      </c>
      <c r="K849">
        <v>0</v>
      </c>
      <c r="L849" t="s">
        <v>1221</v>
      </c>
      <c r="M849">
        <v>5</v>
      </c>
      <c r="N849">
        <v>0</v>
      </c>
      <c r="O849">
        <v>0.9</v>
      </c>
      <c r="P849" t="s">
        <v>114</v>
      </c>
      <c r="Q849">
        <v>0</v>
      </c>
      <c r="R849" t="s">
        <v>144</v>
      </c>
    </row>
    <row r="850" spans="1:18" x14ac:dyDescent="0.25">
      <c r="A850" t="s">
        <v>1222</v>
      </c>
      <c r="B850" s="2">
        <v>45464</v>
      </c>
      <c r="C850" t="s">
        <v>32</v>
      </c>
      <c r="D850" t="s">
        <v>118</v>
      </c>
      <c r="E850" t="s">
        <v>142</v>
      </c>
      <c r="F850">
        <v>3.9710000000000001</v>
      </c>
      <c r="G850">
        <v>0</v>
      </c>
      <c r="H850">
        <v>0</v>
      </c>
      <c r="I850">
        <v>20</v>
      </c>
      <c r="J850">
        <v>0</v>
      </c>
      <c r="K850">
        <v>0</v>
      </c>
      <c r="L850" t="s">
        <v>143</v>
      </c>
      <c r="M850">
        <v>20</v>
      </c>
      <c r="N850">
        <v>1</v>
      </c>
      <c r="O850">
        <v>0.9</v>
      </c>
      <c r="P850" t="s">
        <v>114</v>
      </c>
      <c r="Q850">
        <v>0.9</v>
      </c>
      <c r="R850" t="s">
        <v>144</v>
      </c>
    </row>
    <row r="851" spans="1:18" x14ac:dyDescent="0.25">
      <c r="A851" t="s">
        <v>1223</v>
      </c>
      <c r="B851" s="2">
        <v>45464</v>
      </c>
      <c r="C851" t="s">
        <v>32</v>
      </c>
      <c r="D851" t="s">
        <v>118</v>
      </c>
      <c r="E851" t="s">
        <v>142</v>
      </c>
      <c r="F851">
        <v>1.3620000000000001</v>
      </c>
      <c r="G851">
        <v>0</v>
      </c>
      <c r="H851">
        <v>0</v>
      </c>
      <c r="I851">
        <v>20</v>
      </c>
      <c r="J851">
        <v>0</v>
      </c>
      <c r="K851">
        <v>0</v>
      </c>
      <c r="L851" t="s">
        <v>143</v>
      </c>
      <c r="M851">
        <v>20</v>
      </c>
      <c r="N851">
        <v>1</v>
      </c>
      <c r="O851">
        <v>0.9</v>
      </c>
      <c r="P851" t="s">
        <v>114</v>
      </c>
      <c r="Q851">
        <v>0.9</v>
      </c>
      <c r="R851" t="s">
        <v>144</v>
      </c>
    </row>
    <row r="852" spans="1:18" x14ac:dyDescent="0.25">
      <c r="A852" t="s">
        <v>1224</v>
      </c>
      <c r="B852" s="2">
        <v>45464</v>
      </c>
      <c r="C852" t="s">
        <v>32</v>
      </c>
      <c r="D852" t="s">
        <v>118</v>
      </c>
      <c r="E852" t="s">
        <v>142</v>
      </c>
      <c r="F852">
        <v>9.3059999999999992</v>
      </c>
      <c r="G852">
        <v>0</v>
      </c>
      <c r="H852">
        <v>0</v>
      </c>
      <c r="I852">
        <v>20</v>
      </c>
      <c r="J852">
        <v>0</v>
      </c>
      <c r="K852">
        <v>0</v>
      </c>
      <c r="L852" t="s">
        <v>143</v>
      </c>
      <c r="M852">
        <v>20</v>
      </c>
      <c r="N852">
        <v>1</v>
      </c>
      <c r="O852">
        <v>0.9</v>
      </c>
      <c r="P852" t="s">
        <v>114</v>
      </c>
      <c r="Q852">
        <v>0.9</v>
      </c>
      <c r="R852" t="s">
        <v>144</v>
      </c>
    </row>
    <row r="853" spans="1:18" x14ac:dyDescent="0.25">
      <c r="A853" t="s">
        <v>1225</v>
      </c>
      <c r="B853" s="2">
        <v>45467</v>
      </c>
      <c r="C853" t="s">
        <v>32</v>
      </c>
      <c r="D853" t="s">
        <v>117</v>
      </c>
      <c r="E853" t="s">
        <v>142</v>
      </c>
      <c r="F853">
        <v>4.7930000000000001</v>
      </c>
      <c r="G853">
        <v>0</v>
      </c>
      <c r="H853">
        <v>0</v>
      </c>
      <c r="I853">
        <v>20</v>
      </c>
      <c r="J853">
        <v>0</v>
      </c>
      <c r="K853">
        <v>0</v>
      </c>
      <c r="L853" t="s">
        <v>143</v>
      </c>
      <c r="M853">
        <v>20</v>
      </c>
      <c r="N853">
        <v>1</v>
      </c>
      <c r="O853">
        <v>0.9</v>
      </c>
      <c r="P853" t="s">
        <v>115</v>
      </c>
      <c r="Q853">
        <v>0.9</v>
      </c>
      <c r="R853" t="s">
        <v>144</v>
      </c>
    </row>
    <row r="854" spans="1:18" x14ac:dyDescent="0.25">
      <c r="A854" t="s">
        <v>1226</v>
      </c>
      <c r="B854" s="2">
        <v>45467</v>
      </c>
      <c r="C854" t="s">
        <v>32</v>
      </c>
      <c r="D854" t="s">
        <v>117</v>
      </c>
      <c r="E854" t="s">
        <v>142</v>
      </c>
      <c r="F854">
        <v>3.0779999999999998</v>
      </c>
      <c r="G854">
        <v>0</v>
      </c>
      <c r="H854">
        <v>0</v>
      </c>
      <c r="I854">
        <v>20</v>
      </c>
      <c r="J854">
        <v>0</v>
      </c>
      <c r="K854">
        <v>0</v>
      </c>
      <c r="L854" t="s">
        <v>143</v>
      </c>
      <c r="M854">
        <v>20</v>
      </c>
      <c r="N854">
        <v>1</v>
      </c>
      <c r="O854">
        <v>0.9</v>
      </c>
      <c r="P854" t="s">
        <v>115</v>
      </c>
      <c r="Q854">
        <v>0.9</v>
      </c>
      <c r="R854" t="s">
        <v>144</v>
      </c>
    </row>
    <row r="855" spans="1:18" x14ac:dyDescent="0.25">
      <c r="A855" t="s">
        <v>1227</v>
      </c>
      <c r="B855" s="2">
        <v>45467</v>
      </c>
      <c r="C855" t="s">
        <v>32</v>
      </c>
      <c r="D855" t="s">
        <v>117</v>
      </c>
      <c r="E855" t="s">
        <v>142</v>
      </c>
      <c r="F855">
        <v>10</v>
      </c>
      <c r="G855">
        <v>2.1360000000000001</v>
      </c>
      <c r="H855">
        <v>3.2040000000000002</v>
      </c>
      <c r="I855">
        <v>20</v>
      </c>
      <c r="J855">
        <v>0</v>
      </c>
      <c r="K855">
        <v>0</v>
      </c>
      <c r="L855" t="s">
        <v>143</v>
      </c>
      <c r="M855">
        <v>23.204000000000001</v>
      </c>
      <c r="N855">
        <v>1</v>
      </c>
      <c r="O855">
        <v>0.9</v>
      </c>
      <c r="P855" t="s">
        <v>115</v>
      </c>
      <c r="Q855">
        <v>0.9</v>
      </c>
      <c r="R855" t="s">
        <v>144</v>
      </c>
    </row>
    <row r="856" spans="1:18" x14ac:dyDescent="0.25">
      <c r="A856" t="s">
        <v>1228</v>
      </c>
      <c r="B856" s="2">
        <v>45467</v>
      </c>
      <c r="C856" t="s">
        <v>32</v>
      </c>
      <c r="D856" t="s">
        <v>117</v>
      </c>
      <c r="E856" t="s">
        <v>142</v>
      </c>
      <c r="F856">
        <v>5.1360000000000001</v>
      </c>
      <c r="G856">
        <v>0</v>
      </c>
      <c r="H856">
        <v>0</v>
      </c>
      <c r="I856">
        <v>20</v>
      </c>
      <c r="J856">
        <v>0</v>
      </c>
      <c r="K856">
        <v>0</v>
      </c>
      <c r="L856" t="s">
        <v>143</v>
      </c>
      <c r="M856">
        <v>20</v>
      </c>
      <c r="N856">
        <v>1</v>
      </c>
      <c r="O856">
        <v>0.9</v>
      </c>
      <c r="P856" t="s">
        <v>115</v>
      </c>
      <c r="Q856">
        <v>0.9</v>
      </c>
      <c r="R856" t="s">
        <v>144</v>
      </c>
    </row>
    <row r="857" spans="1:18" x14ac:dyDescent="0.25">
      <c r="A857" t="s">
        <v>1229</v>
      </c>
      <c r="B857" s="2">
        <v>45467</v>
      </c>
      <c r="C857" t="s">
        <v>32</v>
      </c>
      <c r="D857" t="s">
        <v>117</v>
      </c>
      <c r="E857" t="s">
        <v>142</v>
      </c>
      <c r="F857">
        <v>4.3579999999999997</v>
      </c>
      <c r="G857">
        <v>0</v>
      </c>
      <c r="H857">
        <v>0</v>
      </c>
      <c r="I857">
        <v>20</v>
      </c>
      <c r="J857">
        <v>0</v>
      </c>
      <c r="K857">
        <v>0</v>
      </c>
      <c r="L857" t="s">
        <v>143</v>
      </c>
      <c r="M857">
        <v>20</v>
      </c>
      <c r="N857">
        <v>1</v>
      </c>
      <c r="O857">
        <v>0.9</v>
      </c>
      <c r="P857" t="s">
        <v>115</v>
      </c>
      <c r="Q857">
        <v>0.9</v>
      </c>
      <c r="R857" t="s">
        <v>144</v>
      </c>
    </row>
    <row r="858" spans="1:18" x14ac:dyDescent="0.25">
      <c r="A858" t="s">
        <v>1230</v>
      </c>
      <c r="B858" s="2">
        <v>45467</v>
      </c>
      <c r="C858" t="s">
        <v>32</v>
      </c>
      <c r="D858" t="s">
        <v>117</v>
      </c>
      <c r="E858" t="s">
        <v>142</v>
      </c>
      <c r="F858">
        <v>4.2510000000000003</v>
      </c>
      <c r="G858">
        <v>0</v>
      </c>
      <c r="H858">
        <v>0</v>
      </c>
      <c r="I858">
        <v>20</v>
      </c>
      <c r="J858">
        <v>0</v>
      </c>
      <c r="K858">
        <v>0</v>
      </c>
      <c r="L858" t="s">
        <v>143</v>
      </c>
      <c r="M858">
        <v>20</v>
      </c>
      <c r="N858">
        <v>1</v>
      </c>
      <c r="O858">
        <v>0.9</v>
      </c>
      <c r="P858" t="s">
        <v>115</v>
      </c>
      <c r="Q858">
        <v>0.9</v>
      </c>
      <c r="R858" t="s">
        <v>144</v>
      </c>
    </row>
    <row r="859" spans="1:18" x14ac:dyDescent="0.25">
      <c r="A859" t="s">
        <v>1231</v>
      </c>
      <c r="B859" s="2">
        <v>45467</v>
      </c>
      <c r="C859" t="s">
        <v>32</v>
      </c>
      <c r="D859" t="s">
        <v>117</v>
      </c>
      <c r="E859" t="s">
        <v>142</v>
      </c>
      <c r="F859">
        <v>2.7669999999999999</v>
      </c>
      <c r="G859">
        <v>0</v>
      </c>
      <c r="H859">
        <v>0</v>
      </c>
      <c r="I859">
        <v>5</v>
      </c>
      <c r="J859">
        <v>0</v>
      </c>
      <c r="K859">
        <v>0</v>
      </c>
      <c r="L859" t="s">
        <v>1232</v>
      </c>
      <c r="M859">
        <v>5</v>
      </c>
      <c r="N859">
        <v>0</v>
      </c>
      <c r="O859">
        <v>0.9</v>
      </c>
      <c r="P859" t="s">
        <v>115</v>
      </c>
      <c r="Q859">
        <v>0</v>
      </c>
      <c r="R859" t="s">
        <v>144</v>
      </c>
    </row>
    <row r="860" spans="1:18" x14ac:dyDescent="0.25">
      <c r="A860" t="s">
        <v>1233</v>
      </c>
      <c r="B860" s="2">
        <v>45467</v>
      </c>
      <c r="C860" t="s">
        <v>32</v>
      </c>
      <c r="D860" t="s">
        <v>117</v>
      </c>
      <c r="E860" t="s">
        <v>142</v>
      </c>
      <c r="F860">
        <v>0.871</v>
      </c>
      <c r="G860">
        <v>0</v>
      </c>
      <c r="H860">
        <v>0</v>
      </c>
      <c r="I860">
        <v>5</v>
      </c>
      <c r="J860">
        <v>0</v>
      </c>
      <c r="K860">
        <v>0</v>
      </c>
      <c r="L860" t="s">
        <v>1234</v>
      </c>
      <c r="M860">
        <v>5</v>
      </c>
      <c r="N860">
        <v>0</v>
      </c>
      <c r="O860">
        <v>0.9</v>
      </c>
      <c r="P860" t="s">
        <v>115</v>
      </c>
      <c r="Q860">
        <v>0</v>
      </c>
      <c r="R860" t="s">
        <v>144</v>
      </c>
    </row>
    <row r="861" spans="1:18" x14ac:dyDescent="0.25">
      <c r="A861" t="s">
        <v>1235</v>
      </c>
      <c r="B861" s="2">
        <v>45467</v>
      </c>
      <c r="C861" t="s">
        <v>32</v>
      </c>
      <c r="D861" t="s">
        <v>117</v>
      </c>
      <c r="E861" t="s">
        <v>142</v>
      </c>
      <c r="F861">
        <v>10</v>
      </c>
      <c r="G861">
        <v>3.7989999999999999</v>
      </c>
      <c r="H861">
        <v>5.6985000000000001</v>
      </c>
      <c r="I861">
        <v>20</v>
      </c>
      <c r="J861">
        <v>0</v>
      </c>
      <c r="K861">
        <v>0</v>
      </c>
      <c r="L861" t="s">
        <v>143</v>
      </c>
      <c r="M861">
        <v>25.698499999999999</v>
      </c>
      <c r="N861">
        <v>1</v>
      </c>
      <c r="O861">
        <v>0.9</v>
      </c>
      <c r="P861" t="s">
        <v>115</v>
      </c>
      <c r="Q861">
        <v>0.9</v>
      </c>
      <c r="R861" t="s">
        <v>144</v>
      </c>
    </row>
    <row r="862" spans="1:18" x14ac:dyDescent="0.25">
      <c r="A862" t="s">
        <v>1236</v>
      </c>
      <c r="B862" s="2">
        <v>45467</v>
      </c>
      <c r="C862" t="s">
        <v>32</v>
      </c>
      <c r="D862" t="s">
        <v>117</v>
      </c>
      <c r="E862" t="s">
        <v>142</v>
      </c>
      <c r="F862">
        <v>5.4260000000000002</v>
      </c>
      <c r="G862">
        <v>0</v>
      </c>
      <c r="H862">
        <v>0</v>
      </c>
      <c r="I862">
        <v>20</v>
      </c>
      <c r="J862">
        <v>0</v>
      </c>
      <c r="K862">
        <v>0</v>
      </c>
      <c r="L862" t="s">
        <v>1237</v>
      </c>
      <c r="M862">
        <v>20</v>
      </c>
      <c r="N862">
        <v>1</v>
      </c>
      <c r="O862">
        <v>0.9</v>
      </c>
      <c r="P862" t="s">
        <v>115</v>
      </c>
      <c r="Q862">
        <v>0.9</v>
      </c>
      <c r="R862" t="s">
        <v>144</v>
      </c>
    </row>
    <row r="863" spans="1:18" x14ac:dyDescent="0.25">
      <c r="A863" t="s">
        <v>1238</v>
      </c>
      <c r="B863" s="2">
        <v>45467</v>
      </c>
      <c r="C863" t="s">
        <v>32</v>
      </c>
      <c r="D863" t="s">
        <v>118</v>
      </c>
      <c r="E863" t="s">
        <v>142</v>
      </c>
      <c r="F863">
        <v>6.5060000000000002</v>
      </c>
      <c r="G863">
        <v>0</v>
      </c>
      <c r="H863">
        <v>0</v>
      </c>
      <c r="I863">
        <v>20</v>
      </c>
      <c r="J863">
        <v>0</v>
      </c>
      <c r="K863">
        <v>0</v>
      </c>
      <c r="L863" t="s">
        <v>143</v>
      </c>
      <c r="M863">
        <v>20</v>
      </c>
      <c r="N863">
        <v>1</v>
      </c>
      <c r="O863">
        <v>0.9</v>
      </c>
      <c r="P863" t="s">
        <v>115</v>
      </c>
      <c r="Q863">
        <v>0.9</v>
      </c>
      <c r="R863" t="s">
        <v>144</v>
      </c>
    </row>
    <row r="864" spans="1:18" x14ac:dyDescent="0.25">
      <c r="A864" t="s">
        <v>1239</v>
      </c>
      <c r="B864" s="2">
        <v>45467</v>
      </c>
      <c r="C864" t="s">
        <v>32</v>
      </c>
      <c r="D864" t="s">
        <v>118</v>
      </c>
      <c r="E864" t="s">
        <v>142</v>
      </c>
      <c r="F864">
        <v>4.7469999999999999</v>
      </c>
      <c r="G864">
        <v>0</v>
      </c>
      <c r="H864">
        <v>0</v>
      </c>
      <c r="I864">
        <v>20</v>
      </c>
      <c r="J864">
        <v>0</v>
      </c>
      <c r="K864">
        <v>0</v>
      </c>
      <c r="L864" t="s">
        <v>143</v>
      </c>
      <c r="M864">
        <v>20</v>
      </c>
      <c r="N864">
        <v>1</v>
      </c>
      <c r="O864">
        <v>0.9</v>
      </c>
      <c r="P864" t="s">
        <v>115</v>
      </c>
      <c r="Q864">
        <v>0.9</v>
      </c>
      <c r="R864" t="s">
        <v>144</v>
      </c>
    </row>
    <row r="865" spans="1:18" x14ac:dyDescent="0.25">
      <c r="A865" t="s">
        <v>1240</v>
      </c>
      <c r="B865" s="2">
        <v>45467</v>
      </c>
      <c r="C865" t="s">
        <v>32</v>
      </c>
      <c r="D865" t="s">
        <v>118</v>
      </c>
      <c r="E865" t="s">
        <v>142</v>
      </c>
      <c r="F865">
        <v>10</v>
      </c>
      <c r="G865">
        <v>3.875</v>
      </c>
      <c r="H865">
        <v>5.8125</v>
      </c>
      <c r="I865">
        <v>20</v>
      </c>
      <c r="J865">
        <v>0</v>
      </c>
      <c r="K865">
        <v>0</v>
      </c>
      <c r="L865" t="s">
        <v>143</v>
      </c>
      <c r="M865">
        <v>25.8125</v>
      </c>
      <c r="N865">
        <v>1</v>
      </c>
      <c r="O865">
        <v>0.9</v>
      </c>
      <c r="P865" t="s">
        <v>115</v>
      </c>
      <c r="Q865">
        <v>0.9</v>
      </c>
      <c r="R865" t="s">
        <v>144</v>
      </c>
    </row>
    <row r="866" spans="1:18" x14ac:dyDescent="0.25">
      <c r="A866" t="s">
        <v>1241</v>
      </c>
      <c r="B866" s="2">
        <v>45467</v>
      </c>
      <c r="C866" t="s">
        <v>32</v>
      </c>
      <c r="D866" t="s">
        <v>118</v>
      </c>
      <c r="E866" t="s">
        <v>142</v>
      </c>
      <c r="F866">
        <v>10</v>
      </c>
      <c r="G866">
        <v>4</v>
      </c>
      <c r="H866">
        <v>6</v>
      </c>
      <c r="I866">
        <v>20</v>
      </c>
      <c r="J866">
        <v>0</v>
      </c>
      <c r="K866">
        <v>0</v>
      </c>
      <c r="L866" t="s">
        <v>143</v>
      </c>
      <c r="M866">
        <v>26</v>
      </c>
      <c r="N866">
        <v>1</v>
      </c>
      <c r="O866">
        <v>0.9</v>
      </c>
      <c r="P866" t="s">
        <v>115</v>
      </c>
      <c r="Q866">
        <v>0.9</v>
      </c>
      <c r="R866" t="s">
        <v>144</v>
      </c>
    </row>
    <row r="867" spans="1:18" x14ac:dyDescent="0.25">
      <c r="A867" t="s">
        <v>1242</v>
      </c>
      <c r="B867" s="2">
        <v>45467</v>
      </c>
      <c r="C867" t="s">
        <v>32</v>
      </c>
      <c r="D867" t="s">
        <v>118</v>
      </c>
      <c r="E867" t="s">
        <v>142</v>
      </c>
      <c r="F867">
        <v>10</v>
      </c>
      <c r="G867">
        <v>2</v>
      </c>
      <c r="H867">
        <v>3</v>
      </c>
      <c r="I867">
        <v>20</v>
      </c>
      <c r="J867">
        <v>0</v>
      </c>
      <c r="K867">
        <v>0</v>
      </c>
      <c r="L867" t="s">
        <v>1243</v>
      </c>
      <c r="M867">
        <v>23</v>
      </c>
      <c r="N867">
        <v>1</v>
      </c>
      <c r="O867">
        <v>0.9</v>
      </c>
      <c r="P867" t="s">
        <v>115</v>
      </c>
      <c r="Q867">
        <v>0.9</v>
      </c>
      <c r="R867" t="s">
        <v>144</v>
      </c>
    </row>
    <row r="868" spans="1:18" x14ac:dyDescent="0.25">
      <c r="A868" t="s">
        <v>1244</v>
      </c>
      <c r="B868" s="2">
        <v>45467</v>
      </c>
      <c r="C868" t="s">
        <v>32</v>
      </c>
      <c r="D868" t="s">
        <v>118</v>
      </c>
      <c r="E868" t="s">
        <v>142</v>
      </c>
      <c r="F868">
        <v>6.335</v>
      </c>
      <c r="G868">
        <v>0</v>
      </c>
      <c r="H868">
        <v>0</v>
      </c>
      <c r="I868">
        <v>5</v>
      </c>
      <c r="J868">
        <v>0</v>
      </c>
      <c r="K868">
        <v>0</v>
      </c>
      <c r="L868" t="s">
        <v>1245</v>
      </c>
      <c r="M868">
        <v>5</v>
      </c>
      <c r="N868">
        <v>0</v>
      </c>
      <c r="O868">
        <v>0.9</v>
      </c>
      <c r="P868" t="s">
        <v>115</v>
      </c>
      <c r="Q868">
        <v>0</v>
      </c>
      <c r="R868" t="s">
        <v>144</v>
      </c>
    </row>
    <row r="869" spans="1:18" x14ac:dyDescent="0.25">
      <c r="A869" t="s">
        <v>1246</v>
      </c>
      <c r="B869" s="2">
        <v>45467</v>
      </c>
      <c r="C869" t="s">
        <v>32</v>
      </c>
      <c r="D869" t="s">
        <v>118</v>
      </c>
      <c r="E869" t="s">
        <v>142</v>
      </c>
      <c r="F869">
        <v>1.607</v>
      </c>
      <c r="G869">
        <v>0</v>
      </c>
      <c r="H869">
        <v>0</v>
      </c>
      <c r="I869">
        <v>5</v>
      </c>
      <c r="J869">
        <v>0</v>
      </c>
      <c r="K869">
        <v>0</v>
      </c>
      <c r="L869" t="s">
        <v>1247</v>
      </c>
      <c r="M869">
        <v>5</v>
      </c>
      <c r="N869">
        <v>0</v>
      </c>
      <c r="O869">
        <v>0.9</v>
      </c>
      <c r="P869" t="s">
        <v>115</v>
      </c>
      <c r="Q869">
        <v>0</v>
      </c>
      <c r="R869" t="s">
        <v>144</v>
      </c>
    </row>
    <row r="870" spans="1:18" x14ac:dyDescent="0.25">
      <c r="A870" t="s">
        <v>1248</v>
      </c>
      <c r="B870" s="2">
        <v>45467</v>
      </c>
      <c r="C870" t="s">
        <v>32</v>
      </c>
      <c r="D870" t="s">
        <v>118</v>
      </c>
      <c r="E870" t="s">
        <v>142</v>
      </c>
      <c r="F870">
        <v>6.2169999999999996</v>
      </c>
      <c r="G870">
        <v>0</v>
      </c>
      <c r="H870">
        <v>0</v>
      </c>
      <c r="I870">
        <v>5</v>
      </c>
      <c r="J870">
        <v>0</v>
      </c>
      <c r="K870">
        <v>0</v>
      </c>
      <c r="L870" t="s">
        <v>1249</v>
      </c>
      <c r="M870">
        <v>5</v>
      </c>
      <c r="N870">
        <v>0</v>
      </c>
      <c r="O870">
        <v>0.9</v>
      </c>
      <c r="P870" t="s">
        <v>115</v>
      </c>
      <c r="Q870">
        <v>0</v>
      </c>
      <c r="R870" t="s">
        <v>144</v>
      </c>
    </row>
    <row r="871" spans="1:18" x14ac:dyDescent="0.25">
      <c r="A871" t="s">
        <v>1250</v>
      </c>
      <c r="B871" s="2">
        <v>45467</v>
      </c>
      <c r="C871" t="s">
        <v>32</v>
      </c>
      <c r="D871" t="s">
        <v>118</v>
      </c>
      <c r="E871" t="s">
        <v>142</v>
      </c>
      <c r="F871">
        <v>10</v>
      </c>
      <c r="G871">
        <v>8.1859999999999999</v>
      </c>
      <c r="H871">
        <v>12.279</v>
      </c>
      <c r="I871">
        <v>20</v>
      </c>
      <c r="J871">
        <v>0</v>
      </c>
      <c r="K871">
        <v>0</v>
      </c>
      <c r="L871" t="s">
        <v>143</v>
      </c>
      <c r="M871">
        <v>32.279000000000003</v>
      </c>
      <c r="N871">
        <v>1</v>
      </c>
      <c r="O871">
        <v>0.9</v>
      </c>
      <c r="P871" t="s">
        <v>115</v>
      </c>
      <c r="Q871">
        <v>0.9</v>
      </c>
      <c r="R871" t="s">
        <v>144</v>
      </c>
    </row>
    <row r="872" spans="1:18" x14ac:dyDescent="0.25">
      <c r="A872" t="s">
        <v>1251</v>
      </c>
      <c r="B872" s="2">
        <v>45467</v>
      </c>
      <c r="C872" t="s">
        <v>32</v>
      </c>
      <c r="D872" t="s">
        <v>118</v>
      </c>
      <c r="E872" t="s">
        <v>142</v>
      </c>
      <c r="F872">
        <v>4.056</v>
      </c>
      <c r="G872">
        <v>0</v>
      </c>
      <c r="H872">
        <v>0</v>
      </c>
      <c r="I872">
        <v>20</v>
      </c>
      <c r="J872">
        <v>0</v>
      </c>
      <c r="K872">
        <v>0</v>
      </c>
      <c r="L872" t="s">
        <v>143</v>
      </c>
      <c r="M872">
        <v>20</v>
      </c>
      <c r="N872">
        <v>1</v>
      </c>
      <c r="O872">
        <v>0.9</v>
      </c>
      <c r="P872" t="s">
        <v>115</v>
      </c>
      <c r="Q872">
        <v>0.9</v>
      </c>
      <c r="R872" t="s">
        <v>144</v>
      </c>
    </row>
    <row r="873" spans="1:18" x14ac:dyDescent="0.25">
      <c r="A873" t="s">
        <v>1252</v>
      </c>
      <c r="B873" s="2">
        <v>45468</v>
      </c>
      <c r="C873" t="s">
        <v>32</v>
      </c>
      <c r="D873" t="s">
        <v>117</v>
      </c>
      <c r="E873" t="s">
        <v>142</v>
      </c>
      <c r="F873">
        <v>6.6559999999999997</v>
      </c>
      <c r="G873">
        <v>0</v>
      </c>
      <c r="H873">
        <v>0</v>
      </c>
      <c r="I873">
        <v>20</v>
      </c>
      <c r="J873">
        <v>0</v>
      </c>
      <c r="K873">
        <v>0</v>
      </c>
      <c r="L873" t="s">
        <v>143</v>
      </c>
      <c r="M873">
        <v>20</v>
      </c>
      <c r="N873">
        <v>1</v>
      </c>
      <c r="O873">
        <v>0.9</v>
      </c>
      <c r="P873" t="s">
        <v>115</v>
      </c>
      <c r="Q873">
        <v>0.9</v>
      </c>
      <c r="R873" t="s">
        <v>144</v>
      </c>
    </row>
    <row r="874" spans="1:18" x14ac:dyDescent="0.25">
      <c r="A874" t="s">
        <v>1253</v>
      </c>
      <c r="B874" s="2">
        <v>45468</v>
      </c>
      <c r="C874" t="s">
        <v>32</v>
      </c>
      <c r="D874" t="s">
        <v>117</v>
      </c>
      <c r="E874" t="s">
        <v>142</v>
      </c>
      <c r="F874">
        <v>1.252</v>
      </c>
      <c r="G874">
        <v>0</v>
      </c>
      <c r="H874">
        <v>0</v>
      </c>
      <c r="I874">
        <v>20</v>
      </c>
      <c r="J874">
        <v>0</v>
      </c>
      <c r="K874">
        <v>0</v>
      </c>
      <c r="L874" t="s">
        <v>143</v>
      </c>
      <c r="M874">
        <v>20</v>
      </c>
      <c r="N874">
        <v>1</v>
      </c>
      <c r="O874">
        <v>0.9</v>
      </c>
      <c r="P874" t="s">
        <v>115</v>
      </c>
      <c r="Q874">
        <v>0.9</v>
      </c>
      <c r="R874" t="s">
        <v>144</v>
      </c>
    </row>
    <row r="875" spans="1:18" x14ac:dyDescent="0.25">
      <c r="A875" t="s">
        <v>1254</v>
      </c>
      <c r="B875" s="2">
        <v>45468</v>
      </c>
      <c r="C875" t="s">
        <v>32</v>
      </c>
      <c r="D875" t="s">
        <v>117</v>
      </c>
      <c r="E875" t="s">
        <v>142</v>
      </c>
      <c r="F875">
        <v>1.732</v>
      </c>
      <c r="G875">
        <v>0</v>
      </c>
      <c r="H875">
        <v>0</v>
      </c>
      <c r="I875">
        <v>20</v>
      </c>
      <c r="J875">
        <v>0</v>
      </c>
      <c r="K875">
        <v>0</v>
      </c>
      <c r="L875" t="s">
        <v>143</v>
      </c>
      <c r="M875">
        <v>20</v>
      </c>
      <c r="N875">
        <v>1</v>
      </c>
      <c r="O875">
        <v>0.9</v>
      </c>
      <c r="P875" t="s">
        <v>115</v>
      </c>
      <c r="Q875">
        <v>0.9</v>
      </c>
      <c r="R875" t="s">
        <v>144</v>
      </c>
    </row>
    <row r="876" spans="1:18" x14ac:dyDescent="0.25">
      <c r="A876" t="s">
        <v>1255</v>
      </c>
      <c r="B876" s="2">
        <v>45468</v>
      </c>
      <c r="C876" t="s">
        <v>32</v>
      </c>
      <c r="D876" t="s">
        <v>117</v>
      </c>
      <c r="E876" t="s">
        <v>142</v>
      </c>
      <c r="F876">
        <v>10</v>
      </c>
      <c r="G876">
        <v>0.79100000000000004</v>
      </c>
      <c r="H876">
        <v>1.1865000000000001</v>
      </c>
      <c r="I876">
        <v>20</v>
      </c>
      <c r="J876">
        <v>0</v>
      </c>
      <c r="K876">
        <v>0</v>
      </c>
      <c r="L876" t="s">
        <v>143</v>
      </c>
      <c r="M876">
        <v>21.186499999999999</v>
      </c>
      <c r="N876">
        <v>1</v>
      </c>
      <c r="O876">
        <v>0.9</v>
      </c>
      <c r="P876" t="s">
        <v>115</v>
      </c>
      <c r="Q876">
        <v>0.9</v>
      </c>
      <c r="R876" t="s">
        <v>144</v>
      </c>
    </row>
    <row r="877" spans="1:18" x14ac:dyDescent="0.25">
      <c r="A877" t="s">
        <v>1256</v>
      </c>
      <c r="B877" s="2">
        <v>45468</v>
      </c>
      <c r="C877" t="s">
        <v>32</v>
      </c>
      <c r="D877" t="s">
        <v>117</v>
      </c>
      <c r="E877" t="s">
        <v>142</v>
      </c>
      <c r="F877">
        <v>7.6639999999999997</v>
      </c>
      <c r="G877">
        <v>0</v>
      </c>
      <c r="H877">
        <v>0</v>
      </c>
      <c r="I877">
        <v>20</v>
      </c>
      <c r="J877">
        <v>0</v>
      </c>
      <c r="K877">
        <v>0</v>
      </c>
      <c r="L877" t="s">
        <v>143</v>
      </c>
      <c r="M877">
        <v>20</v>
      </c>
      <c r="N877">
        <v>1</v>
      </c>
      <c r="O877">
        <v>0.9</v>
      </c>
      <c r="P877" t="s">
        <v>115</v>
      </c>
      <c r="Q877">
        <v>0.9</v>
      </c>
      <c r="R877" t="s">
        <v>144</v>
      </c>
    </row>
    <row r="878" spans="1:18" x14ac:dyDescent="0.25">
      <c r="A878" t="s">
        <v>1257</v>
      </c>
      <c r="B878" s="2">
        <v>45468</v>
      </c>
      <c r="C878" t="s">
        <v>32</v>
      </c>
      <c r="D878" t="s">
        <v>117</v>
      </c>
      <c r="E878" t="s">
        <v>142</v>
      </c>
      <c r="F878">
        <v>10</v>
      </c>
      <c r="G878">
        <v>4.8659999999999997</v>
      </c>
      <c r="H878">
        <v>7.2990000000000004</v>
      </c>
      <c r="I878">
        <v>20</v>
      </c>
      <c r="J878">
        <v>0</v>
      </c>
      <c r="K878">
        <v>0</v>
      </c>
      <c r="L878" t="s">
        <v>1258</v>
      </c>
      <c r="M878">
        <v>27.298999999999999</v>
      </c>
      <c r="N878">
        <v>1</v>
      </c>
      <c r="O878">
        <v>0.9</v>
      </c>
      <c r="P878" t="s">
        <v>115</v>
      </c>
      <c r="Q878">
        <v>0.9</v>
      </c>
      <c r="R878" t="s">
        <v>144</v>
      </c>
    </row>
    <row r="879" spans="1:18" x14ac:dyDescent="0.25">
      <c r="A879" t="s">
        <v>1259</v>
      </c>
      <c r="B879" s="2">
        <v>45468</v>
      </c>
      <c r="C879" t="s">
        <v>32</v>
      </c>
      <c r="D879" t="s">
        <v>117</v>
      </c>
      <c r="E879" t="s">
        <v>142</v>
      </c>
      <c r="F879">
        <v>7.3280000000000003</v>
      </c>
      <c r="G879">
        <v>0</v>
      </c>
      <c r="H879">
        <v>0</v>
      </c>
      <c r="I879">
        <v>20</v>
      </c>
      <c r="J879">
        <v>0</v>
      </c>
      <c r="K879">
        <v>0</v>
      </c>
      <c r="L879" t="s">
        <v>143</v>
      </c>
      <c r="M879">
        <v>20</v>
      </c>
      <c r="N879">
        <v>1</v>
      </c>
      <c r="O879">
        <v>0.9</v>
      </c>
      <c r="P879" t="s">
        <v>115</v>
      </c>
      <c r="Q879">
        <v>0.9</v>
      </c>
      <c r="R879" t="s">
        <v>144</v>
      </c>
    </row>
    <row r="880" spans="1:18" x14ac:dyDescent="0.25">
      <c r="A880" t="s">
        <v>1260</v>
      </c>
      <c r="B880" s="2">
        <v>45468</v>
      </c>
      <c r="C880" t="s">
        <v>32</v>
      </c>
      <c r="D880" t="s">
        <v>117</v>
      </c>
      <c r="E880" t="s">
        <v>142</v>
      </c>
      <c r="F880">
        <v>4.2320000000000002</v>
      </c>
      <c r="G880">
        <v>0</v>
      </c>
      <c r="H880">
        <v>0</v>
      </c>
      <c r="I880">
        <v>20</v>
      </c>
      <c r="J880">
        <v>0</v>
      </c>
      <c r="K880">
        <v>0</v>
      </c>
      <c r="L880" t="s">
        <v>143</v>
      </c>
      <c r="M880">
        <v>20</v>
      </c>
      <c r="N880">
        <v>1</v>
      </c>
      <c r="O880">
        <v>0.9</v>
      </c>
      <c r="P880" t="s">
        <v>115</v>
      </c>
      <c r="Q880">
        <v>0.9</v>
      </c>
      <c r="R880" t="s">
        <v>144</v>
      </c>
    </row>
    <row r="881" spans="1:18" x14ac:dyDescent="0.25">
      <c r="A881" t="s">
        <v>1261</v>
      </c>
      <c r="B881" s="2">
        <v>45468</v>
      </c>
      <c r="C881" t="s">
        <v>32</v>
      </c>
      <c r="D881" t="s">
        <v>118</v>
      </c>
      <c r="E881" t="s">
        <v>142</v>
      </c>
      <c r="F881">
        <v>6.5469999999999997</v>
      </c>
      <c r="G881">
        <v>0</v>
      </c>
      <c r="H881">
        <v>0</v>
      </c>
      <c r="I881">
        <v>20</v>
      </c>
      <c r="J881">
        <v>0</v>
      </c>
      <c r="K881">
        <v>0</v>
      </c>
      <c r="L881" t="s">
        <v>143</v>
      </c>
      <c r="M881">
        <v>20</v>
      </c>
      <c r="N881">
        <v>1</v>
      </c>
      <c r="O881">
        <v>0.9</v>
      </c>
      <c r="P881" t="s">
        <v>115</v>
      </c>
      <c r="Q881">
        <v>0.9</v>
      </c>
      <c r="R881" t="s">
        <v>144</v>
      </c>
    </row>
    <row r="882" spans="1:18" x14ac:dyDescent="0.25">
      <c r="A882" t="s">
        <v>1262</v>
      </c>
      <c r="B882" s="2">
        <v>45468</v>
      </c>
      <c r="C882" t="s">
        <v>32</v>
      </c>
      <c r="D882" t="s">
        <v>118</v>
      </c>
      <c r="E882" t="s">
        <v>142</v>
      </c>
      <c r="F882">
        <v>5.032</v>
      </c>
      <c r="G882">
        <v>0</v>
      </c>
      <c r="H882">
        <v>0</v>
      </c>
      <c r="I882">
        <v>5</v>
      </c>
      <c r="J882">
        <v>0</v>
      </c>
      <c r="K882">
        <v>0</v>
      </c>
      <c r="L882" t="s">
        <v>1263</v>
      </c>
      <c r="M882">
        <v>5</v>
      </c>
      <c r="N882">
        <v>0</v>
      </c>
      <c r="O882">
        <v>0.9</v>
      </c>
      <c r="P882" t="s">
        <v>115</v>
      </c>
      <c r="Q882">
        <v>0</v>
      </c>
      <c r="R882" t="s">
        <v>144</v>
      </c>
    </row>
    <row r="883" spans="1:18" x14ac:dyDescent="0.25">
      <c r="A883" t="s">
        <v>1264</v>
      </c>
      <c r="B883" s="2">
        <v>45468</v>
      </c>
      <c r="C883" t="s">
        <v>32</v>
      </c>
      <c r="D883" t="s">
        <v>118</v>
      </c>
      <c r="E883" t="s">
        <v>142</v>
      </c>
      <c r="F883">
        <v>0.37</v>
      </c>
      <c r="G883">
        <v>0</v>
      </c>
      <c r="H883">
        <v>0</v>
      </c>
      <c r="I883">
        <v>20</v>
      </c>
      <c r="J883">
        <v>0</v>
      </c>
      <c r="K883">
        <v>0</v>
      </c>
      <c r="L883" t="s">
        <v>1265</v>
      </c>
      <c r="M883">
        <v>20</v>
      </c>
      <c r="N883">
        <v>1</v>
      </c>
      <c r="O883">
        <v>0.9</v>
      </c>
      <c r="P883" t="s">
        <v>115</v>
      </c>
      <c r="Q883">
        <v>0.9</v>
      </c>
      <c r="R883" t="s">
        <v>144</v>
      </c>
    </row>
    <row r="884" spans="1:18" x14ac:dyDescent="0.25">
      <c r="A884" t="s">
        <v>1266</v>
      </c>
      <c r="B884" s="2">
        <v>45468</v>
      </c>
      <c r="C884" t="s">
        <v>32</v>
      </c>
      <c r="D884" t="s">
        <v>118</v>
      </c>
      <c r="E884" t="s">
        <v>142</v>
      </c>
      <c r="F884">
        <v>5.93</v>
      </c>
      <c r="G884">
        <v>0</v>
      </c>
      <c r="H884">
        <v>0</v>
      </c>
      <c r="I884">
        <v>20</v>
      </c>
      <c r="J884">
        <v>0</v>
      </c>
      <c r="K884">
        <v>0</v>
      </c>
      <c r="L884" t="s">
        <v>143</v>
      </c>
      <c r="M884">
        <v>20</v>
      </c>
      <c r="N884">
        <v>1</v>
      </c>
      <c r="O884">
        <v>0.9</v>
      </c>
      <c r="P884" t="s">
        <v>115</v>
      </c>
      <c r="Q884">
        <v>0.9</v>
      </c>
      <c r="R884" t="s">
        <v>144</v>
      </c>
    </row>
    <row r="885" spans="1:18" x14ac:dyDescent="0.25">
      <c r="A885" t="s">
        <v>1267</v>
      </c>
      <c r="B885" s="2">
        <v>45468</v>
      </c>
      <c r="C885" t="s">
        <v>32</v>
      </c>
      <c r="D885" t="s">
        <v>118</v>
      </c>
      <c r="E885" t="s">
        <v>142</v>
      </c>
      <c r="F885">
        <v>10</v>
      </c>
      <c r="G885">
        <v>5.4169999999999998</v>
      </c>
      <c r="H885">
        <v>0</v>
      </c>
      <c r="I885">
        <v>5</v>
      </c>
      <c r="J885">
        <v>0</v>
      </c>
      <c r="K885">
        <v>0</v>
      </c>
      <c r="L885" t="s">
        <v>1268</v>
      </c>
      <c r="M885">
        <v>5</v>
      </c>
      <c r="N885">
        <v>0</v>
      </c>
      <c r="O885">
        <v>0.9</v>
      </c>
      <c r="P885" t="s">
        <v>115</v>
      </c>
      <c r="Q885">
        <v>0</v>
      </c>
      <c r="R885" t="s">
        <v>144</v>
      </c>
    </row>
    <row r="886" spans="1:18" x14ac:dyDescent="0.25">
      <c r="A886" t="s">
        <v>1269</v>
      </c>
      <c r="B886" s="2">
        <v>45468</v>
      </c>
      <c r="C886" t="s">
        <v>32</v>
      </c>
      <c r="D886" t="s">
        <v>118</v>
      </c>
      <c r="E886" t="s">
        <v>142</v>
      </c>
      <c r="F886">
        <v>10</v>
      </c>
      <c r="G886">
        <v>3.9249999999999998</v>
      </c>
      <c r="H886">
        <v>0</v>
      </c>
      <c r="I886">
        <v>5</v>
      </c>
      <c r="J886">
        <v>0</v>
      </c>
      <c r="K886">
        <v>0</v>
      </c>
      <c r="L886" t="s">
        <v>1270</v>
      </c>
      <c r="M886">
        <v>5</v>
      </c>
      <c r="N886">
        <v>0</v>
      </c>
      <c r="O886">
        <v>0.9</v>
      </c>
      <c r="P886" t="s">
        <v>115</v>
      </c>
      <c r="Q886">
        <v>0</v>
      </c>
      <c r="R886" t="s">
        <v>144</v>
      </c>
    </row>
    <row r="887" spans="1:18" x14ac:dyDescent="0.25">
      <c r="A887" t="s">
        <v>1271</v>
      </c>
      <c r="B887" s="2">
        <v>45468</v>
      </c>
      <c r="C887" t="s">
        <v>32</v>
      </c>
      <c r="D887" t="s">
        <v>118</v>
      </c>
      <c r="E887" t="s">
        <v>142</v>
      </c>
      <c r="F887">
        <v>0.999</v>
      </c>
      <c r="G887">
        <v>0</v>
      </c>
      <c r="H887">
        <v>0</v>
      </c>
      <c r="I887">
        <v>5</v>
      </c>
      <c r="J887">
        <v>0</v>
      </c>
      <c r="K887">
        <v>0</v>
      </c>
      <c r="L887" t="s">
        <v>1272</v>
      </c>
      <c r="M887">
        <v>5</v>
      </c>
      <c r="N887">
        <v>0</v>
      </c>
      <c r="O887">
        <v>0.9</v>
      </c>
      <c r="P887" t="s">
        <v>115</v>
      </c>
      <c r="Q887">
        <v>0</v>
      </c>
      <c r="R887" t="s">
        <v>144</v>
      </c>
    </row>
    <row r="888" spans="1:18" x14ac:dyDescent="0.25">
      <c r="A888" t="s">
        <v>1273</v>
      </c>
      <c r="B888" s="2">
        <v>45468</v>
      </c>
      <c r="C888" t="s">
        <v>32</v>
      </c>
      <c r="D888" t="s">
        <v>118</v>
      </c>
      <c r="E888" t="s">
        <v>142</v>
      </c>
      <c r="F888">
        <v>3.6619999999999999</v>
      </c>
      <c r="G888">
        <v>0</v>
      </c>
      <c r="H888">
        <v>0</v>
      </c>
      <c r="I888">
        <v>20</v>
      </c>
      <c r="J888">
        <v>0</v>
      </c>
      <c r="K888">
        <v>0</v>
      </c>
      <c r="L888" t="s">
        <v>143</v>
      </c>
      <c r="M888">
        <v>20</v>
      </c>
      <c r="N888">
        <v>1</v>
      </c>
      <c r="O888">
        <v>0.9</v>
      </c>
      <c r="P888" t="s">
        <v>115</v>
      </c>
      <c r="Q888">
        <v>0.9</v>
      </c>
      <c r="R888" t="s">
        <v>144</v>
      </c>
    </row>
    <row r="889" spans="1:18" x14ac:dyDescent="0.25">
      <c r="A889" t="s">
        <v>1274</v>
      </c>
      <c r="B889" s="2">
        <v>45468</v>
      </c>
      <c r="C889" t="s">
        <v>32</v>
      </c>
      <c r="D889" t="s">
        <v>118</v>
      </c>
      <c r="E889" t="s">
        <v>142</v>
      </c>
      <c r="F889">
        <v>2.0859999999999999</v>
      </c>
      <c r="G889">
        <v>0</v>
      </c>
      <c r="H889">
        <v>0</v>
      </c>
      <c r="I889">
        <v>20</v>
      </c>
      <c r="J889">
        <v>0</v>
      </c>
      <c r="K889">
        <v>0</v>
      </c>
      <c r="L889" t="s">
        <v>143</v>
      </c>
      <c r="M889">
        <v>20</v>
      </c>
      <c r="N889">
        <v>1</v>
      </c>
      <c r="O889">
        <v>0.9</v>
      </c>
      <c r="P889" t="s">
        <v>115</v>
      </c>
      <c r="Q889">
        <v>0.9</v>
      </c>
      <c r="R889" t="s">
        <v>144</v>
      </c>
    </row>
    <row r="890" spans="1:18" x14ac:dyDescent="0.25">
      <c r="A890" t="s">
        <v>1275</v>
      </c>
      <c r="B890" s="2">
        <v>45468</v>
      </c>
      <c r="C890" t="s">
        <v>32</v>
      </c>
      <c r="D890" t="s">
        <v>118</v>
      </c>
      <c r="E890" t="s">
        <v>142</v>
      </c>
      <c r="F890">
        <v>6.47</v>
      </c>
      <c r="G890">
        <v>0</v>
      </c>
      <c r="H890">
        <v>0</v>
      </c>
      <c r="I890">
        <v>20</v>
      </c>
      <c r="J890">
        <v>0</v>
      </c>
      <c r="K890">
        <v>0</v>
      </c>
      <c r="L890" t="s">
        <v>143</v>
      </c>
      <c r="M890">
        <v>20</v>
      </c>
      <c r="N890">
        <v>1</v>
      </c>
      <c r="O890">
        <v>0.9</v>
      </c>
      <c r="P890" t="s">
        <v>115</v>
      </c>
      <c r="Q890">
        <v>0.9</v>
      </c>
      <c r="R890" t="s">
        <v>144</v>
      </c>
    </row>
    <row r="891" spans="1:18" x14ac:dyDescent="0.25">
      <c r="A891" t="s">
        <v>1276</v>
      </c>
      <c r="B891" s="2">
        <v>45468</v>
      </c>
      <c r="C891" t="s">
        <v>32</v>
      </c>
      <c r="D891" t="s">
        <v>118</v>
      </c>
      <c r="E891" t="s">
        <v>142</v>
      </c>
      <c r="F891">
        <v>1.54</v>
      </c>
      <c r="G891">
        <v>0</v>
      </c>
      <c r="H891">
        <v>0</v>
      </c>
      <c r="I891">
        <v>20</v>
      </c>
      <c r="J891">
        <v>0</v>
      </c>
      <c r="K891">
        <v>0</v>
      </c>
      <c r="L891" t="s">
        <v>143</v>
      </c>
      <c r="M891">
        <v>20</v>
      </c>
      <c r="N891">
        <v>1</v>
      </c>
      <c r="O891">
        <v>0.9</v>
      </c>
      <c r="P891" t="s">
        <v>115</v>
      </c>
      <c r="Q891">
        <v>0.9</v>
      </c>
      <c r="R891" t="s">
        <v>144</v>
      </c>
    </row>
    <row r="892" spans="1:18" x14ac:dyDescent="0.25">
      <c r="A892" t="s">
        <v>1277</v>
      </c>
      <c r="B892" s="2">
        <v>45468</v>
      </c>
      <c r="C892" t="s">
        <v>32</v>
      </c>
      <c r="D892" t="s">
        <v>118</v>
      </c>
      <c r="E892" t="s">
        <v>142</v>
      </c>
      <c r="F892">
        <v>10</v>
      </c>
      <c r="G892">
        <v>5.98</v>
      </c>
      <c r="H892">
        <v>8.9700000000000006</v>
      </c>
      <c r="I892">
        <v>20</v>
      </c>
      <c r="J892">
        <v>0</v>
      </c>
      <c r="K892">
        <v>0</v>
      </c>
      <c r="L892" t="s">
        <v>143</v>
      </c>
      <c r="M892">
        <v>28.97</v>
      </c>
      <c r="N892">
        <v>1</v>
      </c>
      <c r="O892">
        <v>0.9</v>
      </c>
      <c r="P892" t="s">
        <v>115</v>
      </c>
      <c r="Q892">
        <v>0.9</v>
      </c>
      <c r="R892" t="s">
        <v>144</v>
      </c>
    </row>
    <row r="893" spans="1:18" x14ac:dyDescent="0.25">
      <c r="A893" t="s">
        <v>1278</v>
      </c>
      <c r="B893" s="2">
        <v>45468</v>
      </c>
      <c r="C893" t="s">
        <v>32</v>
      </c>
      <c r="D893" t="s">
        <v>118</v>
      </c>
      <c r="E893" t="s">
        <v>142</v>
      </c>
      <c r="F893">
        <v>8.1370000000000005</v>
      </c>
      <c r="G893">
        <v>0</v>
      </c>
      <c r="H893">
        <v>0</v>
      </c>
      <c r="I893">
        <v>20</v>
      </c>
      <c r="J893">
        <v>0</v>
      </c>
      <c r="K893">
        <v>0</v>
      </c>
      <c r="L893" t="s">
        <v>143</v>
      </c>
      <c r="M893">
        <v>20</v>
      </c>
      <c r="N893">
        <v>1</v>
      </c>
      <c r="O893">
        <v>0.9</v>
      </c>
      <c r="P893" t="s">
        <v>115</v>
      </c>
      <c r="Q893">
        <v>0.9</v>
      </c>
      <c r="R893" t="s">
        <v>144</v>
      </c>
    </row>
    <row r="894" spans="1:18" x14ac:dyDescent="0.25">
      <c r="A894" t="s">
        <v>1279</v>
      </c>
      <c r="B894" s="2">
        <v>45468</v>
      </c>
      <c r="C894" t="s">
        <v>32</v>
      </c>
      <c r="D894" t="s">
        <v>118</v>
      </c>
      <c r="E894" t="s">
        <v>142</v>
      </c>
      <c r="F894">
        <v>0.70599999999999996</v>
      </c>
      <c r="G894">
        <v>0</v>
      </c>
      <c r="H894">
        <v>0</v>
      </c>
      <c r="I894">
        <v>20</v>
      </c>
      <c r="J894">
        <v>0</v>
      </c>
      <c r="K894">
        <v>0</v>
      </c>
      <c r="L894" t="s">
        <v>1280</v>
      </c>
      <c r="M894">
        <v>20</v>
      </c>
      <c r="N894">
        <v>1</v>
      </c>
      <c r="O894">
        <v>0.9</v>
      </c>
      <c r="P894" t="s">
        <v>115</v>
      </c>
      <c r="Q894">
        <v>0.9</v>
      </c>
      <c r="R894" t="s">
        <v>144</v>
      </c>
    </row>
    <row r="895" spans="1:18" x14ac:dyDescent="0.25">
      <c r="A895" t="s">
        <v>1281</v>
      </c>
      <c r="B895" s="2">
        <v>45469</v>
      </c>
      <c r="C895" t="s">
        <v>32</v>
      </c>
      <c r="D895" t="s">
        <v>117</v>
      </c>
      <c r="E895" t="s">
        <v>142</v>
      </c>
      <c r="F895">
        <v>10</v>
      </c>
      <c r="G895">
        <v>5.5570000000000004</v>
      </c>
      <c r="H895">
        <v>8.3354999999999997</v>
      </c>
      <c r="I895">
        <v>20</v>
      </c>
      <c r="J895">
        <v>0</v>
      </c>
      <c r="K895">
        <v>0</v>
      </c>
      <c r="L895" t="s">
        <v>143</v>
      </c>
      <c r="M895">
        <v>28.3355</v>
      </c>
      <c r="N895">
        <v>1</v>
      </c>
      <c r="O895">
        <v>0.9</v>
      </c>
      <c r="P895" t="s">
        <v>115</v>
      </c>
      <c r="Q895">
        <v>0.9</v>
      </c>
      <c r="R895" t="s">
        <v>144</v>
      </c>
    </row>
    <row r="896" spans="1:18" x14ac:dyDescent="0.25">
      <c r="A896" t="s">
        <v>1282</v>
      </c>
      <c r="B896" s="2">
        <v>45469</v>
      </c>
      <c r="C896" t="s">
        <v>32</v>
      </c>
      <c r="D896" t="s">
        <v>117</v>
      </c>
      <c r="E896" t="s">
        <v>142</v>
      </c>
      <c r="F896">
        <v>5.1310000000000002</v>
      </c>
      <c r="G896">
        <v>0</v>
      </c>
      <c r="H896">
        <v>0</v>
      </c>
      <c r="I896">
        <v>20</v>
      </c>
      <c r="J896">
        <v>0</v>
      </c>
      <c r="K896">
        <v>0</v>
      </c>
      <c r="L896" t="s">
        <v>143</v>
      </c>
      <c r="M896">
        <v>20</v>
      </c>
      <c r="N896">
        <v>1</v>
      </c>
      <c r="O896">
        <v>0.9</v>
      </c>
      <c r="P896" t="s">
        <v>115</v>
      </c>
      <c r="Q896">
        <v>0.9</v>
      </c>
      <c r="R896" t="s">
        <v>144</v>
      </c>
    </row>
    <row r="897" spans="1:18" x14ac:dyDescent="0.25">
      <c r="A897" t="s">
        <v>1283</v>
      </c>
      <c r="B897" s="2">
        <v>45469</v>
      </c>
      <c r="C897" t="s">
        <v>32</v>
      </c>
      <c r="D897" t="s">
        <v>117</v>
      </c>
      <c r="E897" t="s">
        <v>142</v>
      </c>
      <c r="F897">
        <v>4.827</v>
      </c>
      <c r="G897">
        <v>0</v>
      </c>
      <c r="H897">
        <v>0</v>
      </c>
      <c r="I897">
        <v>20</v>
      </c>
      <c r="J897">
        <v>0</v>
      </c>
      <c r="K897">
        <v>0</v>
      </c>
      <c r="L897" t="s">
        <v>1284</v>
      </c>
      <c r="M897">
        <v>20</v>
      </c>
      <c r="N897">
        <v>1</v>
      </c>
      <c r="O897">
        <v>0.9</v>
      </c>
      <c r="P897" t="s">
        <v>115</v>
      </c>
      <c r="Q897">
        <v>0.9</v>
      </c>
      <c r="R897" t="s">
        <v>144</v>
      </c>
    </row>
    <row r="898" spans="1:18" x14ac:dyDescent="0.25">
      <c r="A898" t="s">
        <v>1285</v>
      </c>
      <c r="B898" s="2">
        <v>45469</v>
      </c>
      <c r="C898" t="s">
        <v>32</v>
      </c>
      <c r="D898" t="s">
        <v>117</v>
      </c>
      <c r="E898" t="s">
        <v>142</v>
      </c>
      <c r="F898">
        <v>7.5030000000000001</v>
      </c>
      <c r="G898">
        <v>0</v>
      </c>
      <c r="H898">
        <v>0</v>
      </c>
      <c r="I898">
        <v>20</v>
      </c>
      <c r="J898">
        <v>0</v>
      </c>
      <c r="K898">
        <v>0</v>
      </c>
      <c r="L898" t="s">
        <v>143</v>
      </c>
      <c r="M898">
        <v>20</v>
      </c>
      <c r="N898">
        <v>1</v>
      </c>
      <c r="O898">
        <v>0.9</v>
      </c>
      <c r="P898" t="s">
        <v>115</v>
      </c>
      <c r="Q898">
        <v>0.9</v>
      </c>
      <c r="R898" t="s">
        <v>144</v>
      </c>
    </row>
    <row r="899" spans="1:18" x14ac:dyDescent="0.25">
      <c r="A899" t="s">
        <v>1286</v>
      </c>
      <c r="B899" s="2">
        <v>45469</v>
      </c>
      <c r="C899" t="s">
        <v>32</v>
      </c>
      <c r="D899" t="s">
        <v>117</v>
      </c>
      <c r="E899" t="s">
        <v>142</v>
      </c>
      <c r="F899">
        <v>10</v>
      </c>
      <c r="G899">
        <v>14.291</v>
      </c>
      <c r="H899">
        <v>21.436499999999999</v>
      </c>
      <c r="I899">
        <v>20</v>
      </c>
      <c r="J899">
        <v>0</v>
      </c>
      <c r="K899">
        <v>0</v>
      </c>
      <c r="L899" t="s">
        <v>1287</v>
      </c>
      <c r="M899">
        <v>41.436500000000002</v>
      </c>
      <c r="N899">
        <v>1</v>
      </c>
      <c r="O899">
        <v>0.9</v>
      </c>
      <c r="P899" t="s">
        <v>115</v>
      </c>
      <c r="Q899">
        <v>0.9</v>
      </c>
      <c r="R899" t="s">
        <v>144</v>
      </c>
    </row>
    <row r="900" spans="1:18" x14ac:dyDescent="0.25">
      <c r="A900" t="s">
        <v>1288</v>
      </c>
      <c r="B900" s="2">
        <v>45469</v>
      </c>
      <c r="C900" t="s">
        <v>32</v>
      </c>
      <c r="D900" t="s">
        <v>117</v>
      </c>
      <c r="E900" t="s">
        <v>142</v>
      </c>
      <c r="F900">
        <v>0.88</v>
      </c>
      <c r="G900">
        <v>0</v>
      </c>
      <c r="H900">
        <v>0</v>
      </c>
      <c r="I900">
        <v>20</v>
      </c>
      <c r="J900">
        <v>0</v>
      </c>
      <c r="K900">
        <v>0</v>
      </c>
      <c r="L900" t="s">
        <v>143</v>
      </c>
      <c r="M900">
        <v>20</v>
      </c>
      <c r="N900">
        <v>1</v>
      </c>
      <c r="O900">
        <v>0.9</v>
      </c>
      <c r="P900" t="s">
        <v>115</v>
      </c>
      <c r="Q900">
        <v>0.9</v>
      </c>
      <c r="R900" t="s">
        <v>144</v>
      </c>
    </row>
    <row r="901" spans="1:18" x14ac:dyDescent="0.25">
      <c r="A901" t="s">
        <v>1289</v>
      </c>
      <c r="B901" s="2">
        <v>45469</v>
      </c>
      <c r="C901" t="s">
        <v>32</v>
      </c>
      <c r="D901" t="s">
        <v>117</v>
      </c>
      <c r="E901" t="s">
        <v>142</v>
      </c>
      <c r="F901">
        <v>8.0960000000000001</v>
      </c>
      <c r="G901">
        <v>0</v>
      </c>
      <c r="H901">
        <v>0</v>
      </c>
      <c r="I901">
        <v>20</v>
      </c>
      <c r="J901">
        <v>0</v>
      </c>
      <c r="K901">
        <v>0</v>
      </c>
      <c r="L901" t="s">
        <v>143</v>
      </c>
      <c r="M901">
        <v>20</v>
      </c>
      <c r="N901">
        <v>1</v>
      </c>
      <c r="O901">
        <v>0.9</v>
      </c>
      <c r="P901" t="s">
        <v>115</v>
      </c>
      <c r="Q901">
        <v>0.9</v>
      </c>
      <c r="R901" t="s">
        <v>144</v>
      </c>
    </row>
    <row r="902" spans="1:18" x14ac:dyDescent="0.25">
      <c r="A902" t="s">
        <v>1290</v>
      </c>
      <c r="B902" s="2">
        <v>45469</v>
      </c>
      <c r="C902" t="s">
        <v>32</v>
      </c>
      <c r="D902" t="s">
        <v>117</v>
      </c>
      <c r="E902" t="s">
        <v>142</v>
      </c>
      <c r="F902">
        <v>8.0920000000000005</v>
      </c>
      <c r="G902">
        <v>0</v>
      </c>
      <c r="H902">
        <v>0</v>
      </c>
      <c r="I902">
        <v>20</v>
      </c>
      <c r="J902">
        <v>0</v>
      </c>
      <c r="K902">
        <v>0</v>
      </c>
      <c r="L902" t="s">
        <v>143</v>
      </c>
      <c r="M902">
        <v>20</v>
      </c>
      <c r="N902">
        <v>1</v>
      </c>
      <c r="O902">
        <v>0.9</v>
      </c>
      <c r="P902" t="s">
        <v>115</v>
      </c>
      <c r="Q902">
        <v>0.9</v>
      </c>
      <c r="R902" t="s">
        <v>144</v>
      </c>
    </row>
    <row r="903" spans="1:18" x14ac:dyDescent="0.25">
      <c r="A903" t="s">
        <v>1291</v>
      </c>
      <c r="B903" s="2">
        <v>45469</v>
      </c>
      <c r="C903" t="s">
        <v>32</v>
      </c>
      <c r="D903" t="s">
        <v>117</v>
      </c>
      <c r="E903" t="s">
        <v>142</v>
      </c>
      <c r="F903">
        <v>10</v>
      </c>
      <c r="G903">
        <v>3.5819999999999999</v>
      </c>
      <c r="H903">
        <v>5.3730000000000002</v>
      </c>
      <c r="I903">
        <v>20</v>
      </c>
      <c r="J903">
        <v>0</v>
      </c>
      <c r="K903">
        <v>0</v>
      </c>
      <c r="L903" t="s">
        <v>1292</v>
      </c>
      <c r="M903">
        <v>25.373000000000001</v>
      </c>
      <c r="N903">
        <v>1</v>
      </c>
      <c r="O903">
        <v>0.9</v>
      </c>
      <c r="P903" t="s">
        <v>115</v>
      </c>
      <c r="Q903">
        <v>0.9</v>
      </c>
      <c r="R903" t="s">
        <v>144</v>
      </c>
    </row>
    <row r="904" spans="1:18" x14ac:dyDescent="0.25">
      <c r="A904" t="s">
        <v>1293</v>
      </c>
      <c r="B904" s="2">
        <v>45469</v>
      </c>
      <c r="C904" t="s">
        <v>32</v>
      </c>
      <c r="D904" t="s">
        <v>118</v>
      </c>
      <c r="E904" t="s">
        <v>142</v>
      </c>
      <c r="F904">
        <v>1.5549999999999999</v>
      </c>
      <c r="G904">
        <v>0</v>
      </c>
      <c r="H904">
        <v>0</v>
      </c>
      <c r="I904">
        <v>20</v>
      </c>
      <c r="J904">
        <v>0</v>
      </c>
      <c r="K904">
        <v>0</v>
      </c>
      <c r="L904" t="s">
        <v>143</v>
      </c>
      <c r="M904">
        <v>20</v>
      </c>
      <c r="N904">
        <v>1</v>
      </c>
      <c r="O904">
        <v>0.9</v>
      </c>
      <c r="P904" t="s">
        <v>115</v>
      </c>
      <c r="Q904">
        <v>0.9</v>
      </c>
      <c r="R904" t="s">
        <v>144</v>
      </c>
    </row>
    <row r="905" spans="1:18" x14ac:dyDescent="0.25">
      <c r="A905" t="s">
        <v>1294</v>
      </c>
      <c r="B905" s="2">
        <v>45469</v>
      </c>
      <c r="C905" t="s">
        <v>32</v>
      </c>
      <c r="D905" t="s">
        <v>118</v>
      </c>
      <c r="E905" t="s">
        <v>142</v>
      </c>
      <c r="F905">
        <v>1.69</v>
      </c>
      <c r="G905">
        <v>0</v>
      </c>
      <c r="H905">
        <v>0</v>
      </c>
      <c r="I905">
        <v>20</v>
      </c>
      <c r="J905">
        <v>0</v>
      </c>
      <c r="K905">
        <v>0</v>
      </c>
      <c r="L905" t="s">
        <v>1295</v>
      </c>
      <c r="M905">
        <v>20</v>
      </c>
      <c r="N905">
        <v>1</v>
      </c>
      <c r="O905">
        <v>0.9</v>
      </c>
      <c r="P905" t="s">
        <v>115</v>
      </c>
      <c r="Q905">
        <v>0.9</v>
      </c>
      <c r="R905" t="s">
        <v>144</v>
      </c>
    </row>
    <row r="906" spans="1:18" x14ac:dyDescent="0.25">
      <c r="A906" t="s">
        <v>1296</v>
      </c>
      <c r="B906" s="2">
        <v>45469</v>
      </c>
      <c r="C906" t="s">
        <v>32</v>
      </c>
      <c r="D906" t="s">
        <v>118</v>
      </c>
      <c r="E906" t="s">
        <v>142</v>
      </c>
      <c r="F906">
        <v>7.1130000000000004</v>
      </c>
      <c r="G906">
        <v>0</v>
      </c>
      <c r="H906">
        <v>0</v>
      </c>
      <c r="I906">
        <v>20</v>
      </c>
      <c r="J906">
        <v>0</v>
      </c>
      <c r="K906">
        <v>0</v>
      </c>
      <c r="L906" t="s">
        <v>1297</v>
      </c>
      <c r="M906">
        <v>20</v>
      </c>
      <c r="N906">
        <v>1</v>
      </c>
      <c r="O906">
        <v>0.9</v>
      </c>
      <c r="P906" t="s">
        <v>115</v>
      </c>
      <c r="Q906">
        <v>0.9</v>
      </c>
      <c r="R906" t="s">
        <v>144</v>
      </c>
    </row>
    <row r="907" spans="1:18" x14ac:dyDescent="0.25">
      <c r="A907" t="s">
        <v>1298</v>
      </c>
      <c r="B907" s="2">
        <v>45469</v>
      </c>
      <c r="C907" t="s">
        <v>32</v>
      </c>
      <c r="D907" t="s">
        <v>118</v>
      </c>
      <c r="E907" t="s">
        <v>142</v>
      </c>
      <c r="F907">
        <v>3.6539999999999999</v>
      </c>
      <c r="G907">
        <v>0</v>
      </c>
      <c r="H907">
        <v>0</v>
      </c>
      <c r="I907">
        <v>5</v>
      </c>
      <c r="J907">
        <v>0</v>
      </c>
      <c r="K907">
        <v>0</v>
      </c>
      <c r="L907" t="s">
        <v>1299</v>
      </c>
      <c r="M907">
        <v>5</v>
      </c>
      <c r="N907">
        <v>0</v>
      </c>
      <c r="O907">
        <v>0.9</v>
      </c>
      <c r="P907" t="s">
        <v>115</v>
      </c>
      <c r="Q907">
        <v>0</v>
      </c>
      <c r="R907" t="s">
        <v>144</v>
      </c>
    </row>
    <row r="908" spans="1:18" x14ac:dyDescent="0.25">
      <c r="A908" t="s">
        <v>1300</v>
      </c>
      <c r="B908" s="2">
        <v>45469</v>
      </c>
      <c r="C908" t="s">
        <v>32</v>
      </c>
      <c r="D908" t="s">
        <v>118</v>
      </c>
      <c r="E908" t="s">
        <v>142</v>
      </c>
      <c r="F908">
        <v>1.9390000000000001</v>
      </c>
      <c r="G908">
        <v>0</v>
      </c>
      <c r="H908">
        <v>0</v>
      </c>
      <c r="I908">
        <v>20</v>
      </c>
      <c r="J908">
        <v>0</v>
      </c>
      <c r="K908">
        <v>0</v>
      </c>
      <c r="L908" t="s">
        <v>143</v>
      </c>
      <c r="M908">
        <v>20</v>
      </c>
      <c r="N908">
        <v>1</v>
      </c>
      <c r="O908">
        <v>0.9</v>
      </c>
      <c r="P908" t="s">
        <v>115</v>
      </c>
      <c r="Q908">
        <v>0.9</v>
      </c>
      <c r="R908" t="s">
        <v>144</v>
      </c>
    </row>
    <row r="909" spans="1:18" x14ac:dyDescent="0.25">
      <c r="A909" t="s">
        <v>1301</v>
      </c>
      <c r="B909" s="2">
        <v>45469</v>
      </c>
      <c r="C909" t="s">
        <v>32</v>
      </c>
      <c r="D909" t="s">
        <v>118</v>
      </c>
      <c r="E909" t="s">
        <v>142</v>
      </c>
      <c r="F909">
        <v>1.68</v>
      </c>
      <c r="G909">
        <v>0</v>
      </c>
      <c r="H909">
        <v>0</v>
      </c>
      <c r="I909">
        <v>5</v>
      </c>
      <c r="J909">
        <v>0</v>
      </c>
      <c r="K909">
        <v>0</v>
      </c>
      <c r="L909" t="s">
        <v>1302</v>
      </c>
      <c r="M909">
        <v>5</v>
      </c>
      <c r="N909">
        <v>0</v>
      </c>
      <c r="O909">
        <v>0.9</v>
      </c>
      <c r="P909" t="s">
        <v>115</v>
      </c>
      <c r="Q909">
        <v>0</v>
      </c>
      <c r="R909" t="s">
        <v>144</v>
      </c>
    </row>
    <row r="910" spans="1:18" x14ac:dyDescent="0.25">
      <c r="A910" t="s">
        <v>1303</v>
      </c>
      <c r="B910" s="2">
        <v>45469</v>
      </c>
      <c r="C910" t="s">
        <v>32</v>
      </c>
      <c r="D910" t="s">
        <v>118</v>
      </c>
      <c r="E910" t="s">
        <v>142</v>
      </c>
      <c r="F910">
        <v>0.94399999999999995</v>
      </c>
      <c r="G910">
        <v>0</v>
      </c>
      <c r="H910">
        <v>0</v>
      </c>
      <c r="I910">
        <v>5</v>
      </c>
      <c r="J910">
        <v>0</v>
      </c>
      <c r="K910">
        <v>0</v>
      </c>
      <c r="L910" t="s">
        <v>1304</v>
      </c>
      <c r="M910">
        <v>5</v>
      </c>
      <c r="N910">
        <v>0</v>
      </c>
      <c r="O910">
        <v>0.9</v>
      </c>
      <c r="P910" t="s">
        <v>115</v>
      </c>
      <c r="Q910">
        <v>0</v>
      </c>
      <c r="R910" t="s">
        <v>144</v>
      </c>
    </row>
    <row r="911" spans="1:18" x14ac:dyDescent="0.25">
      <c r="A911" t="s">
        <v>1305</v>
      </c>
      <c r="B911" s="2">
        <v>45469</v>
      </c>
      <c r="C911" t="s">
        <v>32</v>
      </c>
      <c r="D911" t="s">
        <v>118</v>
      </c>
      <c r="E911" t="s">
        <v>142</v>
      </c>
      <c r="F911">
        <v>3.7290000000000001</v>
      </c>
      <c r="G911">
        <v>0</v>
      </c>
      <c r="H911">
        <v>0</v>
      </c>
      <c r="I911">
        <v>20</v>
      </c>
      <c r="J911">
        <v>0</v>
      </c>
      <c r="K911">
        <v>0</v>
      </c>
      <c r="L911" t="s">
        <v>143</v>
      </c>
      <c r="M911">
        <v>20</v>
      </c>
      <c r="N911">
        <v>1</v>
      </c>
      <c r="O911">
        <v>0.9</v>
      </c>
      <c r="P911" t="s">
        <v>115</v>
      </c>
      <c r="Q911">
        <v>0.9</v>
      </c>
      <c r="R911" t="s">
        <v>144</v>
      </c>
    </row>
    <row r="912" spans="1:18" x14ac:dyDescent="0.25">
      <c r="A912" t="s">
        <v>1306</v>
      </c>
      <c r="B912" s="2">
        <v>45469</v>
      </c>
      <c r="C912" t="s">
        <v>32</v>
      </c>
      <c r="D912" t="s">
        <v>118</v>
      </c>
      <c r="E912" t="s">
        <v>142</v>
      </c>
      <c r="F912">
        <v>2.7879999999999998</v>
      </c>
      <c r="G912">
        <v>0</v>
      </c>
      <c r="H912">
        <v>0</v>
      </c>
      <c r="I912">
        <v>20</v>
      </c>
      <c r="J912">
        <v>0</v>
      </c>
      <c r="K912">
        <v>0</v>
      </c>
      <c r="L912" t="s">
        <v>143</v>
      </c>
      <c r="M912">
        <v>20</v>
      </c>
      <c r="N912">
        <v>1</v>
      </c>
      <c r="O912">
        <v>0.9</v>
      </c>
      <c r="P912" t="s">
        <v>115</v>
      </c>
      <c r="Q912">
        <v>0.9</v>
      </c>
      <c r="R912" t="s">
        <v>144</v>
      </c>
    </row>
    <row r="913" spans="1:18" x14ac:dyDescent="0.25">
      <c r="A913" t="s">
        <v>1307</v>
      </c>
      <c r="B913" s="2">
        <v>45469</v>
      </c>
      <c r="C913" t="s">
        <v>32</v>
      </c>
      <c r="D913" t="s">
        <v>118</v>
      </c>
      <c r="E913" t="s">
        <v>142</v>
      </c>
      <c r="F913">
        <v>2.9780000000000002</v>
      </c>
      <c r="G913">
        <v>0</v>
      </c>
      <c r="H913">
        <v>0</v>
      </c>
      <c r="I913">
        <v>20</v>
      </c>
      <c r="J913">
        <v>0</v>
      </c>
      <c r="K913">
        <v>0</v>
      </c>
      <c r="L913" t="s">
        <v>143</v>
      </c>
      <c r="M913">
        <v>20</v>
      </c>
      <c r="N913">
        <v>1</v>
      </c>
      <c r="O913">
        <v>0.9</v>
      </c>
      <c r="P913" t="s">
        <v>115</v>
      </c>
      <c r="Q913">
        <v>0.9</v>
      </c>
      <c r="R913" t="s">
        <v>144</v>
      </c>
    </row>
    <row r="914" spans="1:18" x14ac:dyDescent="0.25">
      <c r="A914" t="s">
        <v>1308</v>
      </c>
      <c r="B914" s="2">
        <v>45469</v>
      </c>
      <c r="C914" t="s">
        <v>32</v>
      </c>
      <c r="D914" t="s">
        <v>118</v>
      </c>
      <c r="E914" t="s">
        <v>142</v>
      </c>
      <c r="F914">
        <v>5.2279999999999998</v>
      </c>
      <c r="G914">
        <v>0</v>
      </c>
      <c r="H914">
        <v>0</v>
      </c>
      <c r="I914">
        <v>20</v>
      </c>
      <c r="J914">
        <v>0</v>
      </c>
      <c r="K914">
        <v>0</v>
      </c>
      <c r="L914" t="s">
        <v>143</v>
      </c>
      <c r="M914">
        <v>20</v>
      </c>
      <c r="N914">
        <v>1</v>
      </c>
      <c r="O914">
        <v>0.9</v>
      </c>
      <c r="P914" t="s">
        <v>115</v>
      </c>
      <c r="Q914">
        <v>0.9</v>
      </c>
      <c r="R914" t="s">
        <v>144</v>
      </c>
    </row>
    <row r="915" spans="1:18" x14ac:dyDescent="0.25">
      <c r="A915" t="s">
        <v>1309</v>
      </c>
      <c r="B915" s="2">
        <v>45469</v>
      </c>
      <c r="C915" t="s">
        <v>32</v>
      </c>
      <c r="D915" t="s">
        <v>118</v>
      </c>
      <c r="E915" t="s">
        <v>142</v>
      </c>
      <c r="F915">
        <v>1.4370000000000001</v>
      </c>
      <c r="G915">
        <v>0</v>
      </c>
      <c r="H915">
        <v>0</v>
      </c>
      <c r="I915">
        <v>20</v>
      </c>
      <c r="J915">
        <v>0</v>
      </c>
      <c r="K915">
        <v>0</v>
      </c>
      <c r="L915" t="s">
        <v>143</v>
      </c>
      <c r="M915">
        <v>20</v>
      </c>
      <c r="N915">
        <v>1</v>
      </c>
      <c r="O915">
        <v>0.9</v>
      </c>
      <c r="P915" t="s">
        <v>115</v>
      </c>
      <c r="Q915">
        <v>0.9</v>
      </c>
      <c r="R915" t="s">
        <v>144</v>
      </c>
    </row>
    <row r="916" spans="1:18" x14ac:dyDescent="0.25">
      <c r="A916" t="s">
        <v>1310</v>
      </c>
      <c r="B916" s="2">
        <v>45469</v>
      </c>
      <c r="C916" t="s">
        <v>32</v>
      </c>
      <c r="D916" t="s">
        <v>118</v>
      </c>
      <c r="E916" t="s">
        <v>142</v>
      </c>
      <c r="F916">
        <v>8.9710000000000001</v>
      </c>
      <c r="G916">
        <v>0</v>
      </c>
      <c r="H916">
        <v>0</v>
      </c>
      <c r="I916">
        <v>5</v>
      </c>
      <c r="J916">
        <v>0</v>
      </c>
      <c r="K916">
        <v>0</v>
      </c>
      <c r="L916" t="s">
        <v>1311</v>
      </c>
      <c r="M916">
        <v>5</v>
      </c>
      <c r="N916">
        <v>0</v>
      </c>
      <c r="O916">
        <v>0.9</v>
      </c>
      <c r="P916" t="s">
        <v>115</v>
      </c>
      <c r="Q916">
        <v>0</v>
      </c>
      <c r="R916" t="s">
        <v>144</v>
      </c>
    </row>
    <row r="917" spans="1:18" x14ac:dyDescent="0.25">
      <c r="A917" t="s">
        <v>1312</v>
      </c>
      <c r="B917" s="2">
        <v>45470</v>
      </c>
      <c r="C917" t="s">
        <v>32</v>
      </c>
      <c r="D917" t="s">
        <v>117</v>
      </c>
      <c r="E917" t="s">
        <v>142</v>
      </c>
      <c r="F917">
        <v>1.204</v>
      </c>
      <c r="G917">
        <v>0</v>
      </c>
      <c r="H917">
        <v>0</v>
      </c>
      <c r="I917">
        <v>20</v>
      </c>
      <c r="J917">
        <v>0</v>
      </c>
      <c r="K917">
        <v>0</v>
      </c>
      <c r="L917" t="s">
        <v>143</v>
      </c>
      <c r="M917">
        <v>20</v>
      </c>
      <c r="N917">
        <v>1</v>
      </c>
      <c r="O917">
        <v>0.9</v>
      </c>
      <c r="P917" t="s">
        <v>115</v>
      </c>
      <c r="Q917">
        <v>0.9</v>
      </c>
      <c r="R917" t="s">
        <v>144</v>
      </c>
    </row>
    <row r="918" spans="1:18" x14ac:dyDescent="0.25">
      <c r="A918" t="s">
        <v>1313</v>
      </c>
      <c r="B918" s="2">
        <v>45470</v>
      </c>
      <c r="C918" t="s">
        <v>32</v>
      </c>
      <c r="D918" t="s">
        <v>117</v>
      </c>
      <c r="E918" t="s">
        <v>142</v>
      </c>
      <c r="F918">
        <v>1.1299999999999999</v>
      </c>
      <c r="G918">
        <v>0</v>
      </c>
      <c r="H918">
        <v>0</v>
      </c>
      <c r="I918">
        <v>20</v>
      </c>
      <c r="J918">
        <v>0</v>
      </c>
      <c r="K918">
        <v>0</v>
      </c>
      <c r="L918" t="s">
        <v>143</v>
      </c>
      <c r="M918">
        <v>20</v>
      </c>
      <c r="N918">
        <v>1</v>
      </c>
      <c r="O918">
        <v>0.9</v>
      </c>
      <c r="P918" t="s">
        <v>115</v>
      </c>
      <c r="Q918">
        <v>0.9</v>
      </c>
      <c r="R918" t="s">
        <v>144</v>
      </c>
    </row>
    <row r="919" spans="1:18" x14ac:dyDescent="0.25">
      <c r="A919" t="s">
        <v>1314</v>
      </c>
      <c r="B919" s="2">
        <v>45470</v>
      </c>
      <c r="C919" t="s">
        <v>32</v>
      </c>
      <c r="D919" t="s">
        <v>117</v>
      </c>
      <c r="E919" t="s">
        <v>142</v>
      </c>
      <c r="F919">
        <v>10</v>
      </c>
      <c r="G919">
        <v>7.1180000000000003</v>
      </c>
      <c r="H919">
        <v>10.677</v>
      </c>
      <c r="I919">
        <v>20</v>
      </c>
      <c r="J919">
        <v>0</v>
      </c>
      <c r="K919">
        <v>0</v>
      </c>
      <c r="L919" t="s">
        <v>143</v>
      </c>
      <c r="M919">
        <v>30.677</v>
      </c>
      <c r="N919">
        <v>1</v>
      </c>
      <c r="O919">
        <v>0.9</v>
      </c>
      <c r="P919" t="s">
        <v>115</v>
      </c>
      <c r="Q919">
        <v>0.9</v>
      </c>
      <c r="R919" t="s">
        <v>144</v>
      </c>
    </row>
    <row r="920" spans="1:18" x14ac:dyDescent="0.25">
      <c r="A920" t="s">
        <v>1315</v>
      </c>
      <c r="B920" s="2">
        <v>45470</v>
      </c>
      <c r="C920" t="s">
        <v>32</v>
      </c>
      <c r="D920" t="s">
        <v>117</v>
      </c>
      <c r="E920" t="s">
        <v>142</v>
      </c>
      <c r="F920">
        <v>3.488</v>
      </c>
      <c r="G920">
        <v>0</v>
      </c>
      <c r="H920">
        <v>0</v>
      </c>
      <c r="I920">
        <v>20</v>
      </c>
      <c r="J920">
        <v>0</v>
      </c>
      <c r="K920">
        <v>0</v>
      </c>
      <c r="L920" t="s">
        <v>143</v>
      </c>
      <c r="M920">
        <v>20</v>
      </c>
      <c r="N920">
        <v>1</v>
      </c>
      <c r="O920">
        <v>0.9</v>
      </c>
      <c r="P920" t="s">
        <v>115</v>
      </c>
      <c r="Q920">
        <v>0.9</v>
      </c>
      <c r="R920" t="s">
        <v>144</v>
      </c>
    </row>
    <row r="921" spans="1:18" x14ac:dyDescent="0.25">
      <c r="A921" t="s">
        <v>1316</v>
      </c>
      <c r="B921" s="2">
        <v>45470</v>
      </c>
      <c r="C921" t="s">
        <v>32</v>
      </c>
      <c r="D921" t="s">
        <v>117</v>
      </c>
      <c r="E921" t="s">
        <v>142</v>
      </c>
      <c r="F921">
        <v>5.9189999999999996</v>
      </c>
      <c r="G921">
        <v>0</v>
      </c>
      <c r="H921">
        <v>0</v>
      </c>
      <c r="I921">
        <v>20</v>
      </c>
      <c r="J921">
        <v>0</v>
      </c>
      <c r="K921">
        <v>0</v>
      </c>
      <c r="L921" t="s">
        <v>143</v>
      </c>
      <c r="M921">
        <v>20</v>
      </c>
      <c r="N921">
        <v>1</v>
      </c>
      <c r="O921">
        <v>0.9</v>
      </c>
      <c r="P921" t="s">
        <v>115</v>
      </c>
      <c r="Q921">
        <v>0.9</v>
      </c>
      <c r="R921" t="s">
        <v>144</v>
      </c>
    </row>
    <row r="922" spans="1:18" x14ac:dyDescent="0.25">
      <c r="A922" t="s">
        <v>1317</v>
      </c>
      <c r="B922" s="2">
        <v>45470</v>
      </c>
      <c r="C922" t="s">
        <v>32</v>
      </c>
      <c r="D922" t="s">
        <v>117</v>
      </c>
      <c r="E922" t="s">
        <v>142</v>
      </c>
      <c r="F922">
        <v>10</v>
      </c>
      <c r="G922">
        <v>3.786</v>
      </c>
      <c r="H922">
        <v>5.6790000000000003</v>
      </c>
      <c r="I922">
        <v>20</v>
      </c>
      <c r="J922">
        <v>0</v>
      </c>
      <c r="K922">
        <v>0</v>
      </c>
      <c r="L922" t="s">
        <v>1318</v>
      </c>
      <c r="M922">
        <v>25.678999999999998</v>
      </c>
      <c r="N922">
        <v>1</v>
      </c>
      <c r="O922">
        <v>0.9</v>
      </c>
      <c r="P922" t="s">
        <v>115</v>
      </c>
      <c r="Q922">
        <v>0.9</v>
      </c>
      <c r="R922" t="s">
        <v>144</v>
      </c>
    </row>
    <row r="923" spans="1:18" x14ac:dyDescent="0.25">
      <c r="A923" t="s">
        <v>1319</v>
      </c>
      <c r="B923" s="2">
        <v>45470</v>
      </c>
      <c r="C923" t="s">
        <v>32</v>
      </c>
      <c r="D923" t="s">
        <v>117</v>
      </c>
      <c r="E923" t="s">
        <v>142</v>
      </c>
      <c r="F923">
        <v>8.3140000000000001</v>
      </c>
      <c r="G923">
        <v>0</v>
      </c>
      <c r="H923">
        <v>0</v>
      </c>
      <c r="I923">
        <v>5</v>
      </c>
      <c r="J923">
        <v>0</v>
      </c>
      <c r="K923">
        <v>0</v>
      </c>
      <c r="L923" t="s">
        <v>1320</v>
      </c>
      <c r="M923">
        <v>5</v>
      </c>
      <c r="N923">
        <v>0</v>
      </c>
      <c r="O923">
        <v>0.9</v>
      </c>
      <c r="P923" t="s">
        <v>115</v>
      </c>
      <c r="Q923">
        <v>0</v>
      </c>
      <c r="R923" t="s">
        <v>144</v>
      </c>
    </row>
    <row r="924" spans="1:18" x14ac:dyDescent="0.25">
      <c r="A924" t="s">
        <v>1321</v>
      </c>
      <c r="B924" s="2">
        <v>45470</v>
      </c>
      <c r="C924" t="s">
        <v>32</v>
      </c>
      <c r="D924" t="s">
        <v>118</v>
      </c>
      <c r="E924" t="s">
        <v>142</v>
      </c>
      <c r="F924">
        <v>10</v>
      </c>
      <c r="G924">
        <v>5.0519999999999996</v>
      </c>
      <c r="H924">
        <v>7.5780000000000003</v>
      </c>
      <c r="I924">
        <v>20</v>
      </c>
      <c r="J924">
        <v>0</v>
      </c>
      <c r="K924">
        <v>0</v>
      </c>
      <c r="L924" t="s">
        <v>143</v>
      </c>
      <c r="M924">
        <v>27.577999999999999</v>
      </c>
      <c r="N924">
        <v>1</v>
      </c>
      <c r="O924">
        <v>0.9</v>
      </c>
      <c r="P924" t="s">
        <v>115</v>
      </c>
      <c r="Q924">
        <v>0.9</v>
      </c>
      <c r="R924" t="s">
        <v>144</v>
      </c>
    </row>
    <row r="925" spans="1:18" x14ac:dyDescent="0.25">
      <c r="A925" t="s">
        <v>1322</v>
      </c>
      <c r="B925" s="2">
        <v>45470</v>
      </c>
      <c r="C925" t="s">
        <v>32</v>
      </c>
      <c r="D925" t="s">
        <v>118</v>
      </c>
      <c r="E925" t="s">
        <v>142</v>
      </c>
      <c r="F925">
        <v>10</v>
      </c>
      <c r="G925">
        <v>0.97000000000000097</v>
      </c>
      <c r="H925">
        <v>0</v>
      </c>
      <c r="I925">
        <v>5</v>
      </c>
      <c r="J925">
        <v>0</v>
      </c>
      <c r="K925">
        <v>0</v>
      </c>
      <c r="L925" t="s">
        <v>1323</v>
      </c>
      <c r="M925">
        <v>5</v>
      </c>
      <c r="N925">
        <v>0</v>
      </c>
      <c r="O925">
        <v>0.9</v>
      </c>
      <c r="P925" t="s">
        <v>115</v>
      </c>
      <c r="Q925">
        <v>0</v>
      </c>
      <c r="R925" t="s">
        <v>144</v>
      </c>
    </row>
    <row r="926" spans="1:18" x14ac:dyDescent="0.25">
      <c r="A926" t="s">
        <v>1324</v>
      </c>
      <c r="B926" s="2">
        <v>45470</v>
      </c>
      <c r="C926" t="s">
        <v>32</v>
      </c>
      <c r="D926" t="s">
        <v>118</v>
      </c>
      <c r="E926" t="s">
        <v>142</v>
      </c>
      <c r="F926">
        <v>1.6120000000000001</v>
      </c>
      <c r="G926">
        <v>0</v>
      </c>
      <c r="H926">
        <v>0</v>
      </c>
      <c r="I926">
        <v>20</v>
      </c>
      <c r="J926">
        <v>0</v>
      </c>
      <c r="K926">
        <v>0</v>
      </c>
      <c r="L926" t="s">
        <v>143</v>
      </c>
      <c r="M926">
        <v>20</v>
      </c>
      <c r="N926">
        <v>1</v>
      </c>
      <c r="O926">
        <v>0.9</v>
      </c>
      <c r="P926" t="s">
        <v>115</v>
      </c>
      <c r="Q926">
        <v>0.9</v>
      </c>
      <c r="R926" t="s">
        <v>144</v>
      </c>
    </row>
    <row r="927" spans="1:18" x14ac:dyDescent="0.25">
      <c r="A927" t="s">
        <v>1325</v>
      </c>
      <c r="B927" s="2">
        <v>45470</v>
      </c>
      <c r="C927" t="s">
        <v>32</v>
      </c>
      <c r="D927" t="s">
        <v>118</v>
      </c>
      <c r="E927" t="s">
        <v>142</v>
      </c>
      <c r="F927">
        <v>4.16</v>
      </c>
      <c r="G927">
        <v>0</v>
      </c>
      <c r="H927">
        <v>0</v>
      </c>
      <c r="I927">
        <v>20</v>
      </c>
      <c r="J927">
        <v>0</v>
      </c>
      <c r="K927">
        <v>0</v>
      </c>
      <c r="L927" t="s">
        <v>143</v>
      </c>
      <c r="M927">
        <v>20</v>
      </c>
      <c r="N927">
        <v>1</v>
      </c>
      <c r="O927">
        <v>0.9</v>
      </c>
      <c r="P927" t="s">
        <v>115</v>
      </c>
      <c r="Q927">
        <v>0.9</v>
      </c>
      <c r="R927" t="s">
        <v>144</v>
      </c>
    </row>
    <row r="928" spans="1:18" x14ac:dyDescent="0.25">
      <c r="A928" t="s">
        <v>1326</v>
      </c>
      <c r="B928" s="2">
        <v>45470</v>
      </c>
      <c r="C928" t="s">
        <v>32</v>
      </c>
      <c r="D928" t="s">
        <v>118</v>
      </c>
      <c r="E928" t="s">
        <v>142</v>
      </c>
      <c r="F928">
        <v>10</v>
      </c>
      <c r="G928">
        <v>7.5860000000000003</v>
      </c>
      <c r="H928">
        <v>11.379</v>
      </c>
      <c r="I928">
        <v>20</v>
      </c>
      <c r="J928">
        <v>0</v>
      </c>
      <c r="K928">
        <v>0</v>
      </c>
      <c r="L928" t="s">
        <v>143</v>
      </c>
      <c r="M928">
        <v>31.379000000000001</v>
      </c>
      <c r="N928">
        <v>1</v>
      </c>
      <c r="O928">
        <v>0.9</v>
      </c>
      <c r="P928" t="s">
        <v>115</v>
      </c>
      <c r="Q928">
        <v>0.9</v>
      </c>
      <c r="R928" t="s">
        <v>144</v>
      </c>
    </row>
    <row r="929" spans="1:18" x14ac:dyDescent="0.25">
      <c r="A929" t="s">
        <v>1327</v>
      </c>
      <c r="B929" s="2">
        <v>45470</v>
      </c>
      <c r="C929" t="s">
        <v>32</v>
      </c>
      <c r="D929" t="s">
        <v>118</v>
      </c>
      <c r="E929" t="s">
        <v>142</v>
      </c>
      <c r="F929">
        <v>5.109</v>
      </c>
      <c r="G929">
        <v>0</v>
      </c>
      <c r="H929">
        <v>0</v>
      </c>
      <c r="I929">
        <v>20</v>
      </c>
      <c r="J929">
        <v>0</v>
      </c>
      <c r="K929">
        <v>0</v>
      </c>
      <c r="L929" t="s">
        <v>143</v>
      </c>
      <c r="M929">
        <v>20</v>
      </c>
      <c r="N929">
        <v>1</v>
      </c>
      <c r="O929">
        <v>0.9</v>
      </c>
      <c r="P929" t="s">
        <v>115</v>
      </c>
      <c r="Q929">
        <v>0.9</v>
      </c>
      <c r="R929" t="s">
        <v>144</v>
      </c>
    </row>
    <row r="930" spans="1:18" x14ac:dyDescent="0.25">
      <c r="A930" t="s">
        <v>1328</v>
      </c>
      <c r="B930" s="2">
        <v>45470</v>
      </c>
      <c r="C930" t="s">
        <v>32</v>
      </c>
      <c r="D930" t="s">
        <v>118</v>
      </c>
      <c r="E930" t="s">
        <v>142</v>
      </c>
      <c r="F930">
        <v>5.8140000000000001</v>
      </c>
      <c r="G930">
        <v>0</v>
      </c>
      <c r="H930">
        <v>0</v>
      </c>
      <c r="I930">
        <v>20</v>
      </c>
      <c r="J930">
        <v>0</v>
      </c>
      <c r="K930">
        <v>0</v>
      </c>
      <c r="L930" t="s">
        <v>143</v>
      </c>
      <c r="M930">
        <v>20</v>
      </c>
      <c r="N930">
        <v>1</v>
      </c>
      <c r="O930">
        <v>0.9</v>
      </c>
      <c r="P930" t="s">
        <v>115</v>
      </c>
      <c r="Q930">
        <v>0.9</v>
      </c>
      <c r="R930" t="s">
        <v>144</v>
      </c>
    </row>
    <row r="931" spans="1:18" x14ac:dyDescent="0.25">
      <c r="A931" t="s">
        <v>1329</v>
      </c>
      <c r="B931" s="2">
        <v>45470</v>
      </c>
      <c r="C931" t="s">
        <v>32</v>
      </c>
      <c r="D931" t="s">
        <v>118</v>
      </c>
      <c r="E931" t="s">
        <v>142</v>
      </c>
      <c r="F931">
        <v>3.4630000000000001</v>
      </c>
      <c r="G931">
        <v>0</v>
      </c>
      <c r="H931">
        <v>0</v>
      </c>
      <c r="I931">
        <v>20</v>
      </c>
      <c r="J931">
        <v>0</v>
      </c>
      <c r="K931">
        <v>0</v>
      </c>
      <c r="L931" t="s">
        <v>1330</v>
      </c>
      <c r="M931">
        <v>20</v>
      </c>
      <c r="N931">
        <v>1</v>
      </c>
      <c r="O931">
        <v>0.9</v>
      </c>
      <c r="P931" t="s">
        <v>115</v>
      </c>
      <c r="Q931">
        <v>0.9</v>
      </c>
      <c r="R931" t="s">
        <v>144</v>
      </c>
    </row>
    <row r="932" spans="1:18" x14ac:dyDescent="0.25">
      <c r="A932" t="s">
        <v>1331</v>
      </c>
      <c r="B932" s="2">
        <v>45471</v>
      </c>
      <c r="C932" t="s">
        <v>32</v>
      </c>
      <c r="D932" t="s">
        <v>117</v>
      </c>
      <c r="E932" t="s">
        <v>142</v>
      </c>
      <c r="F932">
        <v>2.827</v>
      </c>
      <c r="G932">
        <v>0</v>
      </c>
      <c r="H932">
        <v>0</v>
      </c>
      <c r="I932">
        <v>20</v>
      </c>
      <c r="J932">
        <v>0</v>
      </c>
      <c r="K932">
        <v>0</v>
      </c>
      <c r="L932" t="s">
        <v>1332</v>
      </c>
      <c r="M932">
        <v>20</v>
      </c>
      <c r="N932">
        <v>1</v>
      </c>
      <c r="O932">
        <v>0.9</v>
      </c>
      <c r="P932" t="s">
        <v>115</v>
      </c>
      <c r="Q932">
        <v>0.9</v>
      </c>
      <c r="R932" t="s">
        <v>144</v>
      </c>
    </row>
    <row r="933" spans="1:18" x14ac:dyDescent="0.25">
      <c r="A933" t="s">
        <v>1333</v>
      </c>
      <c r="B933" s="2">
        <v>45471</v>
      </c>
      <c r="C933" t="s">
        <v>32</v>
      </c>
      <c r="D933" t="s">
        <v>117</v>
      </c>
      <c r="E933" t="s">
        <v>142</v>
      </c>
      <c r="F933">
        <v>5.7939999999999996</v>
      </c>
      <c r="G933">
        <v>0</v>
      </c>
      <c r="H933">
        <v>0</v>
      </c>
      <c r="I933">
        <v>20</v>
      </c>
      <c r="J933">
        <v>0</v>
      </c>
      <c r="K933">
        <v>0</v>
      </c>
      <c r="L933" t="s">
        <v>143</v>
      </c>
      <c r="M933">
        <v>20</v>
      </c>
      <c r="N933">
        <v>1</v>
      </c>
      <c r="O933">
        <v>0.9</v>
      </c>
      <c r="P933" t="s">
        <v>115</v>
      </c>
      <c r="Q933">
        <v>0.9</v>
      </c>
      <c r="R933" t="s">
        <v>144</v>
      </c>
    </row>
    <row r="934" spans="1:18" x14ac:dyDescent="0.25">
      <c r="A934" t="s">
        <v>1334</v>
      </c>
      <c r="B934" s="2">
        <v>45471</v>
      </c>
      <c r="C934" t="s">
        <v>32</v>
      </c>
      <c r="D934" t="s">
        <v>118</v>
      </c>
      <c r="E934" t="s">
        <v>142</v>
      </c>
      <c r="F934">
        <v>0.86099999999999999</v>
      </c>
      <c r="G934">
        <v>0</v>
      </c>
      <c r="H934">
        <v>0</v>
      </c>
      <c r="I934">
        <v>20</v>
      </c>
      <c r="J934">
        <v>0</v>
      </c>
      <c r="K934">
        <v>0</v>
      </c>
      <c r="L934" t="s">
        <v>143</v>
      </c>
      <c r="M934">
        <v>20</v>
      </c>
      <c r="N934">
        <v>1</v>
      </c>
      <c r="O934">
        <v>0.9</v>
      </c>
      <c r="P934" t="s">
        <v>115</v>
      </c>
      <c r="Q934">
        <v>0.9</v>
      </c>
      <c r="R934" t="s">
        <v>144</v>
      </c>
    </row>
    <row r="935" spans="1:18" x14ac:dyDescent="0.25">
      <c r="A935" t="s">
        <v>1335</v>
      </c>
      <c r="B935" s="2">
        <v>45471</v>
      </c>
      <c r="C935" t="s">
        <v>32</v>
      </c>
      <c r="D935" t="s">
        <v>118</v>
      </c>
      <c r="E935" t="s">
        <v>142</v>
      </c>
      <c r="F935">
        <v>8.5470000000000006</v>
      </c>
      <c r="G935">
        <v>0</v>
      </c>
      <c r="H935">
        <v>0</v>
      </c>
      <c r="I935">
        <v>20</v>
      </c>
      <c r="J935">
        <v>0</v>
      </c>
      <c r="K935">
        <v>0</v>
      </c>
      <c r="L935" t="s">
        <v>143</v>
      </c>
      <c r="M935">
        <v>20</v>
      </c>
      <c r="N935">
        <v>1</v>
      </c>
      <c r="O935">
        <v>0.9</v>
      </c>
      <c r="P935" t="s">
        <v>115</v>
      </c>
      <c r="Q935">
        <v>0.9</v>
      </c>
      <c r="R935" t="s">
        <v>144</v>
      </c>
    </row>
    <row r="936" spans="1:18" x14ac:dyDescent="0.25">
      <c r="A936" t="s">
        <v>1336</v>
      </c>
      <c r="B936" s="2">
        <v>45471</v>
      </c>
      <c r="C936" t="s">
        <v>32</v>
      </c>
      <c r="D936" t="s">
        <v>118</v>
      </c>
      <c r="E936" t="s">
        <v>142</v>
      </c>
      <c r="F936">
        <v>1</v>
      </c>
      <c r="G936">
        <v>0</v>
      </c>
      <c r="H936">
        <v>0</v>
      </c>
      <c r="I936">
        <v>20</v>
      </c>
      <c r="J936">
        <v>0</v>
      </c>
      <c r="K936">
        <v>0</v>
      </c>
      <c r="L936" t="s">
        <v>143</v>
      </c>
      <c r="M936">
        <v>20</v>
      </c>
      <c r="N936">
        <v>1</v>
      </c>
      <c r="O936">
        <v>0.9</v>
      </c>
      <c r="P936" t="s">
        <v>115</v>
      </c>
      <c r="Q936">
        <v>0.9</v>
      </c>
      <c r="R936" t="s">
        <v>144</v>
      </c>
    </row>
    <row r="937" spans="1:18" x14ac:dyDescent="0.25">
      <c r="A937" t="s">
        <v>1337</v>
      </c>
      <c r="B937" s="2">
        <v>45471</v>
      </c>
      <c r="C937" t="s">
        <v>32</v>
      </c>
      <c r="D937" t="s">
        <v>118</v>
      </c>
      <c r="E937" t="s">
        <v>142</v>
      </c>
      <c r="F937">
        <v>10</v>
      </c>
      <c r="G937">
        <v>4.516</v>
      </c>
      <c r="H937">
        <v>6.774</v>
      </c>
      <c r="I937">
        <v>20</v>
      </c>
      <c r="J937">
        <v>0</v>
      </c>
      <c r="K937">
        <v>0</v>
      </c>
      <c r="L937" t="s">
        <v>145</v>
      </c>
      <c r="M937">
        <v>26.774000000000001</v>
      </c>
      <c r="N937">
        <v>1</v>
      </c>
      <c r="O937">
        <v>0.9</v>
      </c>
      <c r="P937" t="s">
        <v>115</v>
      </c>
      <c r="Q937">
        <v>0.9</v>
      </c>
      <c r="R937" t="s">
        <v>144</v>
      </c>
    </row>
    <row r="938" spans="1:18" x14ac:dyDescent="0.25">
      <c r="A938" t="s">
        <v>1338</v>
      </c>
      <c r="B938" s="2">
        <v>45471</v>
      </c>
      <c r="C938" t="s">
        <v>32</v>
      </c>
      <c r="D938" t="s">
        <v>118</v>
      </c>
      <c r="E938" t="s">
        <v>142</v>
      </c>
      <c r="F938">
        <v>10</v>
      </c>
      <c r="G938">
        <v>2</v>
      </c>
      <c r="H938">
        <v>3</v>
      </c>
      <c r="I938">
        <v>20</v>
      </c>
      <c r="J938">
        <v>0</v>
      </c>
      <c r="K938">
        <v>0</v>
      </c>
      <c r="L938" t="s">
        <v>143</v>
      </c>
      <c r="M938">
        <v>23</v>
      </c>
      <c r="N938">
        <v>1</v>
      </c>
      <c r="O938">
        <v>0.9</v>
      </c>
      <c r="P938" t="s">
        <v>115</v>
      </c>
      <c r="Q938">
        <v>0.9</v>
      </c>
      <c r="R938" t="s">
        <v>144</v>
      </c>
    </row>
    <row r="939" spans="1:18" x14ac:dyDescent="0.25">
      <c r="A939" t="s">
        <v>1339</v>
      </c>
      <c r="B939" s="2">
        <v>45471</v>
      </c>
      <c r="C939" t="s">
        <v>32</v>
      </c>
      <c r="D939" t="s">
        <v>118</v>
      </c>
      <c r="E939" t="s">
        <v>142</v>
      </c>
      <c r="F939">
        <v>1.0249999999999999</v>
      </c>
      <c r="G939">
        <v>0</v>
      </c>
      <c r="H939">
        <v>0</v>
      </c>
      <c r="I939">
        <v>20</v>
      </c>
      <c r="J939">
        <v>0</v>
      </c>
      <c r="K939">
        <v>0</v>
      </c>
      <c r="L939" t="s">
        <v>143</v>
      </c>
      <c r="M939">
        <v>20</v>
      </c>
      <c r="N939">
        <v>1</v>
      </c>
      <c r="O939">
        <v>0.9</v>
      </c>
      <c r="P939" t="s">
        <v>115</v>
      </c>
      <c r="Q939">
        <v>0.9</v>
      </c>
      <c r="R939" t="s">
        <v>144</v>
      </c>
    </row>
    <row r="940" spans="1:18" x14ac:dyDescent="0.25">
      <c r="A940" t="s">
        <v>1340</v>
      </c>
      <c r="B940" s="2">
        <v>45471</v>
      </c>
      <c r="C940" t="s">
        <v>32</v>
      </c>
      <c r="D940" t="s">
        <v>118</v>
      </c>
      <c r="E940" t="s">
        <v>142</v>
      </c>
      <c r="F940">
        <v>1.157</v>
      </c>
      <c r="G940">
        <v>0</v>
      </c>
      <c r="H940">
        <v>0</v>
      </c>
      <c r="I940">
        <v>20</v>
      </c>
      <c r="J940">
        <v>0</v>
      </c>
      <c r="K940">
        <v>0</v>
      </c>
      <c r="L940" t="s">
        <v>143</v>
      </c>
      <c r="M940">
        <v>20</v>
      </c>
      <c r="N940">
        <v>1</v>
      </c>
      <c r="O940">
        <v>0.9</v>
      </c>
      <c r="P940" t="s">
        <v>115</v>
      </c>
      <c r="Q940">
        <v>0.9</v>
      </c>
      <c r="R940" t="s">
        <v>144</v>
      </c>
    </row>
    <row r="941" spans="1:18" x14ac:dyDescent="0.25">
      <c r="A941" t="s">
        <v>1341</v>
      </c>
      <c r="B941" s="2">
        <v>45471</v>
      </c>
      <c r="C941" t="s">
        <v>32</v>
      </c>
      <c r="D941" t="s">
        <v>118</v>
      </c>
      <c r="E941" t="s">
        <v>142</v>
      </c>
      <c r="F941">
        <v>10</v>
      </c>
      <c r="G941">
        <v>2.1890000000000001</v>
      </c>
      <c r="H941">
        <v>3.2835000000000001</v>
      </c>
      <c r="I941">
        <v>20</v>
      </c>
      <c r="J941">
        <v>0</v>
      </c>
      <c r="K941">
        <v>0</v>
      </c>
      <c r="L941" t="s">
        <v>143</v>
      </c>
      <c r="M941">
        <v>23.2835</v>
      </c>
      <c r="N941">
        <v>1</v>
      </c>
      <c r="O941">
        <v>0.9</v>
      </c>
      <c r="P941" t="s">
        <v>115</v>
      </c>
      <c r="Q941">
        <v>0.9</v>
      </c>
      <c r="R941" t="s">
        <v>144</v>
      </c>
    </row>
    <row r="942" spans="1:18" x14ac:dyDescent="0.25">
      <c r="A942" t="s">
        <v>1342</v>
      </c>
      <c r="B942" s="2">
        <v>45471</v>
      </c>
      <c r="C942" t="s">
        <v>32</v>
      </c>
      <c r="D942" t="s">
        <v>118</v>
      </c>
      <c r="E942" t="s">
        <v>142</v>
      </c>
      <c r="F942">
        <v>0.91</v>
      </c>
      <c r="G942">
        <v>0</v>
      </c>
      <c r="H942">
        <v>0</v>
      </c>
      <c r="I942">
        <v>20</v>
      </c>
      <c r="J942">
        <v>0</v>
      </c>
      <c r="K942">
        <v>0</v>
      </c>
      <c r="L942" t="s">
        <v>143</v>
      </c>
      <c r="M942">
        <v>20</v>
      </c>
      <c r="N942">
        <v>1</v>
      </c>
      <c r="O942">
        <v>0.9</v>
      </c>
      <c r="P942" t="s">
        <v>115</v>
      </c>
      <c r="Q942">
        <v>0.9</v>
      </c>
      <c r="R942" t="s">
        <v>144</v>
      </c>
    </row>
    <row r="943" spans="1:18" x14ac:dyDescent="0.25">
      <c r="A943" t="s">
        <v>1343</v>
      </c>
      <c r="B943" s="2">
        <v>45471</v>
      </c>
      <c r="C943" t="s">
        <v>32</v>
      </c>
      <c r="D943" t="s">
        <v>118</v>
      </c>
      <c r="E943" t="s">
        <v>142</v>
      </c>
      <c r="F943">
        <v>10</v>
      </c>
      <c r="G943">
        <v>14.638999999999999</v>
      </c>
      <c r="H943">
        <v>21.958500000000001</v>
      </c>
      <c r="I943">
        <v>20</v>
      </c>
      <c r="J943">
        <v>0</v>
      </c>
      <c r="K943">
        <v>0</v>
      </c>
      <c r="L943" t="s">
        <v>143</v>
      </c>
      <c r="M943">
        <v>41.958500000000001</v>
      </c>
      <c r="N943">
        <v>1</v>
      </c>
      <c r="O943">
        <v>0.9</v>
      </c>
      <c r="P943" t="s">
        <v>115</v>
      </c>
      <c r="Q943">
        <v>0.9</v>
      </c>
      <c r="R943" t="s">
        <v>144</v>
      </c>
    </row>
    <row r="944" spans="1:18" x14ac:dyDescent="0.25">
      <c r="A944" t="s">
        <v>1344</v>
      </c>
      <c r="B944" s="2">
        <v>45471</v>
      </c>
      <c r="C944" t="s">
        <v>32</v>
      </c>
      <c r="D944" t="s">
        <v>118</v>
      </c>
      <c r="E944" t="s">
        <v>142</v>
      </c>
      <c r="F944">
        <v>10</v>
      </c>
      <c r="G944">
        <v>15.169</v>
      </c>
      <c r="H944">
        <v>22.753499999999999</v>
      </c>
      <c r="I944">
        <v>20</v>
      </c>
      <c r="J944">
        <v>0</v>
      </c>
      <c r="K944">
        <v>0</v>
      </c>
      <c r="L944" t="s">
        <v>1345</v>
      </c>
      <c r="M944">
        <v>42.753500000000003</v>
      </c>
      <c r="N944">
        <v>1</v>
      </c>
      <c r="O944">
        <v>0.9</v>
      </c>
      <c r="P944" t="s">
        <v>115</v>
      </c>
      <c r="Q944">
        <v>0.9</v>
      </c>
      <c r="R944" t="s">
        <v>144</v>
      </c>
    </row>
    <row r="945" spans="1:18" x14ac:dyDescent="0.25">
      <c r="A945" t="s">
        <v>1346</v>
      </c>
      <c r="B945" s="2">
        <v>45461</v>
      </c>
      <c r="C945" t="s">
        <v>33</v>
      </c>
      <c r="D945" t="s">
        <v>34</v>
      </c>
      <c r="E945" t="s">
        <v>142</v>
      </c>
      <c r="F945">
        <v>10</v>
      </c>
      <c r="G945">
        <v>2.738</v>
      </c>
      <c r="H945">
        <v>4.1070000000000002</v>
      </c>
      <c r="I945">
        <v>20</v>
      </c>
      <c r="J945">
        <v>0</v>
      </c>
      <c r="K945">
        <v>0</v>
      </c>
      <c r="L945" t="s">
        <v>143</v>
      </c>
      <c r="M945">
        <v>24.106999999999999</v>
      </c>
      <c r="N945">
        <v>1</v>
      </c>
      <c r="O945">
        <v>0.9</v>
      </c>
      <c r="P945" t="s">
        <v>114</v>
      </c>
      <c r="Q945">
        <v>0.9</v>
      </c>
      <c r="R945" t="s">
        <v>144</v>
      </c>
    </row>
    <row r="946" spans="1:18" x14ac:dyDescent="0.25">
      <c r="A946" t="s">
        <v>1347</v>
      </c>
      <c r="B946" s="2">
        <v>45461</v>
      </c>
      <c r="C946" t="s">
        <v>33</v>
      </c>
      <c r="D946" t="s">
        <v>34</v>
      </c>
      <c r="E946" t="s">
        <v>142</v>
      </c>
      <c r="F946">
        <v>4.3310000000000004</v>
      </c>
      <c r="G946">
        <v>0</v>
      </c>
      <c r="H946">
        <v>0</v>
      </c>
      <c r="I946">
        <v>20</v>
      </c>
      <c r="J946">
        <v>0</v>
      </c>
      <c r="K946">
        <v>0</v>
      </c>
      <c r="L946" t="s">
        <v>143</v>
      </c>
      <c r="M946">
        <v>20</v>
      </c>
      <c r="N946">
        <v>1</v>
      </c>
      <c r="O946">
        <v>0.9</v>
      </c>
      <c r="P946" t="s">
        <v>114</v>
      </c>
      <c r="Q946">
        <v>0.9</v>
      </c>
      <c r="R946" t="s">
        <v>144</v>
      </c>
    </row>
    <row r="947" spans="1:18" x14ac:dyDescent="0.25">
      <c r="A947" t="s">
        <v>1348</v>
      </c>
      <c r="B947" s="2">
        <v>45461</v>
      </c>
      <c r="C947" t="s">
        <v>33</v>
      </c>
      <c r="D947" t="s">
        <v>34</v>
      </c>
      <c r="E947" t="s">
        <v>142</v>
      </c>
      <c r="F947">
        <v>0.56599999999999995</v>
      </c>
      <c r="G947">
        <v>0</v>
      </c>
      <c r="H947">
        <v>0</v>
      </c>
      <c r="I947">
        <v>5</v>
      </c>
      <c r="J947">
        <v>0</v>
      </c>
      <c r="K947">
        <v>0</v>
      </c>
      <c r="L947" t="s">
        <v>1349</v>
      </c>
      <c r="M947">
        <v>5</v>
      </c>
      <c r="N947">
        <v>0</v>
      </c>
      <c r="O947">
        <v>0.9</v>
      </c>
      <c r="P947" t="s">
        <v>114</v>
      </c>
      <c r="Q947">
        <v>0</v>
      </c>
      <c r="R947" t="s">
        <v>144</v>
      </c>
    </row>
    <row r="948" spans="1:18" x14ac:dyDescent="0.25">
      <c r="A948" t="s">
        <v>1350</v>
      </c>
      <c r="B948" s="2">
        <v>45461</v>
      </c>
      <c r="C948" t="s">
        <v>33</v>
      </c>
      <c r="D948" t="s">
        <v>34</v>
      </c>
      <c r="E948" t="s">
        <v>142</v>
      </c>
      <c r="F948">
        <v>10</v>
      </c>
      <c r="G948">
        <v>1.4350000000000001</v>
      </c>
      <c r="H948">
        <v>0</v>
      </c>
      <c r="I948">
        <v>5</v>
      </c>
      <c r="J948">
        <v>0</v>
      </c>
      <c r="K948">
        <v>0</v>
      </c>
      <c r="L948" t="s">
        <v>1351</v>
      </c>
      <c r="M948">
        <v>5</v>
      </c>
      <c r="N948">
        <v>0</v>
      </c>
      <c r="O948">
        <v>0.9</v>
      </c>
      <c r="P948" t="s">
        <v>114</v>
      </c>
      <c r="Q948">
        <v>0</v>
      </c>
      <c r="R948" t="s">
        <v>144</v>
      </c>
    </row>
    <row r="949" spans="1:18" x14ac:dyDescent="0.25">
      <c r="A949" t="s">
        <v>1352</v>
      </c>
      <c r="B949" s="2">
        <v>45461</v>
      </c>
      <c r="C949" t="s">
        <v>33</v>
      </c>
      <c r="D949" t="s">
        <v>34</v>
      </c>
      <c r="E949" t="s">
        <v>142</v>
      </c>
      <c r="F949">
        <v>8.9939999999999998</v>
      </c>
      <c r="G949">
        <v>0</v>
      </c>
      <c r="H949">
        <v>0</v>
      </c>
      <c r="I949">
        <v>20</v>
      </c>
      <c r="J949">
        <v>0</v>
      </c>
      <c r="K949">
        <v>0</v>
      </c>
      <c r="L949" t="s">
        <v>143</v>
      </c>
      <c r="M949">
        <v>20</v>
      </c>
      <c r="N949">
        <v>1</v>
      </c>
      <c r="O949">
        <v>0.9</v>
      </c>
      <c r="P949" t="s">
        <v>114</v>
      </c>
      <c r="Q949">
        <v>0.9</v>
      </c>
      <c r="R949" t="s">
        <v>144</v>
      </c>
    </row>
    <row r="950" spans="1:18" x14ac:dyDescent="0.25">
      <c r="A950" t="s">
        <v>1353</v>
      </c>
      <c r="B950" s="2">
        <v>45461</v>
      </c>
      <c r="C950" t="s">
        <v>33</v>
      </c>
      <c r="D950" t="s">
        <v>34</v>
      </c>
      <c r="E950" t="s">
        <v>142</v>
      </c>
      <c r="F950">
        <v>4.6470000000000002</v>
      </c>
      <c r="G950">
        <v>0</v>
      </c>
      <c r="H950">
        <v>0</v>
      </c>
      <c r="I950">
        <v>20</v>
      </c>
      <c r="J950">
        <v>0</v>
      </c>
      <c r="K950">
        <v>0</v>
      </c>
      <c r="L950" t="s">
        <v>143</v>
      </c>
      <c r="M950">
        <v>20</v>
      </c>
      <c r="N950">
        <v>1</v>
      </c>
      <c r="O950">
        <v>0.9</v>
      </c>
      <c r="P950" t="s">
        <v>114</v>
      </c>
      <c r="Q950">
        <v>0.9</v>
      </c>
      <c r="R950" t="s">
        <v>144</v>
      </c>
    </row>
    <row r="951" spans="1:18" x14ac:dyDescent="0.25">
      <c r="A951" t="s">
        <v>1354</v>
      </c>
      <c r="B951" s="2">
        <v>45461</v>
      </c>
      <c r="C951" t="s">
        <v>33</v>
      </c>
      <c r="D951" t="s">
        <v>34</v>
      </c>
      <c r="E951" t="s">
        <v>142</v>
      </c>
      <c r="F951">
        <v>5.8920000000000003</v>
      </c>
      <c r="G951">
        <v>0</v>
      </c>
      <c r="H951">
        <v>0</v>
      </c>
      <c r="I951">
        <v>20</v>
      </c>
      <c r="J951">
        <v>0</v>
      </c>
      <c r="K951">
        <v>0</v>
      </c>
      <c r="L951" t="s">
        <v>143</v>
      </c>
      <c r="M951">
        <v>20</v>
      </c>
      <c r="N951">
        <v>1</v>
      </c>
      <c r="O951">
        <v>0.9</v>
      </c>
      <c r="P951" t="s">
        <v>114</v>
      </c>
      <c r="Q951">
        <v>0.9</v>
      </c>
      <c r="R951" t="s">
        <v>144</v>
      </c>
    </row>
    <row r="952" spans="1:18" x14ac:dyDescent="0.25">
      <c r="A952" t="s">
        <v>1355</v>
      </c>
      <c r="B952" s="2">
        <v>45461</v>
      </c>
      <c r="C952" t="s">
        <v>33</v>
      </c>
      <c r="D952" t="s">
        <v>34</v>
      </c>
      <c r="E952" t="s">
        <v>142</v>
      </c>
      <c r="F952">
        <v>1.2090000000000001</v>
      </c>
      <c r="G952">
        <v>0</v>
      </c>
      <c r="H952">
        <v>0</v>
      </c>
      <c r="I952">
        <v>20</v>
      </c>
      <c r="J952">
        <v>0</v>
      </c>
      <c r="K952">
        <v>0</v>
      </c>
      <c r="L952" t="s">
        <v>143</v>
      </c>
      <c r="M952">
        <v>20</v>
      </c>
      <c r="N952">
        <v>1</v>
      </c>
      <c r="O952">
        <v>0.9</v>
      </c>
      <c r="P952" t="s">
        <v>114</v>
      </c>
      <c r="Q952">
        <v>0.9</v>
      </c>
      <c r="R952" t="s">
        <v>144</v>
      </c>
    </row>
    <row r="953" spans="1:18" x14ac:dyDescent="0.25">
      <c r="A953" t="s">
        <v>1356</v>
      </c>
      <c r="B953" s="2">
        <v>45461</v>
      </c>
      <c r="C953" t="s">
        <v>33</v>
      </c>
      <c r="D953" t="s">
        <v>34</v>
      </c>
      <c r="E953" t="s">
        <v>142</v>
      </c>
      <c r="F953">
        <v>10</v>
      </c>
      <c r="G953">
        <v>7.59</v>
      </c>
      <c r="H953">
        <v>11.385</v>
      </c>
      <c r="I953">
        <v>20</v>
      </c>
      <c r="J953">
        <v>0</v>
      </c>
      <c r="K953">
        <v>0</v>
      </c>
      <c r="L953" t="s">
        <v>143</v>
      </c>
      <c r="M953">
        <v>31.385000000000002</v>
      </c>
      <c r="N953">
        <v>1</v>
      </c>
      <c r="O953">
        <v>0.9</v>
      </c>
      <c r="P953" t="s">
        <v>114</v>
      </c>
      <c r="Q953">
        <v>0.9</v>
      </c>
      <c r="R953" t="s">
        <v>144</v>
      </c>
    </row>
    <row r="954" spans="1:18" x14ac:dyDescent="0.25">
      <c r="A954" t="s">
        <v>1357</v>
      </c>
      <c r="B954" s="2">
        <v>45461</v>
      </c>
      <c r="C954" t="s">
        <v>33</v>
      </c>
      <c r="D954" t="s">
        <v>34</v>
      </c>
      <c r="E954" t="s">
        <v>142</v>
      </c>
      <c r="F954">
        <v>2.2610000000000001</v>
      </c>
      <c r="G954">
        <v>0</v>
      </c>
      <c r="H954">
        <v>0</v>
      </c>
      <c r="I954">
        <v>20</v>
      </c>
      <c r="J954">
        <v>0</v>
      </c>
      <c r="K954">
        <v>0</v>
      </c>
      <c r="L954" t="s">
        <v>1358</v>
      </c>
      <c r="M954">
        <v>20</v>
      </c>
      <c r="N954">
        <v>1</v>
      </c>
      <c r="O954">
        <v>0.9</v>
      </c>
      <c r="P954" t="s">
        <v>114</v>
      </c>
      <c r="Q954">
        <v>0.9</v>
      </c>
      <c r="R954" t="s">
        <v>144</v>
      </c>
    </row>
    <row r="955" spans="1:18" x14ac:dyDescent="0.25">
      <c r="A955" t="s">
        <v>1359</v>
      </c>
      <c r="B955" s="2">
        <v>45461</v>
      </c>
      <c r="C955" t="s">
        <v>33</v>
      </c>
      <c r="D955" t="s">
        <v>34</v>
      </c>
      <c r="E955" t="s">
        <v>142</v>
      </c>
      <c r="F955">
        <v>5.6130000000000004</v>
      </c>
      <c r="G955">
        <v>0</v>
      </c>
      <c r="H955">
        <v>0</v>
      </c>
      <c r="I955">
        <v>20</v>
      </c>
      <c r="J955">
        <v>0</v>
      </c>
      <c r="K955">
        <v>0</v>
      </c>
      <c r="L955" t="s">
        <v>143</v>
      </c>
      <c r="M955">
        <v>20</v>
      </c>
      <c r="N955">
        <v>1</v>
      </c>
      <c r="O955">
        <v>0.9</v>
      </c>
      <c r="P955" t="s">
        <v>114</v>
      </c>
      <c r="Q955">
        <v>0.9</v>
      </c>
      <c r="R955" t="s">
        <v>144</v>
      </c>
    </row>
    <row r="956" spans="1:18" x14ac:dyDescent="0.25">
      <c r="A956" t="s">
        <v>1360</v>
      </c>
      <c r="B956" s="2">
        <v>45461</v>
      </c>
      <c r="C956" t="s">
        <v>33</v>
      </c>
      <c r="D956" t="s">
        <v>34</v>
      </c>
      <c r="E956" t="s">
        <v>142</v>
      </c>
      <c r="F956">
        <v>10</v>
      </c>
      <c r="G956">
        <v>2.4830000000000001</v>
      </c>
      <c r="H956">
        <v>3.7244999999999999</v>
      </c>
      <c r="I956">
        <v>20</v>
      </c>
      <c r="J956">
        <v>0</v>
      </c>
      <c r="K956">
        <v>0</v>
      </c>
      <c r="L956" t="s">
        <v>143</v>
      </c>
      <c r="M956">
        <v>23.724499999999999</v>
      </c>
      <c r="N956">
        <v>1</v>
      </c>
      <c r="O956">
        <v>0.9</v>
      </c>
      <c r="P956" t="s">
        <v>114</v>
      </c>
      <c r="Q956">
        <v>0.9</v>
      </c>
      <c r="R956" t="s">
        <v>144</v>
      </c>
    </row>
    <row r="957" spans="1:18" x14ac:dyDescent="0.25">
      <c r="A957" t="s">
        <v>1361</v>
      </c>
      <c r="B957" s="2">
        <v>45461</v>
      </c>
      <c r="C957" t="s">
        <v>33</v>
      </c>
      <c r="D957" t="s">
        <v>34</v>
      </c>
      <c r="E957" t="s">
        <v>142</v>
      </c>
      <c r="F957">
        <v>0.41499999999999998</v>
      </c>
      <c r="G957">
        <v>0</v>
      </c>
      <c r="H957">
        <v>0</v>
      </c>
      <c r="I957">
        <v>20</v>
      </c>
      <c r="J957">
        <v>0</v>
      </c>
      <c r="K957">
        <v>0</v>
      </c>
      <c r="L957" t="s">
        <v>143</v>
      </c>
      <c r="M957">
        <v>20</v>
      </c>
      <c r="N957">
        <v>1</v>
      </c>
      <c r="O957">
        <v>0.9</v>
      </c>
      <c r="P957" t="s">
        <v>114</v>
      </c>
      <c r="Q957">
        <v>0.9</v>
      </c>
      <c r="R957" t="s">
        <v>144</v>
      </c>
    </row>
    <row r="958" spans="1:18" x14ac:dyDescent="0.25">
      <c r="A958" t="s">
        <v>1362</v>
      </c>
      <c r="B958" s="2">
        <v>45461</v>
      </c>
      <c r="C958" t="s">
        <v>33</v>
      </c>
      <c r="D958" t="s">
        <v>34</v>
      </c>
      <c r="E958" t="s">
        <v>142</v>
      </c>
      <c r="F958">
        <v>0.96699999999999997</v>
      </c>
      <c r="G958">
        <v>0</v>
      </c>
      <c r="H958">
        <v>0</v>
      </c>
      <c r="I958">
        <v>20</v>
      </c>
      <c r="J958">
        <v>0</v>
      </c>
      <c r="K958">
        <v>0</v>
      </c>
      <c r="L958" t="s">
        <v>143</v>
      </c>
      <c r="M958">
        <v>20</v>
      </c>
      <c r="N958">
        <v>1</v>
      </c>
      <c r="O958">
        <v>0.9</v>
      </c>
      <c r="P958" t="s">
        <v>114</v>
      </c>
      <c r="Q958">
        <v>0.9</v>
      </c>
      <c r="R958" t="s">
        <v>144</v>
      </c>
    </row>
    <row r="959" spans="1:18" x14ac:dyDescent="0.25">
      <c r="A959" t="s">
        <v>1363</v>
      </c>
      <c r="B959" s="2">
        <v>45461</v>
      </c>
      <c r="C959" t="s">
        <v>33</v>
      </c>
      <c r="D959" t="s">
        <v>34</v>
      </c>
      <c r="E959" t="s">
        <v>142</v>
      </c>
      <c r="F959">
        <v>1.2090000000000001</v>
      </c>
      <c r="G959">
        <v>0</v>
      </c>
      <c r="H959">
        <v>0</v>
      </c>
      <c r="I959">
        <v>20</v>
      </c>
      <c r="J959">
        <v>0</v>
      </c>
      <c r="K959">
        <v>0</v>
      </c>
      <c r="L959" t="s">
        <v>143</v>
      </c>
      <c r="M959">
        <v>20</v>
      </c>
      <c r="N959">
        <v>1</v>
      </c>
      <c r="O959">
        <v>0.9</v>
      </c>
      <c r="P959" t="s">
        <v>114</v>
      </c>
      <c r="Q959">
        <v>0.9</v>
      </c>
      <c r="R959" t="s">
        <v>144</v>
      </c>
    </row>
    <row r="960" spans="1:18" x14ac:dyDescent="0.25">
      <c r="A960" t="s">
        <v>1364</v>
      </c>
      <c r="B960" s="2">
        <v>45461</v>
      </c>
      <c r="C960" t="s">
        <v>33</v>
      </c>
      <c r="D960" t="s">
        <v>34</v>
      </c>
      <c r="E960" t="s">
        <v>142</v>
      </c>
      <c r="F960">
        <v>10</v>
      </c>
      <c r="G960">
        <v>6.64</v>
      </c>
      <c r="H960">
        <v>0</v>
      </c>
      <c r="I960">
        <v>20</v>
      </c>
      <c r="J960">
        <v>0</v>
      </c>
      <c r="K960">
        <v>0</v>
      </c>
      <c r="L960" t="s">
        <v>1365</v>
      </c>
      <c r="M960">
        <v>20</v>
      </c>
      <c r="N960">
        <v>1</v>
      </c>
      <c r="O960">
        <v>0.9</v>
      </c>
      <c r="P960" t="s">
        <v>114</v>
      </c>
      <c r="Q960">
        <v>0.9</v>
      </c>
      <c r="R960" t="s">
        <v>144</v>
      </c>
    </row>
    <row r="961" spans="1:18" x14ac:dyDescent="0.25">
      <c r="A961" t="s">
        <v>1366</v>
      </c>
      <c r="B961" s="2">
        <v>45462</v>
      </c>
      <c r="C961" t="s">
        <v>33</v>
      </c>
      <c r="D961" t="s">
        <v>34</v>
      </c>
      <c r="E961" t="s">
        <v>142</v>
      </c>
      <c r="F961">
        <v>6.36</v>
      </c>
      <c r="G961">
        <v>0</v>
      </c>
      <c r="H961">
        <v>0</v>
      </c>
      <c r="I961">
        <v>20</v>
      </c>
      <c r="J961">
        <v>0</v>
      </c>
      <c r="K961">
        <v>0</v>
      </c>
      <c r="L961" t="s">
        <v>143</v>
      </c>
      <c r="M961">
        <v>20</v>
      </c>
      <c r="N961">
        <v>1</v>
      </c>
      <c r="O961">
        <v>0.9</v>
      </c>
      <c r="P961" t="s">
        <v>114</v>
      </c>
      <c r="Q961">
        <v>0.9</v>
      </c>
      <c r="R961" t="s">
        <v>144</v>
      </c>
    </row>
    <row r="962" spans="1:18" x14ac:dyDescent="0.25">
      <c r="A962" t="s">
        <v>1367</v>
      </c>
      <c r="B962" s="2">
        <v>45462</v>
      </c>
      <c r="C962" t="s">
        <v>33</v>
      </c>
      <c r="D962" t="s">
        <v>34</v>
      </c>
      <c r="E962" t="s">
        <v>142</v>
      </c>
      <c r="F962">
        <v>10</v>
      </c>
      <c r="G962">
        <v>3.0310000000000001</v>
      </c>
      <c r="H962">
        <v>4.5465</v>
      </c>
      <c r="I962">
        <v>20</v>
      </c>
      <c r="J962">
        <v>0</v>
      </c>
      <c r="K962">
        <v>0</v>
      </c>
      <c r="L962" t="s">
        <v>1368</v>
      </c>
      <c r="M962">
        <v>24.546500000000002</v>
      </c>
      <c r="N962">
        <v>1</v>
      </c>
      <c r="O962">
        <v>0.9</v>
      </c>
      <c r="P962" t="s">
        <v>114</v>
      </c>
      <c r="Q962">
        <v>0.9</v>
      </c>
      <c r="R962" t="s">
        <v>144</v>
      </c>
    </row>
    <row r="963" spans="1:18" x14ac:dyDescent="0.25">
      <c r="A963" t="s">
        <v>1369</v>
      </c>
      <c r="B963" s="2">
        <v>45462</v>
      </c>
      <c r="C963" t="s">
        <v>33</v>
      </c>
      <c r="D963" t="s">
        <v>34</v>
      </c>
      <c r="E963" t="s">
        <v>142</v>
      </c>
      <c r="F963">
        <v>10</v>
      </c>
      <c r="G963">
        <v>2.1509999999999998</v>
      </c>
      <c r="H963">
        <v>3.2265000000000001</v>
      </c>
      <c r="I963">
        <v>20</v>
      </c>
      <c r="J963">
        <v>0</v>
      </c>
      <c r="K963">
        <v>0</v>
      </c>
      <c r="L963" t="s">
        <v>143</v>
      </c>
      <c r="M963">
        <v>23.226500000000001</v>
      </c>
      <c r="N963">
        <v>1</v>
      </c>
      <c r="O963">
        <v>0.9</v>
      </c>
      <c r="P963" t="s">
        <v>114</v>
      </c>
      <c r="Q963">
        <v>0.9</v>
      </c>
      <c r="R963" t="s">
        <v>144</v>
      </c>
    </row>
    <row r="964" spans="1:18" x14ac:dyDescent="0.25">
      <c r="A964" t="s">
        <v>1370</v>
      </c>
      <c r="B964" s="2">
        <v>45462</v>
      </c>
      <c r="C964" t="s">
        <v>33</v>
      </c>
      <c r="D964" t="s">
        <v>34</v>
      </c>
      <c r="E964" t="s">
        <v>142</v>
      </c>
      <c r="F964">
        <v>7.7759999999999998</v>
      </c>
      <c r="G964">
        <v>0</v>
      </c>
      <c r="H964">
        <v>0</v>
      </c>
      <c r="I964">
        <v>20</v>
      </c>
      <c r="J964">
        <v>0</v>
      </c>
      <c r="K964">
        <v>0</v>
      </c>
      <c r="L964" t="s">
        <v>143</v>
      </c>
      <c r="M964">
        <v>20</v>
      </c>
      <c r="N964">
        <v>1</v>
      </c>
      <c r="O964">
        <v>0.9</v>
      </c>
      <c r="P964" t="s">
        <v>114</v>
      </c>
      <c r="Q964">
        <v>0.9</v>
      </c>
      <c r="R964" t="s">
        <v>144</v>
      </c>
    </row>
    <row r="965" spans="1:18" x14ac:dyDescent="0.25">
      <c r="A965" t="s">
        <v>1371</v>
      </c>
      <c r="B965" s="2">
        <v>45462</v>
      </c>
      <c r="C965" t="s">
        <v>33</v>
      </c>
      <c r="D965" t="s">
        <v>34</v>
      </c>
      <c r="E965" t="s">
        <v>142</v>
      </c>
      <c r="F965">
        <v>4.3339999999999996</v>
      </c>
      <c r="G965">
        <v>0</v>
      </c>
      <c r="H965">
        <v>0</v>
      </c>
      <c r="I965">
        <v>20</v>
      </c>
      <c r="J965">
        <v>0</v>
      </c>
      <c r="K965">
        <v>0</v>
      </c>
      <c r="L965" t="s">
        <v>143</v>
      </c>
      <c r="M965">
        <v>20</v>
      </c>
      <c r="N965">
        <v>1</v>
      </c>
      <c r="O965">
        <v>0.9</v>
      </c>
      <c r="P965" t="s">
        <v>114</v>
      </c>
      <c r="Q965">
        <v>0.9</v>
      </c>
      <c r="R965" t="s">
        <v>144</v>
      </c>
    </row>
    <row r="966" spans="1:18" x14ac:dyDescent="0.25">
      <c r="A966" t="s">
        <v>1372</v>
      </c>
      <c r="B966" s="2">
        <v>45462</v>
      </c>
      <c r="C966" t="s">
        <v>33</v>
      </c>
      <c r="D966" t="s">
        <v>34</v>
      </c>
      <c r="E966" t="s">
        <v>142</v>
      </c>
      <c r="F966">
        <v>1.583</v>
      </c>
      <c r="G966">
        <v>0</v>
      </c>
      <c r="H966">
        <v>0</v>
      </c>
      <c r="I966">
        <v>20</v>
      </c>
      <c r="J966">
        <v>0</v>
      </c>
      <c r="K966">
        <v>0</v>
      </c>
      <c r="L966" t="s">
        <v>143</v>
      </c>
      <c r="M966">
        <v>20</v>
      </c>
      <c r="N966">
        <v>1</v>
      </c>
      <c r="O966">
        <v>0.9</v>
      </c>
      <c r="P966" t="s">
        <v>114</v>
      </c>
      <c r="Q966">
        <v>0.9</v>
      </c>
      <c r="R966" t="s">
        <v>144</v>
      </c>
    </row>
    <row r="967" spans="1:18" x14ac:dyDescent="0.25">
      <c r="A967" t="s">
        <v>1373</v>
      </c>
      <c r="B967" s="2">
        <v>45462</v>
      </c>
      <c r="C967" t="s">
        <v>33</v>
      </c>
      <c r="D967" t="s">
        <v>34</v>
      </c>
      <c r="E967" t="s">
        <v>142</v>
      </c>
      <c r="F967">
        <v>4.46</v>
      </c>
      <c r="G967">
        <v>0</v>
      </c>
      <c r="H967">
        <v>0</v>
      </c>
      <c r="I967">
        <v>20</v>
      </c>
      <c r="J967">
        <v>0</v>
      </c>
      <c r="K967">
        <v>0</v>
      </c>
      <c r="L967" t="s">
        <v>143</v>
      </c>
      <c r="M967">
        <v>20</v>
      </c>
      <c r="N967">
        <v>1</v>
      </c>
      <c r="O967">
        <v>0.9</v>
      </c>
      <c r="P967" t="s">
        <v>114</v>
      </c>
      <c r="Q967">
        <v>0.9</v>
      </c>
      <c r="R967" t="s">
        <v>144</v>
      </c>
    </row>
    <row r="968" spans="1:18" x14ac:dyDescent="0.25">
      <c r="A968" t="s">
        <v>1374</v>
      </c>
      <c r="B968" s="2">
        <v>45462</v>
      </c>
      <c r="C968" t="s">
        <v>33</v>
      </c>
      <c r="D968" t="s">
        <v>34</v>
      </c>
      <c r="E968" t="s">
        <v>142</v>
      </c>
      <c r="F968">
        <v>5.2450000000000001</v>
      </c>
      <c r="G968">
        <v>0</v>
      </c>
      <c r="H968">
        <v>0</v>
      </c>
      <c r="I968">
        <v>20</v>
      </c>
      <c r="J968">
        <v>0</v>
      </c>
      <c r="K968">
        <v>0</v>
      </c>
      <c r="L968" t="s">
        <v>143</v>
      </c>
      <c r="M968">
        <v>20</v>
      </c>
      <c r="N968">
        <v>1</v>
      </c>
      <c r="O968">
        <v>0.9</v>
      </c>
      <c r="P968" t="s">
        <v>114</v>
      </c>
      <c r="Q968">
        <v>0.9</v>
      </c>
      <c r="R968" t="s">
        <v>144</v>
      </c>
    </row>
    <row r="969" spans="1:18" x14ac:dyDescent="0.25">
      <c r="A969" t="s">
        <v>1375</v>
      </c>
      <c r="B969" s="2">
        <v>45462</v>
      </c>
      <c r="C969" t="s">
        <v>33</v>
      </c>
      <c r="D969" t="s">
        <v>34</v>
      </c>
      <c r="E969" t="s">
        <v>142</v>
      </c>
      <c r="F969">
        <v>1.571</v>
      </c>
      <c r="G969">
        <v>0</v>
      </c>
      <c r="H969">
        <v>0</v>
      </c>
      <c r="I969">
        <v>5</v>
      </c>
      <c r="J969">
        <v>0</v>
      </c>
      <c r="K969">
        <v>0</v>
      </c>
      <c r="L969" t="s">
        <v>1376</v>
      </c>
      <c r="M969">
        <v>5</v>
      </c>
      <c r="N969">
        <v>0</v>
      </c>
      <c r="O969">
        <v>0.9</v>
      </c>
      <c r="P969" t="s">
        <v>114</v>
      </c>
      <c r="Q969">
        <v>0</v>
      </c>
      <c r="R969" t="s">
        <v>144</v>
      </c>
    </row>
    <row r="970" spans="1:18" x14ac:dyDescent="0.25">
      <c r="A970" t="s">
        <v>1377</v>
      </c>
      <c r="B970" s="2">
        <v>45462</v>
      </c>
      <c r="C970" t="s">
        <v>33</v>
      </c>
      <c r="D970" t="s">
        <v>34</v>
      </c>
      <c r="E970" t="s">
        <v>142</v>
      </c>
      <c r="F970">
        <v>1.034</v>
      </c>
      <c r="G970">
        <v>0</v>
      </c>
      <c r="H970">
        <v>0</v>
      </c>
      <c r="I970">
        <v>20</v>
      </c>
      <c r="J970">
        <v>0</v>
      </c>
      <c r="K970">
        <v>0</v>
      </c>
      <c r="L970" t="s">
        <v>143</v>
      </c>
      <c r="M970">
        <v>20</v>
      </c>
      <c r="N970">
        <v>1</v>
      </c>
      <c r="O970">
        <v>0.9</v>
      </c>
      <c r="P970" t="s">
        <v>114</v>
      </c>
      <c r="Q970">
        <v>0.9</v>
      </c>
      <c r="R970" t="s">
        <v>144</v>
      </c>
    </row>
    <row r="971" spans="1:18" x14ac:dyDescent="0.25">
      <c r="A971" t="s">
        <v>1378</v>
      </c>
      <c r="B971" s="2">
        <v>45462</v>
      </c>
      <c r="C971" t="s">
        <v>33</v>
      </c>
      <c r="D971" t="s">
        <v>34</v>
      </c>
      <c r="E971" t="s">
        <v>142</v>
      </c>
      <c r="F971">
        <v>4.6749999999999998</v>
      </c>
      <c r="G971">
        <v>0</v>
      </c>
      <c r="H971">
        <v>0</v>
      </c>
      <c r="I971">
        <v>20</v>
      </c>
      <c r="J971">
        <v>0</v>
      </c>
      <c r="K971">
        <v>0</v>
      </c>
      <c r="L971" t="s">
        <v>143</v>
      </c>
      <c r="M971">
        <v>20</v>
      </c>
      <c r="N971">
        <v>1</v>
      </c>
      <c r="O971">
        <v>0.9</v>
      </c>
      <c r="P971" t="s">
        <v>114</v>
      </c>
      <c r="Q971">
        <v>0.9</v>
      </c>
      <c r="R971" t="s">
        <v>144</v>
      </c>
    </row>
    <row r="972" spans="1:18" x14ac:dyDescent="0.25">
      <c r="A972" t="s">
        <v>1379</v>
      </c>
      <c r="B972" s="2">
        <v>45462</v>
      </c>
      <c r="C972" t="s">
        <v>33</v>
      </c>
      <c r="D972" t="s">
        <v>34</v>
      </c>
      <c r="E972" t="s">
        <v>142</v>
      </c>
      <c r="F972">
        <v>6.55</v>
      </c>
      <c r="G972">
        <v>0</v>
      </c>
      <c r="H972">
        <v>0</v>
      </c>
      <c r="I972">
        <v>20</v>
      </c>
      <c r="J972">
        <v>0</v>
      </c>
      <c r="K972">
        <v>0</v>
      </c>
      <c r="L972" t="s">
        <v>143</v>
      </c>
      <c r="M972">
        <v>20</v>
      </c>
      <c r="N972">
        <v>1</v>
      </c>
      <c r="O972">
        <v>0.9</v>
      </c>
      <c r="P972" t="s">
        <v>114</v>
      </c>
      <c r="Q972">
        <v>0.9</v>
      </c>
      <c r="R972" t="s">
        <v>144</v>
      </c>
    </row>
    <row r="973" spans="1:18" x14ac:dyDescent="0.25">
      <c r="A973" t="s">
        <v>1380</v>
      </c>
      <c r="B973" s="2">
        <v>45462</v>
      </c>
      <c r="C973" t="s">
        <v>33</v>
      </c>
      <c r="D973" t="s">
        <v>34</v>
      </c>
      <c r="E973" t="s">
        <v>142</v>
      </c>
      <c r="F973">
        <v>10</v>
      </c>
      <c r="G973">
        <v>3.3410000000000002</v>
      </c>
      <c r="H973">
        <v>0</v>
      </c>
      <c r="I973">
        <v>20</v>
      </c>
      <c r="J973">
        <v>0</v>
      </c>
      <c r="K973">
        <v>0</v>
      </c>
      <c r="L973" t="s">
        <v>143</v>
      </c>
      <c r="M973">
        <v>20</v>
      </c>
      <c r="N973">
        <v>1</v>
      </c>
      <c r="O973">
        <v>0.9</v>
      </c>
      <c r="P973" t="s">
        <v>114</v>
      </c>
      <c r="Q973">
        <v>0.9</v>
      </c>
      <c r="R973" t="s">
        <v>144</v>
      </c>
    </row>
    <row r="974" spans="1:18" x14ac:dyDescent="0.25">
      <c r="A974" t="s">
        <v>1381</v>
      </c>
      <c r="B974" s="2">
        <v>45463</v>
      </c>
      <c r="C974" t="s">
        <v>33</v>
      </c>
      <c r="D974" t="s">
        <v>34</v>
      </c>
      <c r="E974" t="s">
        <v>142</v>
      </c>
      <c r="F974">
        <v>5.8570000000000002</v>
      </c>
      <c r="G974">
        <v>0</v>
      </c>
      <c r="H974">
        <v>0</v>
      </c>
      <c r="I974">
        <v>20</v>
      </c>
      <c r="J974">
        <v>0</v>
      </c>
      <c r="K974">
        <v>0</v>
      </c>
      <c r="L974" t="s">
        <v>143</v>
      </c>
      <c r="M974">
        <v>20</v>
      </c>
      <c r="N974">
        <v>1</v>
      </c>
      <c r="O974">
        <v>0.9</v>
      </c>
      <c r="P974" t="s">
        <v>114</v>
      </c>
      <c r="Q974">
        <v>0.9</v>
      </c>
      <c r="R974" t="s">
        <v>144</v>
      </c>
    </row>
    <row r="975" spans="1:18" x14ac:dyDescent="0.25">
      <c r="A975" t="s">
        <v>1382</v>
      </c>
      <c r="B975" s="2">
        <v>45463</v>
      </c>
      <c r="C975" t="s">
        <v>33</v>
      </c>
      <c r="D975" t="s">
        <v>34</v>
      </c>
      <c r="E975" t="s">
        <v>142</v>
      </c>
      <c r="F975">
        <v>1.425</v>
      </c>
      <c r="G975">
        <v>0</v>
      </c>
      <c r="H975">
        <v>0</v>
      </c>
      <c r="I975">
        <v>20</v>
      </c>
      <c r="J975">
        <v>0</v>
      </c>
      <c r="K975">
        <v>0</v>
      </c>
      <c r="L975" t="s">
        <v>143</v>
      </c>
      <c r="M975">
        <v>20</v>
      </c>
      <c r="N975">
        <v>1</v>
      </c>
      <c r="O975">
        <v>0.9</v>
      </c>
      <c r="P975" t="s">
        <v>114</v>
      </c>
      <c r="Q975">
        <v>0.9</v>
      </c>
      <c r="R975" t="s">
        <v>144</v>
      </c>
    </row>
    <row r="976" spans="1:18" x14ac:dyDescent="0.25">
      <c r="A976" t="s">
        <v>1383</v>
      </c>
      <c r="B976" s="2">
        <v>45463</v>
      </c>
      <c r="C976" t="s">
        <v>33</v>
      </c>
      <c r="D976" t="s">
        <v>34</v>
      </c>
      <c r="E976" t="s">
        <v>142</v>
      </c>
      <c r="F976">
        <v>2.2530000000000001</v>
      </c>
      <c r="G976">
        <v>0</v>
      </c>
      <c r="H976">
        <v>0</v>
      </c>
      <c r="I976">
        <v>5</v>
      </c>
      <c r="J976">
        <v>0</v>
      </c>
      <c r="K976">
        <v>0</v>
      </c>
      <c r="L976" t="s">
        <v>1384</v>
      </c>
      <c r="M976">
        <v>5</v>
      </c>
      <c r="N976">
        <v>0</v>
      </c>
      <c r="O976">
        <v>0.9</v>
      </c>
      <c r="P976" t="s">
        <v>114</v>
      </c>
      <c r="Q976">
        <v>0</v>
      </c>
      <c r="R976" t="s">
        <v>144</v>
      </c>
    </row>
    <row r="977" spans="1:18" x14ac:dyDescent="0.25">
      <c r="A977" t="s">
        <v>1385</v>
      </c>
      <c r="B977" s="2">
        <v>45463</v>
      </c>
      <c r="C977" t="s">
        <v>33</v>
      </c>
      <c r="D977" t="s">
        <v>34</v>
      </c>
      <c r="E977" t="s">
        <v>142</v>
      </c>
      <c r="F977">
        <v>3.6040000000000001</v>
      </c>
      <c r="G977">
        <v>0</v>
      </c>
      <c r="H977">
        <v>0</v>
      </c>
      <c r="I977">
        <v>20</v>
      </c>
      <c r="J977">
        <v>0</v>
      </c>
      <c r="K977">
        <v>0</v>
      </c>
      <c r="L977" t="s">
        <v>143</v>
      </c>
      <c r="M977">
        <v>20</v>
      </c>
      <c r="N977">
        <v>1</v>
      </c>
      <c r="O977">
        <v>0.9</v>
      </c>
      <c r="P977" t="s">
        <v>114</v>
      </c>
      <c r="Q977">
        <v>0.9</v>
      </c>
      <c r="R977" t="s">
        <v>144</v>
      </c>
    </row>
    <row r="978" spans="1:18" x14ac:dyDescent="0.25">
      <c r="A978" t="s">
        <v>1386</v>
      </c>
      <c r="B978" s="2">
        <v>45463</v>
      </c>
      <c r="C978" t="s">
        <v>33</v>
      </c>
      <c r="D978" t="s">
        <v>34</v>
      </c>
      <c r="E978" t="s">
        <v>142</v>
      </c>
      <c r="F978">
        <v>6.8479999999999999</v>
      </c>
      <c r="G978">
        <v>0</v>
      </c>
      <c r="H978">
        <v>0</v>
      </c>
      <c r="I978">
        <v>20</v>
      </c>
      <c r="J978">
        <v>0</v>
      </c>
      <c r="K978">
        <v>0</v>
      </c>
      <c r="L978" t="s">
        <v>143</v>
      </c>
      <c r="M978">
        <v>20</v>
      </c>
      <c r="N978">
        <v>1</v>
      </c>
      <c r="O978">
        <v>0.9</v>
      </c>
      <c r="P978" t="s">
        <v>114</v>
      </c>
      <c r="Q978">
        <v>0.9</v>
      </c>
      <c r="R978" t="s">
        <v>144</v>
      </c>
    </row>
    <row r="979" spans="1:18" x14ac:dyDescent="0.25">
      <c r="A979" t="s">
        <v>1387</v>
      </c>
      <c r="B979" s="2">
        <v>45463</v>
      </c>
      <c r="C979" t="s">
        <v>33</v>
      </c>
      <c r="D979" t="s">
        <v>34</v>
      </c>
      <c r="E979" t="s">
        <v>142</v>
      </c>
      <c r="F979">
        <v>0.41499999999999998</v>
      </c>
      <c r="G979">
        <v>0</v>
      </c>
      <c r="H979">
        <v>0</v>
      </c>
      <c r="I979">
        <v>20</v>
      </c>
      <c r="J979">
        <v>0</v>
      </c>
      <c r="K979">
        <v>0</v>
      </c>
      <c r="L979" t="s">
        <v>143</v>
      </c>
      <c r="M979">
        <v>20</v>
      </c>
      <c r="N979">
        <v>1</v>
      </c>
      <c r="O979">
        <v>0.9</v>
      </c>
      <c r="P979" t="s">
        <v>114</v>
      </c>
      <c r="Q979">
        <v>0.9</v>
      </c>
      <c r="R979" t="s">
        <v>144</v>
      </c>
    </row>
    <row r="980" spans="1:18" x14ac:dyDescent="0.25">
      <c r="A980" t="s">
        <v>1388</v>
      </c>
      <c r="B980" s="2">
        <v>45463</v>
      </c>
      <c r="C980" t="s">
        <v>33</v>
      </c>
      <c r="D980" t="s">
        <v>34</v>
      </c>
      <c r="E980" t="s">
        <v>142</v>
      </c>
      <c r="F980">
        <v>1.734</v>
      </c>
      <c r="G980">
        <v>0</v>
      </c>
      <c r="H980">
        <v>0</v>
      </c>
      <c r="I980">
        <v>5</v>
      </c>
      <c r="J980">
        <v>0</v>
      </c>
      <c r="K980">
        <v>0</v>
      </c>
      <c r="L980" t="s">
        <v>1389</v>
      </c>
      <c r="M980">
        <v>5</v>
      </c>
      <c r="N980">
        <v>0</v>
      </c>
      <c r="O980">
        <v>0.9</v>
      </c>
      <c r="P980" t="s">
        <v>114</v>
      </c>
      <c r="Q980">
        <v>0</v>
      </c>
      <c r="R980" t="s">
        <v>144</v>
      </c>
    </row>
    <row r="981" spans="1:18" x14ac:dyDescent="0.25">
      <c r="A981" t="s">
        <v>1390</v>
      </c>
      <c r="B981" s="2">
        <v>45463</v>
      </c>
      <c r="C981" t="s">
        <v>33</v>
      </c>
      <c r="D981" t="s">
        <v>34</v>
      </c>
      <c r="E981" t="s">
        <v>142</v>
      </c>
      <c r="F981">
        <v>3.331</v>
      </c>
      <c r="G981">
        <v>0</v>
      </c>
      <c r="H981">
        <v>0</v>
      </c>
      <c r="I981">
        <v>20</v>
      </c>
      <c r="J981">
        <v>0</v>
      </c>
      <c r="K981">
        <v>0</v>
      </c>
      <c r="L981" t="s">
        <v>143</v>
      </c>
      <c r="M981">
        <v>20</v>
      </c>
      <c r="N981">
        <v>1</v>
      </c>
      <c r="O981">
        <v>0.9</v>
      </c>
      <c r="P981" t="s">
        <v>114</v>
      </c>
      <c r="Q981">
        <v>0.9</v>
      </c>
      <c r="R981" t="s">
        <v>144</v>
      </c>
    </row>
    <row r="982" spans="1:18" x14ac:dyDescent="0.25">
      <c r="A982" t="s">
        <v>1391</v>
      </c>
      <c r="B982" s="2">
        <v>45463</v>
      </c>
      <c r="C982" t="s">
        <v>33</v>
      </c>
      <c r="D982" t="s">
        <v>34</v>
      </c>
      <c r="E982" t="s">
        <v>142</v>
      </c>
      <c r="F982">
        <v>0.93300000000000005</v>
      </c>
      <c r="G982">
        <v>0</v>
      </c>
      <c r="H982">
        <v>0</v>
      </c>
      <c r="I982">
        <v>20</v>
      </c>
      <c r="J982">
        <v>0</v>
      </c>
      <c r="K982">
        <v>0</v>
      </c>
      <c r="L982" t="s">
        <v>143</v>
      </c>
      <c r="M982">
        <v>20</v>
      </c>
      <c r="N982">
        <v>1</v>
      </c>
      <c r="O982">
        <v>0.9</v>
      </c>
      <c r="P982" t="s">
        <v>114</v>
      </c>
      <c r="Q982">
        <v>0.9</v>
      </c>
      <c r="R982" t="s">
        <v>144</v>
      </c>
    </row>
    <row r="983" spans="1:18" x14ac:dyDescent="0.25">
      <c r="A983" t="s">
        <v>1392</v>
      </c>
      <c r="B983" s="2">
        <v>45463</v>
      </c>
      <c r="C983" t="s">
        <v>33</v>
      </c>
      <c r="D983" t="s">
        <v>34</v>
      </c>
      <c r="E983" t="s">
        <v>142</v>
      </c>
      <c r="F983">
        <v>5.9240000000000004</v>
      </c>
      <c r="G983">
        <v>0</v>
      </c>
      <c r="H983">
        <v>0</v>
      </c>
      <c r="I983">
        <v>20</v>
      </c>
      <c r="J983">
        <v>0</v>
      </c>
      <c r="K983">
        <v>0</v>
      </c>
      <c r="L983" t="s">
        <v>143</v>
      </c>
      <c r="M983">
        <v>20</v>
      </c>
      <c r="N983">
        <v>1</v>
      </c>
      <c r="O983">
        <v>0.9</v>
      </c>
      <c r="P983" t="s">
        <v>114</v>
      </c>
      <c r="Q983">
        <v>0.9</v>
      </c>
      <c r="R983" t="s">
        <v>144</v>
      </c>
    </row>
    <row r="984" spans="1:18" x14ac:dyDescent="0.25">
      <c r="A984" t="s">
        <v>1393</v>
      </c>
      <c r="B984" s="2">
        <v>45463</v>
      </c>
      <c r="C984" t="s">
        <v>33</v>
      </c>
      <c r="D984" t="s">
        <v>34</v>
      </c>
      <c r="E984" t="s">
        <v>142</v>
      </c>
      <c r="F984">
        <v>4.4089999999999998</v>
      </c>
      <c r="G984">
        <v>0</v>
      </c>
      <c r="H984">
        <v>0</v>
      </c>
      <c r="I984">
        <v>20</v>
      </c>
      <c r="J984">
        <v>0</v>
      </c>
      <c r="K984">
        <v>0</v>
      </c>
      <c r="L984" t="s">
        <v>143</v>
      </c>
      <c r="M984">
        <v>20</v>
      </c>
      <c r="N984">
        <v>1</v>
      </c>
      <c r="O984">
        <v>0.9</v>
      </c>
      <c r="P984" t="s">
        <v>114</v>
      </c>
      <c r="Q984">
        <v>0.9</v>
      </c>
      <c r="R984" t="s">
        <v>144</v>
      </c>
    </row>
    <row r="985" spans="1:18" x14ac:dyDescent="0.25">
      <c r="A985" t="s">
        <v>1394</v>
      </c>
      <c r="B985" s="2">
        <v>45463</v>
      </c>
      <c r="C985" t="s">
        <v>33</v>
      </c>
      <c r="D985" t="s">
        <v>34</v>
      </c>
      <c r="E985" t="s">
        <v>142</v>
      </c>
      <c r="F985">
        <v>3.113</v>
      </c>
      <c r="G985">
        <v>0</v>
      </c>
      <c r="H985">
        <v>0</v>
      </c>
      <c r="I985">
        <v>20</v>
      </c>
      <c r="J985">
        <v>0</v>
      </c>
      <c r="K985">
        <v>0</v>
      </c>
      <c r="L985" t="s">
        <v>143</v>
      </c>
      <c r="M985">
        <v>20</v>
      </c>
      <c r="N985">
        <v>1</v>
      </c>
      <c r="O985">
        <v>0.9</v>
      </c>
      <c r="P985" t="s">
        <v>114</v>
      </c>
      <c r="Q985">
        <v>0.9</v>
      </c>
      <c r="R985" t="s">
        <v>144</v>
      </c>
    </row>
    <row r="986" spans="1:18" x14ac:dyDescent="0.25">
      <c r="A986" t="s">
        <v>1395</v>
      </c>
      <c r="B986" s="2">
        <v>45463</v>
      </c>
      <c r="C986" t="s">
        <v>33</v>
      </c>
      <c r="D986" t="s">
        <v>34</v>
      </c>
      <c r="E986" t="s">
        <v>142</v>
      </c>
      <c r="F986">
        <v>10</v>
      </c>
      <c r="G986">
        <v>3.4060000000000001</v>
      </c>
      <c r="H986">
        <v>5.109</v>
      </c>
      <c r="I986">
        <v>20</v>
      </c>
      <c r="J986">
        <v>0</v>
      </c>
      <c r="K986">
        <v>0</v>
      </c>
      <c r="L986" t="s">
        <v>143</v>
      </c>
      <c r="M986">
        <v>25.109000000000002</v>
      </c>
      <c r="N986">
        <v>1</v>
      </c>
      <c r="O986">
        <v>0.9</v>
      </c>
      <c r="P986" t="s">
        <v>114</v>
      </c>
      <c r="Q986">
        <v>0.9</v>
      </c>
      <c r="R986" t="s">
        <v>144</v>
      </c>
    </row>
    <row r="987" spans="1:18" x14ac:dyDescent="0.25">
      <c r="A987" t="s">
        <v>1396</v>
      </c>
      <c r="B987" s="2">
        <v>45463</v>
      </c>
      <c r="C987" t="s">
        <v>33</v>
      </c>
      <c r="D987" t="s">
        <v>34</v>
      </c>
      <c r="E987" t="s">
        <v>142</v>
      </c>
      <c r="F987">
        <v>1.1299999999999999</v>
      </c>
      <c r="G987">
        <v>0</v>
      </c>
      <c r="H987">
        <v>0</v>
      </c>
      <c r="I987">
        <v>20</v>
      </c>
      <c r="J987">
        <v>0</v>
      </c>
      <c r="K987">
        <v>0</v>
      </c>
      <c r="L987" t="s">
        <v>143</v>
      </c>
      <c r="M987">
        <v>20</v>
      </c>
      <c r="N987">
        <v>1</v>
      </c>
      <c r="O987">
        <v>0.9</v>
      </c>
      <c r="P987" t="s">
        <v>114</v>
      </c>
      <c r="Q987">
        <v>0.9</v>
      </c>
      <c r="R987" t="s">
        <v>144</v>
      </c>
    </row>
    <row r="988" spans="1:18" x14ac:dyDescent="0.25">
      <c r="A988" t="s">
        <v>1397</v>
      </c>
      <c r="B988" s="2">
        <v>45463</v>
      </c>
      <c r="C988" t="s">
        <v>33</v>
      </c>
      <c r="D988" t="s">
        <v>34</v>
      </c>
      <c r="E988" t="s">
        <v>142</v>
      </c>
      <c r="F988">
        <v>10</v>
      </c>
      <c r="G988">
        <v>2.738</v>
      </c>
      <c r="H988">
        <v>4.1070000000000002</v>
      </c>
      <c r="I988">
        <v>20</v>
      </c>
      <c r="J988">
        <v>0</v>
      </c>
      <c r="K988">
        <v>0</v>
      </c>
      <c r="L988" t="s">
        <v>143</v>
      </c>
      <c r="M988">
        <v>24.106999999999999</v>
      </c>
      <c r="N988">
        <v>1</v>
      </c>
      <c r="O988">
        <v>0.9</v>
      </c>
      <c r="P988" t="s">
        <v>114</v>
      </c>
      <c r="Q988">
        <v>0.9</v>
      </c>
      <c r="R988" t="s">
        <v>144</v>
      </c>
    </row>
    <row r="989" spans="1:18" x14ac:dyDescent="0.25">
      <c r="A989" t="s">
        <v>1398</v>
      </c>
      <c r="B989" s="2">
        <v>45463</v>
      </c>
      <c r="C989" t="s">
        <v>33</v>
      </c>
      <c r="D989" t="s">
        <v>34</v>
      </c>
      <c r="E989" t="s">
        <v>142</v>
      </c>
      <c r="F989">
        <v>3.9689999999999999</v>
      </c>
      <c r="G989">
        <v>0</v>
      </c>
      <c r="H989">
        <v>0</v>
      </c>
      <c r="I989">
        <v>20</v>
      </c>
      <c r="J989">
        <v>0</v>
      </c>
      <c r="K989">
        <v>0</v>
      </c>
      <c r="L989" t="s">
        <v>143</v>
      </c>
      <c r="M989">
        <v>20</v>
      </c>
      <c r="N989">
        <v>1</v>
      </c>
      <c r="O989">
        <v>0.9</v>
      </c>
      <c r="P989" t="s">
        <v>114</v>
      </c>
      <c r="Q989">
        <v>0.9</v>
      </c>
      <c r="R989" t="s">
        <v>144</v>
      </c>
    </row>
    <row r="990" spans="1:18" x14ac:dyDescent="0.25">
      <c r="A990" t="s">
        <v>1399</v>
      </c>
      <c r="B990" s="2">
        <v>45464</v>
      </c>
      <c r="C990" t="s">
        <v>33</v>
      </c>
      <c r="D990" t="s">
        <v>34</v>
      </c>
      <c r="E990" t="s">
        <v>142</v>
      </c>
      <c r="F990">
        <v>10</v>
      </c>
      <c r="G990">
        <v>2.87</v>
      </c>
      <c r="H990">
        <v>4.3049999999999997</v>
      </c>
      <c r="I990">
        <v>20</v>
      </c>
      <c r="J990">
        <v>0</v>
      </c>
      <c r="K990">
        <v>0</v>
      </c>
      <c r="L990" t="s">
        <v>143</v>
      </c>
      <c r="M990">
        <v>24.305</v>
      </c>
      <c r="N990">
        <v>1</v>
      </c>
      <c r="O990">
        <v>0.9</v>
      </c>
      <c r="P990" t="s">
        <v>114</v>
      </c>
      <c r="Q990">
        <v>0.9</v>
      </c>
      <c r="R990" t="s">
        <v>144</v>
      </c>
    </row>
    <row r="991" spans="1:18" x14ac:dyDescent="0.25">
      <c r="A991" t="s">
        <v>1400</v>
      </c>
      <c r="B991" s="2">
        <v>45464</v>
      </c>
      <c r="C991" t="s">
        <v>33</v>
      </c>
      <c r="D991" t="s">
        <v>34</v>
      </c>
      <c r="E991" t="s">
        <v>142</v>
      </c>
      <c r="F991">
        <v>4.7469999999999999</v>
      </c>
      <c r="G991">
        <v>0</v>
      </c>
      <c r="H991">
        <v>0</v>
      </c>
      <c r="I991">
        <v>20</v>
      </c>
      <c r="J991">
        <v>0</v>
      </c>
      <c r="K991">
        <v>0</v>
      </c>
      <c r="L991" t="s">
        <v>143</v>
      </c>
      <c r="M991">
        <v>20</v>
      </c>
      <c r="N991">
        <v>1</v>
      </c>
      <c r="O991">
        <v>0.9</v>
      </c>
      <c r="P991" t="s">
        <v>114</v>
      </c>
      <c r="Q991">
        <v>0.9</v>
      </c>
      <c r="R991" t="s">
        <v>144</v>
      </c>
    </row>
    <row r="992" spans="1:18" x14ac:dyDescent="0.25">
      <c r="A992" t="s">
        <v>1401</v>
      </c>
      <c r="B992" s="2">
        <v>45464</v>
      </c>
      <c r="C992" t="s">
        <v>33</v>
      </c>
      <c r="D992" t="s">
        <v>34</v>
      </c>
      <c r="E992" t="s">
        <v>142</v>
      </c>
      <c r="F992">
        <v>5.9009999999999998</v>
      </c>
      <c r="G992">
        <v>0</v>
      </c>
      <c r="H992">
        <v>0</v>
      </c>
      <c r="I992">
        <v>20</v>
      </c>
      <c r="J992">
        <v>0</v>
      </c>
      <c r="K992">
        <v>0</v>
      </c>
      <c r="L992" t="s">
        <v>143</v>
      </c>
      <c r="M992">
        <v>20</v>
      </c>
      <c r="N992">
        <v>1</v>
      </c>
      <c r="O992">
        <v>0.9</v>
      </c>
      <c r="P992" t="s">
        <v>114</v>
      </c>
      <c r="Q992">
        <v>0.9</v>
      </c>
      <c r="R992" t="s">
        <v>144</v>
      </c>
    </row>
    <row r="993" spans="1:18" x14ac:dyDescent="0.25">
      <c r="A993" t="s">
        <v>1402</v>
      </c>
      <c r="B993" s="2">
        <v>45464</v>
      </c>
      <c r="C993" t="s">
        <v>33</v>
      </c>
      <c r="D993" t="s">
        <v>34</v>
      </c>
      <c r="E993" t="s">
        <v>142</v>
      </c>
      <c r="F993">
        <v>10</v>
      </c>
      <c r="G993">
        <v>2.1349999999999998</v>
      </c>
      <c r="H993">
        <v>3.2025000000000001</v>
      </c>
      <c r="I993">
        <v>20</v>
      </c>
      <c r="J993">
        <v>0</v>
      </c>
      <c r="K993">
        <v>0</v>
      </c>
      <c r="L993" t="s">
        <v>143</v>
      </c>
      <c r="M993">
        <v>23.202500000000001</v>
      </c>
      <c r="N993">
        <v>1</v>
      </c>
      <c r="O993">
        <v>0.9</v>
      </c>
      <c r="P993" t="s">
        <v>114</v>
      </c>
      <c r="Q993">
        <v>0.9</v>
      </c>
      <c r="R993" t="s">
        <v>144</v>
      </c>
    </row>
    <row r="994" spans="1:18" x14ac:dyDescent="0.25">
      <c r="A994" t="s">
        <v>1403</v>
      </c>
      <c r="B994" s="2">
        <v>45464</v>
      </c>
      <c r="C994" t="s">
        <v>33</v>
      </c>
      <c r="D994" t="s">
        <v>34</v>
      </c>
      <c r="E994" t="s">
        <v>142</v>
      </c>
      <c r="F994">
        <v>1.0840000000000001</v>
      </c>
      <c r="G994">
        <v>0</v>
      </c>
      <c r="H994">
        <v>0</v>
      </c>
      <c r="I994">
        <v>20</v>
      </c>
      <c r="J994">
        <v>0</v>
      </c>
      <c r="K994">
        <v>0</v>
      </c>
      <c r="L994" t="s">
        <v>1404</v>
      </c>
      <c r="M994">
        <v>20</v>
      </c>
      <c r="N994">
        <v>1</v>
      </c>
      <c r="O994">
        <v>0.9</v>
      </c>
      <c r="P994" t="s">
        <v>114</v>
      </c>
      <c r="Q994">
        <v>0.9</v>
      </c>
      <c r="R994" t="s">
        <v>144</v>
      </c>
    </row>
    <row r="995" spans="1:18" x14ac:dyDescent="0.25">
      <c r="A995" t="s">
        <v>1405</v>
      </c>
      <c r="B995" s="2">
        <v>45464</v>
      </c>
      <c r="C995" t="s">
        <v>33</v>
      </c>
      <c r="D995" t="s">
        <v>34</v>
      </c>
      <c r="E995" t="s">
        <v>142</v>
      </c>
      <c r="F995">
        <v>0.80800000000000005</v>
      </c>
      <c r="G995">
        <v>0</v>
      </c>
      <c r="H995">
        <v>0</v>
      </c>
      <c r="I995">
        <v>20</v>
      </c>
      <c r="J995">
        <v>0</v>
      </c>
      <c r="K995">
        <v>0</v>
      </c>
      <c r="L995" t="s">
        <v>143</v>
      </c>
      <c r="M995">
        <v>20</v>
      </c>
      <c r="N995">
        <v>1</v>
      </c>
      <c r="O995">
        <v>0.9</v>
      </c>
      <c r="P995" t="s">
        <v>114</v>
      </c>
      <c r="Q995">
        <v>0.9</v>
      </c>
      <c r="R995" t="s">
        <v>144</v>
      </c>
    </row>
    <row r="996" spans="1:18" x14ac:dyDescent="0.25">
      <c r="A996" t="s">
        <v>1406</v>
      </c>
      <c r="B996" s="2">
        <v>45464</v>
      </c>
      <c r="C996" t="s">
        <v>33</v>
      </c>
      <c r="D996" t="s">
        <v>34</v>
      </c>
      <c r="E996" t="s">
        <v>142</v>
      </c>
      <c r="F996">
        <v>5.8920000000000003</v>
      </c>
      <c r="G996">
        <v>0</v>
      </c>
      <c r="H996">
        <v>0</v>
      </c>
      <c r="I996">
        <v>20</v>
      </c>
      <c r="J996">
        <v>0</v>
      </c>
      <c r="K996">
        <v>0</v>
      </c>
      <c r="L996" t="s">
        <v>143</v>
      </c>
      <c r="M996">
        <v>20</v>
      </c>
      <c r="N996">
        <v>1</v>
      </c>
      <c r="O996">
        <v>0.9</v>
      </c>
      <c r="P996" t="s">
        <v>114</v>
      </c>
      <c r="Q996">
        <v>0.9</v>
      </c>
      <c r="R996" t="s">
        <v>144</v>
      </c>
    </row>
    <row r="997" spans="1:18" x14ac:dyDescent="0.25">
      <c r="A997" t="s">
        <v>1407</v>
      </c>
      <c r="B997" s="2">
        <v>45464</v>
      </c>
      <c r="C997" t="s">
        <v>33</v>
      </c>
      <c r="D997" t="s">
        <v>34</v>
      </c>
      <c r="E997" t="s">
        <v>142</v>
      </c>
      <c r="F997">
        <v>2.7160000000000002</v>
      </c>
      <c r="G997">
        <v>0</v>
      </c>
      <c r="H997">
        <v>0</v>
      </c>
      <c r="I997">
        <v>20</v>
      </c>
      <c r="J997">
        <v>0</v>
      </c>
      <c r="K997">
        <v>0</v>
      </c>
      <c r="L997" t="s">
        <v>143</v>
      </c>
      <c r="M997">
        <v>20</v>
      </c>
      <c r="N997">
        <v>1</v>
      </c>
      <c r="O997">
        <v>0.9</v>
      </c>
      <c r="P997" t="s">
        <v>114</v>
      </c>
      <c r="Q997">
        <v>0.9</v>
      </c>
      <c r="R997" t="s">
        <v>144</v>
      </c>
    </row>
    <row r="998" spans="1:18" x14ac:dyDescent="0.25">
      <c r="A998" t="s">
        <v>1408</v>
      </c>
      <c r="B998" s="2">
        <v>45464</v>
      </c>
      <c r="C998" t="s">
        <v>33</v>
      </c>
      <c r="D998" t="s">
        <v>34</v>
      </c>
      <c r="E998" t="s">
        <v>142</v>
      </c>
      <c r="F998">
        <v>3.0710000000000002</v>
      </c>
      <c r="G998">
        <v>0</v>
      </c>
      <c r="H998">
        <v>0</v>
      </c>
      <c r="I998">
        <v>20</v>
      </c>
      <c r="J998">
        <v>0</v>
      </c>
      <c r="K998">
        <v>0</v>
      </c>
      <c r="L998" t="s">
        <v>143</v>
      </c>
      <c r="M998">
        <v>20</v>
      </c>
      <c r="N998">
        <v>1</v>
      </c>
      <c r="O998">
        <v>0.9</v>
      </c>
      <c r="P998" t="s">
        <v>114</v>
      </c>
      <c r="Q998">
        <v>0.9</v>
      </c>
      <c r="R998" t="s">
        <v>144</v>
      </c>
    </row>
    <row r="999" spans="1:18" x14ac:dyDescent="0.25">
      <c r="A999" t="s">
        <v>1409</v>
      </c>
      <c r="B999" s="2">
        <v>45464</v>
      </c>
      <c r="C999" t="s">
        <v>33</v>
      </c>
      <c r="D999" t="s">
        <v>34</v>
      </c>
      <c r="E999" t="s">
        <v>142</v>
      </c>
      <c r="F999">
        <v>10</v>
      </c>
      <c r="G999">
        <v>2.1680000000000001</v>
      </c>
      <c r="H999">
        <v>3.2519999999999998</v>
      </c>
      <c r="I999">
        <v>20</v>
      </c>
      <c r="J999">
        <v>0</v>
      </c>
      <c r="K999">
        <v>0</v>
      </c>
      <c r="L999" t="s">
        <v>143</v>
      </c>
      <c r="M999">
        <v>23.251999999999999</v>
      </c>
      <c r="N999">
        <v>1</v>
      </c>
      <c r="O999">
        <v>0.9</v>
      </c>
      <c r="P999" t="s">
        <v>114</v>
      </c>
      <c r="Q999">
        <v>0.9</v>
      </c>
      <c r="R999" t="s">
        <v>144</v>
      </c>
    </row>
    <row r="1000" spans="1:18" x14ac:dyDescent="0.25">
      <c r="A1000" t="s">
        <v>1410</v>
      </c>
      <c r="B1000" s="2">
        <v>45464</v>
      </c>
      <c r="C1000" t="s">
        <v>33</v>
      </c>
      <c r="D1000" t="s">
        <v>34</v>
      </c>
      <c r="E1000" t="s">
        <v>142</v>
      </c>
      <c r="F1000">
        <v>1.248</v>
      </c>
      <c r="G1000">
        <v>0</v>
      </c>
      <c r="H1000">
        <v>0</v>
      </c>
      <c r="I1000">
        <v>20</v>
      </c>
      <c r="J1000">
        <v>0</v>
      </c>
      <c r="K1000">
        <v>0</v>
      </c>
      <c r="L1000" t="s">
        <v>143</v>
      </c>
      <c r="M1000">
        <v>20</v>
      </c>
      <c r="N1000">
        <v>1</v>
      </c>
      <c r="O1000">
        <v>0.9</v>
      </c>
      <c r="P1000" t="s">
        <v>114</v>
      </c>
      <c r="Q1000">
        <v>0.9</v>
      </c>
      <c r="R1000" t="s">
        <v>144</v>
      </c>
    </row>
    <row r="1001" spans="1:18" x14ac:dyDescent="0.25">
      <c r="A1001" t="s">
        <v>1411</v>
      </c>
      <c r="B1001" s="2">
        <v>45464</v>
      </c>
      <c r="C1001" t="s">
        <v>33</v>
      </c>
      <c r="D1001" t="s">
        <v>34</v>
      </c>
      <c r="E1001" t="s">
        <v>142</v>
      </c>
      <c r="F1001">
        <v>3.0649999999999999</v>
      </c>
      <c r="G1001">
        <v>0</v>
      </c>
      <c r="H1001">
        <v>0</v>
      </c>
      <c r="I1001">
        <v>20</v>
      </c>
      <c r="J1001">
        <v>0</v>
      </c>
      <c r="K1001">
        <v>0</v>
      </c>
      <c r="L1001" t="s">
        <v>143</v>
      </c>
      <c r="M1001">
        <v>20</v>
      </c>
      <c r="N1001">
        <v>1</v>
      </c>
      <c r="O1001">
        <v>0.9</v>
      </c>
      <c r="P1001" t="s">
        <v>114</v>
      </c>
      <c r="Q1001">
        <v>0.9</v>
      </c>
      <c r="R1001" t="s">
        <v>144</v>
      </c>
    </row>
    <row r="1002" spans="1:18" x14ac:dyDescent="0.25">
      <c r="A1002" t="s">
        <v>1412</v>
      </c>
      <c r="B1002" s="2">
        <v>45464</v>
      </c>
      <c r="C1002" t="s">
        <v>33</v>
      </c>
      <c r="D1002" t="s">
        <v>34</v>
      </c>
      <c r="E1002" t="s">
        <v>142</v>
      </c>
      <c r="F1002">
        <v>4.8869999999999996</v>
      </c>
      <c r="G1002">
        <v>0</v>
      </c>
      <c r="H1002">
        <v>0</v>
      </c>
      <c r="I1002">
        <v>20</v>
      </c>
      <c r="J1002">
        <v>0</v>
      </c>
      <c r="K1002">
        <v>0</v>
      </c>
      <c r="L1002" t="s">
        <v>143</v>
      </c>
      <c r="M1002">
        <v>20</v>
      </c>
      <c r="N1002">
        <v>1</v>
      </c>
      <c r="O1002">
        <v>0.9</v>
      </c>
      <c r="P1002" t="s">
        <v>114</v>
      </c>
      <c r="Q1002">
        <v>0.9</v>
      </c>
      <c r="R1002" t="s">
        <v>144</v>
      </c>
    </row>
    <row r="1003" spans="1:18" x14ac:dyDescent="0.25">
      <c r="A1003" t="s">
        <v>1413</v>
      </c>
      <c r="B1003" s="2">
        <v>45465</v>
      </c>
      <c r="C1003" t="s">
        <v>33</v>
      </c>
      <c r="D1003" t="s">
        <v>34</v>
      </c>
      <c r="E1003" t="s">
        <v>142</v>
      </c>
      <c r="F1003">
        <v>2.7160000000000002</v>
      </c>
      <c r="G1003">
        <v>0</v>
      </c>
      <c r="H1003">
        <v>0</v>
      </c>
      <c r="I1003">
        <v>20</v>
      </c>
      <c r="J1003">
        <v>0</v>
      </c>
      <c r="K1003">
        <v>0</v>
      </c>
      <c r="L1003" t="s">
        <v>143</v>
      </c>
      <c r="M1003">
        <v>20</v>
      </c>
      <c r="N1003">
        <v>1</v>
      </c>
      <c r="O1003">
        <v>0.9</v>
      </c>
      <c r="P1003" t="s">
        <v>114</v>
      </c>
      <c r="Q1003">
        <v>0.9</v>
      </c>
      <c r="R1003" t="s">
        <v>144</v>
      </c>
    </row>
    <row r="1004" spans="1:18" x14ac:dyDescent="0.25">
      <c r="A1004" t="s">
        <v>1414</v>
      </c>
      <c r="B1004" s="2">
        <v>45465</v>
      </c>
      <c r="C1004" t="s">
        <v>33</v>
      </c>
      <c r="D1004" t="s">
        <v>34</v>
      </c>
      <c r="E1004" t="s">
        <v>142</v>
      </c>
      <c r="F1004">
        <v>3.0710000000000002</v>
      </c>
      <c r="G1004">
        <v>0</v>
      </c>
      <c r="H1004">
        <v>0</v>
      </c>
      <c r="I1004">
        <v>20</v>
      </c>
      <c r="J1004">
        <v>0</v>
      </c>
      <c r="K1004">
        <v>0</v>
      </c>
      <c r="L1004" t="s">
        <v>143</v>
      </c>
      <c r="M1004">
        <v>20</v>
      </c>
      <c r="N1004">
        <v>1</v>
      </c>
      <c r="O1004">
        <v>0.9</v>
      </c>
      <c r="P1004" t="s">
        <v>114</v>
      </c>
      <c r="Q1004">
        <v>0.9</v>
      </c>
      <c r="R1004" t="s">
        <v>144</v>
      </c>
    </row>
    <row r="1005" spans="1:18" x14ac:dyDescent="0.25">
      <c r="A1005" t="s">
        <v>1415</v>
      </c>
      <c r="B1005" s="2">
        <v>45465</v>
      </c>
      <c r="C1005" t="s">
        <v>33</v>
      </c>
      <c r="D1005" t="s">
        <v>34</v>
      </c>
      <c r="E1005" t="s">
        <v>142</v>
      </c>
      <c r="F1005">
        <v>2.84</v>
      </c>
      <c r="G1005">
        <v>0</v>
      </c>
      <c r="H1005">
        <v>0</v>
      </c>
      <c r="I1005">
        <v>5</v>
      </c>
      <c r="J1005">
        <v>0</v>
      </c>
      <c r="K1005">
        <v>0</v>
      </c>
      <c r="L1005" t="s">
        <v>1416</v>
      </c>
      <c r="M1005">
        <v>5</v>
      </c>
      <c r="N1005">
        <v>0</v>
      </c>
      <c r="O1005">
        <v>0.9</v>
      </c>
      <c r="P1005" t="s">
        <v>114</v>
      </c>
      <c r="Q1005">
        <v>0</v>
      </c>
      <c r="R1005" t="s">
        <v>144</v>
      </c>
    </row>
    <row r="1006" spans="1:18" x14ac:dyDescent="0.25">
      <c r="A1006" t="s">
        <v>1417</v>
      </c>
      <c r="B1006" s="2">
        <v>45465</v>
      </c>
      <c r="C1006" t="s">
        <v>33</v>
      </c>
      <c r="D1006" t="s">
        <v>34</v>
      </c>
      <c r="E1006" t="s">
        <v>142</v>
      </c>
      <c r="F1006">
        <v>2.08</v>
      </c>
      <c r="G1006">
        <v>0</v>
      </c>
      <c r="H1006">
        <v>0</v>
      </c>
      <c r="I1006">
        <v>20</v>
      </c>
      <c r="J1006">
        <v>0</v>
      </c>
      <c r="K1006">
        <v>0</v>
      </c>
      <c r="L1006" t="s">
        <v>143</v>
      </c>
      <c r="M1006">
        <v>20</v>
      </c>
      <c r="N1006">
        <v>1</v>
      </c>
      <c r="O1006">
        <v>0.9</v>
      </c>
      <c r="P1006" t="s">
        <v>114</v>
      </c>
      <c r="Q1006">
        <v>0.9</v>
      </c>
      <c r="R1006" t="s">
        <v>144</v>
      </c>
    </row>
    <row r="1007" spans="1:18" x14ac:dyDescent="0.25">
      <c r="A1007" t="s">
        <v>1418</v>
      </c>
      <c r="B1007" s="2">
        <v>45465</v>
      </c>
      <c r="C1007" t="s">
        <v>33</v>
      </c>
      <c r="D1007" t="s">
        <v>34</v>
      </c>
      <c r="E1007" t="s">
        <v>142</v>
      </c>
      <c r="F1007">
        <v>2.0859999999999999</v>
      </c>
      <c r="G1007">
        <v>0</v>
      </c>
      <c r="H1007">
        <v>0</v>
      </c>
      <c r="I1007">
        <v>20</v>
      </c>
      <c r="J1007">
        <v>0</v>
      </c>
      <c r="K1007">
        <v>0</v>
      </c>
      <c r="L1007" t="s">
        <v>143</v>
      </c>
      <c r="M1007">
        <v>20</v>
      </c>
      <c r="N1007">
        <v>1</v>
      </c>
      <c r="O1007">
        <v>0.9</v>
      </c>
      <c r="P1007" t="s">
        <v>114</v>
      </c>
      <c r="Q1007">
        <v>0.9</v>
      </c>
      <c r="R1007" t="s">
        <v>144</v>
      </c>
    </row>
    <row r="1008" spans="1:18" x14ac:dyDescent="0.25">
      <c r="A1008" t="s">
        <v>1419</v>
      </c>
      <c r="B1008" s="2">
        <v>45465</v>
      </c>
      <c r="C1008" t="s">
        <v>33</v>
      </c>
      <c r="D1008" t="s">
        <v>34</v>
      </c>
      <c r="E1008" t="s">
        <v>142</v>
      </c>
      <c r="F1008">
        <v>1.716</v>
      </c>
      <c r="G1008">
        <v>0</v>
      </c>
      <c r="H1008">
        <v>0</v>
      </c>
      <c r="I1008">
        <v>20</v>
      </c>
      <c r="J1008">
        <v>0</v>
      </c>
      <c r="K1008">
        <v>0</v>
      </c>
      <c r="L1008" t="s">
        <v>143</v>
      </c>
      <c r="M1008">
        <v>20</v>
      </c>
      <c r="N1008">
        <v>1</v>
      </c>
      <c r="O1008">
        <v>0.9</v>
      </c>
      <c r="P1008" t="s">
        <v>114</v>
      </c>
      <c r="Q1008">
        <v>0.9</v>
      </c>
      <c r="R1008" t="s">
        <v>144</v>
      </c>
    </row>
    <row r="1009" spans="1:18" x14ac:dyDescent="0.25">
      <c r="A1009" t="s">
        <v>1420</v>
      </c>
      <c r="B1009" s="2">
        <v>45465</v>
      </c>
      <c r="C1009" t="s">
        <v>33</v>
      </c>
      <c r="D1009" t="s">
        <v>34</v>
      </c>
      <c r="E1009" t="s">
        <v>142</v>
      </c>
      <c r="F1009">
        <v>1.121</v>
      </c>
      <c r="G1009">
        <v>0</v>
      </c>
      <c r="H1009">
        <v>0</v>
      </c>
      <c r="I1009">
        <v>5</v>
      </c>
      <c r="J1009">
        <v>0</v>
      </c>
      <c r="K1009">
        <v>0</v>
      </c>
      <c r="L1009" t="s">
        <v>1421</v>
      </c>
      <c r="M1009">
        <v>5</v>
      </c>
      <c r="N1009">
        <v>0</v>
      </c>
      <c r="O1009">
        <v>0.9</v>
      </c>
      <c r="P1009" t="s">
        <v>114</v>
      </c>
      <c r="Q1009">
        <v>0</v>
      </c>
      <c r="R1009" t="s">
        <v>144</v>
      </c>
    </row>
    <row r="1010" spans="1:18" x14ac:dyDescent="0.25">
      <c r="A1010" t="s">
        <v>1422</v>
      </c>
      <c r="B1010" s="2">
        <v>45465</v>
      </c>
      <c r="C1010" t="s">
        <v>33</v>
      </c>
      <c r="D1010" t="s">
        <v>34</v>
      </c>
      <c r="E1010" t="s">
        <v>142</v>
      </c>
      <c r="F1010">
        <v>1.113</v>
      </c>
      <c r="G1010">
        <v>0</v>
      </c>
      <c r="H1010">
        <v>0</v>
      </c>
      <c r="I1010">
        <v>20</v>
      </c>
      <c r="J1010">
        <v>0</v>
      </c>
      <c r="K1010">
        <v>0</v>
      </c>
      <c r="L1010" t="s">
        <v>143</v>
      </c>
      <c r="M1010">
        <v>20</v>
      </c>
      <c r="N1010">
        <v>1</v>
      </c>
      <c r="O1010">
        <v>0.9</v>
      </c>
      <c r="P1010" t="s">
        <v>114</v>
      </c>
      <c r="Q1010">
        <v>0.9</v>
      </c>
      <c r="R1010" t="s">
        <v>144</v>
      </c>
    </row>
    <row r="1011" spans="1:18" x14ac:dyDescent="0.25">
      <c r="A1011" t="s">
        <v>1423</v>
      </c>
      <c r="B1011" s="2">
        <v>45465</v>
      </c>
      <c r="C1011" t="s">
        <v>33</v>
      </c>
      <c r="D1011" t="s">
        <v>34</v>
      </c>
      <c r="E1011" t="s">
        <v>142</v>
      </c>
      <c r="F1011">
        <v>1.1299999999999999</v>
      </c>
      <c r="G1011">
        <v>0</v>
      </c>
      <c r="H1011">
        <v>0</v>
      </c>
      <c r="I1011">
        <v>20</v>
      </c>
      <c r="J1011">
        <v>0</v>
      </c>
      <c r="K1011">
        <v>0</v>
      </c>
      <c r="L1011" t="s">
        <v>143</v>
      </c>
      <c r="M1011">
        <v>20</v>
      </c>
      <c r="N1011">
        <v>1</v>
      </c>
      <c r="O1011">
        <v>0.9</v>
      </c>
      <c r="P1011" t="s">
        <v>114</v>
      </c>
      <c r="Q1011">
        <v>0.9</v>
      </c>
      <c r="R1011" t="s">
        <v>144</v>
      </c>
    </row>
    <row r="1012" spans="1:18" x14ac:dyDescent="0.25">
      <c r="A1012" t="s">
        <v>1424</v>
      </c>
      <c r="B1012" s="2">
        <v>45465</v>
      </c>
      <c r="C1012" t="s">
        <v>33</v>
      </c>
      <c r="D1012" t="s">
        <v>34</v>
      </c>
      <c r="E1012" t="s">
        <v>142</v>
      </c>
      <c r="F1012">
        <v>10</v>
      </c>
      <c r="G1012">
        <v>2.738</v>
      </c>
      <c r="H1012">
        <v>4.1070000000000002</v>
      </c>
      <c r="I1012">
        <v>20</v>
      </c>
      <c r="J1012">
        <v>0</v>
      </c>
      <c r="K1012">
        <v>0</v>
      </c>
      <c r="L1012" t="s">
        <v>143</v>
      </c>
      <c r="M1012">
        <v>24.106999999999999</v>
      </c>
      <c r="N1012">
        <v>1</v>
      </c>
      <c r="O1012">
        <v>0.9</v>
      </c>
      <c r="P1012" t="s">
        <v>114</v>
      </c>
      <c r="Q1012">
        <v>0.9</v>
      </c>
      <c r="R1012" t="s">
        <v>144</v>
      </c>
    </row>
    <row r="1013" spans="1:18" x14ac:dyDescent="0.25">
      <c r="A1013" t="s">
        <v>1425</v>
      </c>
      <c r="B1013" s="2">
        <v>45465</v>
      </c>
      <c r="C1013" t="s">
        <v>33</v>
      </c>
      <c r="D1013" t="s">
        <v>34</v>
      </c>
      <c r="E1013" t="s">
        <v>142</v>
      </c>
      <c r="F1013">
        <v>2.4430000000000001</v>
      </c>
      <c r="G1013">
        <v>0</v>
      </c>
      <c r="H1013">
        <v>0</v>
      </c>
      <c r="I1013">
        <v>20</v>
      </c>
      <c r="J1013">
        <v>0</v>
      </c>
      <c r="K1013">
        <v>0</v>
      </c>
      <c r="L1013" t="s">
        <v>143</v>
      </c>
      <c r="M1013">
        <v>20</v>
      </c>
      <c r="N1013">
        <v>1</v>
      </c>
      <c r="O1013">
        <v>0.9</v>
      </c>
      <c r="P1013" t="s">
        <v>114</v>
      </c>
      <c r="Q1013">
        <v>0.9</v>
      </c>
      <c r="R1013" t="s">
        <v>144</v>
      </c>
    </row>
    <row r="1014" spans="1:18" x14ac:dyDescent="0.25">
      <c r="A1014" t="s">
        <v>1426</v>
      </c>
      <c r="B1014" s="2">
        <v>45465</v>
      </c>
      <c r="C1014" t="s">
        <v>33</v>
      </c>
      <c r="D1014" t="s">
        <v>34</v>
      </c>
      <c r="E1014" t="s">
        <v>142</v>
      </c>
      <c r="F1014">
        <v>4.9800000000000004</v>
      </c>
      <c r="G1014">
        <v>0</v>
      </c>
      <c r="H1014">
        <v>0</v>
      </c>
      <c r="I1014">
        <v>20</v>
      </c>
      <c r="J1014">
        <v>0</v>
      </c>
      <c r="K1014">
        <v>0</v>
      </c>
      <c r="L1014" t="s">
        <v>143</v>
      </c>
      <c r="M1014">
        <v>20</v>
      </c>
      <c r="N1014">
        <v>1</v>
      </c>
      <c r="O1014">
        <v>0.9</v>
      </c>
      <c r="P1014" t="s">
        <v>114</v>
      </c>
      <c r="Q1014">
        <v>0.9</v>
      </c>
      <c r="R1014" t="s">
        <v>144</v>
      </c>
    </row>
    <row r="1015" spans="1:18" x14ac:dyDescent="0.25">
      <c r="A1015" t="s">
        <v>1427</v>
      </c>
      <c r="B1015" s="2">
        <v>45465</v>
      </c>
      <c r="C1015" t="s">
        <v>33</v>
      </c>
      <c r="D1015" t="s">
        <v>34</v>
      </c>
      <c r="E1015" t="s">
        <v>142</v>
      </c>
      <c r="F1015">
        <v>0.96799999999999997</v>
      </c>
      <c r="G1015">
        <v>0</v>
      </c>
      <c r="H1015">
        <v>0</v>
      </c>
      <c r="I1015">
        <v>20</v>
      </c>
      <c r="J1015">
        <v>0</v>
      </c>
      <c r="K1015">
        <v>0</v>
      </c>
      <c r="L1015" t="s">
        <v>143</v>
      </c>
      <c r="M1015">
        <v>20</v>
      </c>
      <c r="N1015">
        <v>1</v>
      </c>
      <c r="O1015">
        <v>0.9</v>
      </c>
      <c r="P1015" t="s">
        <v>114</v>
      </c>
      <c r="Q1015">
        <v>0.9</v>
      </c>
      <c r="R1015" t="s">
        <v>144</v>
      </c>
    </row>
    <row r="1016" spans="1:18" x14ac:dyDescent="0.25">
      <c r="A1016" t="s">
        <v>1428</v>
      </c>
      <c r="B1016" s="2">
        <v>45465</v>
      </c>
      <c r="C1016" t="s">
        <v>33</v>
      </c>
      <c r="D1016" t="s">
        <v>34</v>
      </c>
      <c r="E1016" t="s">
        <v>142</v>
      </c>
      <c r="F1016">
        <v>1.0629999999999999</v>
      </c>
      <c r="G1016">
        <v>0</v>
      </c>
      <c r="H1016">
        <v>0</v>
      </c>
      <c r="I1016">
        <v>20</v>
      </c>
      <c r="J1016">
        <v>0</v>
      </c>
      <c r="K1016">
        <v>0</v>
      </c>
      <c r="L1016" t="s">
        <v>143</v>
      </c>
      <c r="M1016">
        <v>20</v>
      </c>
      <c r="N1016">
        <v>1</v>
      </c>
      <c r="O1016">
        <v>0.9</v>
      </c>
      <c r="P1016" t="s">
        <v>114</v>
      </c>
      <c r="Q1016">
        <v>0.9</v>
      </c>
      <c r="R1016" t="s">
        <v>144</v>
      </c>
    </row>
    <row r="1017" spans="1:18" x14ac:dyDescent="0.25">
      <c r="A1017" t="s">
        <v>1429</v>
      </c>
      <c r="B1017" s="2">
        <v>45468</v>
      </c>
      <c r="C1017" t="s">
        <v>33</v>
      </c>
      <c r="D1017" t="s">
        <v>34</v>
      </c>
      <c r="E1017" t="s">
        <v>142</v>
      </c>
      <c r="F1017">
        <v>4.0449999999999999</v>
      </c>
      <c r="G1017">
        <v>0</v>
      </c>
      <c r="H1017">
        <v>0</v>
      </c>
      <c r="I1017">
        <v>5</v>
      </c>
      <c r="J1017">
        <v>0</v>
      </c>
      <c r="K1017">
        <v>0</v>
      </c>
      <c r="L1017" t="s">
        <v>1430</v>
      </c>
      <c r="M1017">
        <v>5</v>
      </c>
      <c r="N1017">
        <v>0</v>
      </c>
      <c r="O1017">
        <v>0.9</v>
      </c>
      <c r="P1017" t="s">
        <v>115</v>
      </c>
      <c r="Q1017">
        <v>0</v>
      </c>
      <c r="R1017" t="s">
        <v>144</v>
      </c>
    </row>
    <row r="1018" spans="1:18" x14ac:dyDescent="0.25">
      <c r="A1018" t="s">
        <v>1431</v>
      </c>
      <c r="B1018" s="2">
        <v>45468</v>
      </c>
      <c r="C1018" t="s">
        <v>33</v>
      </c>
      <c r="D1018" t="s">
        <v>34</v>
      </c>
      <c r="E1018" t="s">
        <v>142</v>
      </c>
      <c r="F1018">
        <v>5.6130000000000004</v>
      </c>
      <c r="G1018">
        <v>0</v>
      </c>
      <c r="H1018">
        <v>0</v>
      </c>
      <c r="I1018">
        <v>20</v>
      </c>
      <c r="J1018">
        <v>0</v>
      </c>
      <c r="K1018">
        <v>0</v>
      </c>
      <c r="L1018" t="s">
        <v>143</v>
      </c>
      <c r="M1018">
        <v>20</v>
      </c>
      <c r="N1018">
        <v>1</v>
      </c>
      <c r="O1018">
        <v>0.9</v>
      </c>
      <c r="P1018" t="s">
        <v>115</v>
      </c>
      <c r="Q1018">
        <v>0.9</v>
      </c>
      <c r="R1018" t="s">
        <v>144</v>
      </c>
    </row>
    <row r="1019" spans="1:18" x14ac:dyDescent="0.25">
      <c r="A1019" t="s">
        <v>1432</v>
      </c>
      <c r="B1019" s="2">
        <v>45468</v>
      </c>
      <c r="C1019" t="s">
        <v>33</v>
      </c>
      <c r="D1019" t="s">
        <v>34</v>
      </c>
      <c r="E1019" t="s">
        <v>142</v>
      </c>
      <c r="F1019">
        <v>4.8529999999999998</v>
      </c>
      <c r="G1019">
        <v>0</v>
      </c>
      <c r="H1019">
        <v>0</v>
      </c>
      <c r="I1019">
        <v>20</v>
      </c>
      <c r="J1019">
        <v>0</v>
      </c>
      <c r="K1019">
        <v>0</v>
      </c>
      <c r="L1019" t="s">
        <v>143</v>
      </c>
      <c r="M1019">
        <v>20</v>
      </c>
      <c r="N1019">
        <v>1</v>
      </c>
      <c r="O1019">
        <v>0.9</v>
      </c>
      <c r="P1019" t="s">
        <v>115</v>
      </c>
      <c r="Q1019">
        <v>0.9</v>
      </c>
      <c r="R1019" t="s">
        <v>144</v>
      </c>
    </row>
    <row r="1020" spans="1:18" x14ac:dyDescent="0.25">
      <c r="A1020" t="s">
        <v>1433</v>
      </c>
      <c r="B1020" s="2">
        <v>45468</v>
      </c>
      <c r="C1020" t="s">
        <v>33</v>
      </c>
      <c r="D1020" t="s">
        <v>34</v>
      </c>
      <c r="E1020" t="s">
        <v>142</v>
      </c>
      <c r="F1020">
        <v>2.1320000000000001</v>
      </c>
      <c r="G1020">
        <v>0</v>
      </c>
      <c r="H1020">
        <v>0</v>
      </c>
      <c r="I1020">
        <v>20</v>
      </c>
      <c r="J1020">
        <v>0</v>
      </c>
      <c r="K1020">
        <v>0</v>
      </c>
      <c r="L1020" t="s">
        <v>143</v>
      </c>
      <c r="M1020">
        <v>20</v>
      </c>
      <c r="N1020">
        <v>1</v>
      </c>
      <c r="O1020">
        <v>0.9</v>
      </c>
      <c r="P1020" t="s">
        <v>115</v>
      </c>
      <c r="Q1020">
        <v>0.9</v>
      </c>
      <c r="R1020" t="s">
        <v>144</v>
      </c>
    </row>
    <row r="1021" spans="1:18" x14ac:dyDescent="0.25">
      <c r="A1021" t="s">
        <v>1434</v>
      </c>
      <c r="B1021" s="2">
        <v>45468</v>
      </c>
      <c r="C1021" t="s">
        <v>33</v>
      </c>
      <c r="D1021" t="s">
        <v>34</v>
      </c>
      <c r="E1021" t="s">
        <v>142</v>
      </c>
      <c r="F1021">
        <v>10</v>
      </c>
      <c r="G1021">
        <v>5.9640000000000004</v>
      </c>
      <c r="H1021">
        <v>8.9459999999999997</v>
      </c>
      <c r="I1021">
        <v>20</v>
      </c>
      <c r="J1021">
        <v>0</v>
      </c>
      <c r="K1021">
        <v>0</v>
      </c>
      <c r="L1021" t="s">
        <v>143</v>
      </c>
      <c r="M1021">
        <v>28.946000000000002</v>
      </c>
      <c r="N1021">
        <v>1</v>
      </c>
      <c r="O1021">
        <v>0.9</v>
      </c>
      <c r="P1021" t="s">
        <v>115</v>
      </c>
      <c r="Q1021">
        <v>0.9</v>
      </c>
      <c r="R1021" t="s">
        <v>144</v>
      </c>
    </row>
    <row r="1022" spans="1:18" x14ac:dyDescent="0.25">
      <c r="A1022" t="s">
        <v>1435</v>
      </c>
      <c r="B1022" s="2">
        <v>45468</v>
      </c>
      <c r="C1022" t="s">
        <v>33</v>
      </c>
      <c r="D1022" t="s">
        <v>34</v>
      </c>
      <c r="E1022" t="s">
        <v>142</v>
      </c>
      <c r="F1022">
        <v>1.607</v>
      </c>
      <c r="G1022">
        <v>0</v>
      </c>
      <c r="H1022">
        <v>0</v>
      </c>
      <c r="I1022">
        <v>20</v>
      </c>
      <c r="J1022">
        <v>0</v>
      </c>
      <c r="K1022">
        <v>0</v>
      </c>
      <c r="L1022" t="s">
        <v>143</v>
      </c>
      <c r="M1022">
        <v>20</v>
      </c>
      <c r="N1022">
        <v>1</v>
      </c>
      <c r="O1022">
        <v>0.9</v>
      </c>
      <c r="P1022" t="s">
        <v>115</v>
      </c>
      <c r="Q1022">
        <v>0.9</v>
      </c>
      <c r="R1022" t="s">
        <v>144</v>
      </c>
    </row>
    <row r="1023" spans="1:18" x14ac:dyDescent="0.25">
      <c r="A1023" t="s">
        <v>1436</v>
      </c>
      <c r="B1023" s="2">
        <v>45468</v>
      </c>
      <c r="C1023" t="s">
        <v>33</v>
      </c>
      <c r="D1023" t="s">
        <v>34</v>
      </c>
      <c r="E1023" t="s">
        <v>142</v>
      </c>
      <c r="F1023">
        <v>6.0149999999999997</v>
      </c>
      <c r="G1023">
        <v>0</v>
      </c>
      <c r="H1023">
        <v>0</v>
      </c>
      <c r="I1023">
        <v>20</v>
      </c>
      <c r="J1023">
        <v>0</v>
      </c>
      <c r="K1023">
        <v>0</v>
      </c>
      <c r="L1023" t="s">
        <v>143</v>
      </c>
      <c r="M1023">
        <v>20</v>
      </c>
      <c r="N1023">
        <v>1</v>
      </c>
      <c r="O1023">
        <v>0.9</v>
      </c>
      <c r="P1023" t="s">
        <v>115</v>
      </c>
      <c r="Q1023">
        <v>0.9</v>
      </c>
      <c r="R1023" t="s">
        <v>144</v>
      </c>
    </row>
    <row r="1024" spans="1:18" x14ac:dyDescent="0.25">
      <c r="A1024" t="s">
        <v>1437</v>
      </c>
      <c r="B1024" s="2">
        <v>45468</v>
      </c>
      <c r="C1024" t="s">
        <v>33</v>
      </c>
      <c r="D1024" t="s">
        <v>34</v>
      </c>
      <c r="E1024" t="s">
        <v>142</v>
      </c>
      <c r="F1024">
        <v>10</v>
      </c>
      <c r="G1024">
        <v>11.35</v>
      </c>
      <c r="H1024">
        <v>17.024999999999999</v>
      </c>
      <c r="I1024">
        <v>20</v>
      </c>
      <c r="J1024">
        <v>0</v>
      </c>
      <c r="K1024">
        <v>0</v>
      </c>
      <c r="L1024" t="s">
        <v>339</v>
      </c>
      <c r="M1024">
        <v>37.024999999999999</v>
      </c>
      <c r="N1024">
        <v>1</v>
      </c>
      <c r="O1024">
        <v>0.9</v>
      </c>
      <c r="P1024" t="s">
        <v>115</v>
      </c>
      <c r="Q1024">
        <v>0.9</v>
      </c>
      <c r="R1024" t="s">
        <v>144</v>
      </c>
    </row>
    <row r="1025" spans="1:18" x14ac:dyDescent="0.25">
      <c r="A1025" t="s">
        <v>1438</v>
      </c>
      <c r="B1025" s="2">
        <v>45468</v>
      </c>
      <c r="C1025" t="s">
        <v>33</v>
      </c>
      <c r="D1025" t="s">
        <v>34</v>
      </c>
      <c r="E1025" t="s">
        <v>142</v>
      </c>
      <c r="F1025">
        <v>1.1299999999999999</v>
      </c>
      <c r="G1025">
        <v>0</v>
      </c>
      <c r="H1025">
        <v>0</v>
      </c>
      <c r="I1025">
        <v>20</v>
      </c>
      <c r="J1025">
        <v>0</v>
      </c>
      <c r="K1025">
        <v>0</v>
      </c>
      <c r="L1025" t="s">
        <v>143</v>
      </c>
      <c r="M1025">
        <v>20</v>
      </c>
      <c r="N1025">
        <v>1</v>
      </c>
      <c r="O1025">
        <v>0.9</v>
      </c>
      <c r="P1025" t="s">
        <v>115</v>
      </c>
      <c r="Q1025">
        <v>0.9</v>
      </c>
      <c r="R1025" t="s">
        <v>144</v>
      </c>
    </row>
    <row r="1026" spans="1:18" x14ac:dyDescent="0.25">
      <c r="A1026" t="s">
        <v>1439</v>
      </c>
      <c r="B1026" s="2">
        <v>45468</v>
      </c>
      <c r="C1026" t="s">
        <v>33</v>
      </c>
      <c r="D1026" t="s">
        <v>34</v>
      </c>
      <c r="E1026" t="s">
        <v>142</v>
      </c>
      <c r="F1026">
        <v>1.121</v>
      </c>
      <c r="G1026">
        <v>0</v>
      </c>
      <c r="H1026">
        <v>0</v>
      </c>
      <c r="I1026">
        <v>5</v>
      </c>
      <c r="J1026">
        <v>0</v>
      </c>
      <c r="K1026">
        <v>0</v>
      </c>
      <c r="L1026" t="s">
        <v>1440</v>
      </c>
      <c r="M1026">
        <v>5</v>
      </c>
      <c r="N1026">
        <v>0</v>
      </c>
      <c r="O1026">
        <v>0.9</v>
      </c>
      <c r="P1026" t="s">
        <v>115</v>
      </c>
      <c r="Q1026">
        <v>0</v>
      </c>
      <c r="R1026" t="s">
        <v>144</v>
      </c>
    </row>
    <row r="1027" spans="1:18" x14ac:dyDescent="0.25">
      <c r="A1027" t="s">
        <v>1441</v>
      </c>
      <c r="B1027" s="2">
        <v>45468</v>
      </c>
      <c r="C1027" t="s">
        <v>33</v>
      </c>
      <c r="D1027" t="s">
        <v>34</v>
      </c>
      <c r="E1027" t="s">
        <v>142</v>
      </c>
      <c r="F1027">
        <v>1.607</v>
      </c>
      <c r="G1027">
        <v>0</v>
      </c>
      <c r="H1027">
        <v>0</v>
      </c>
      <c r="I1027">
        <v>20</v>
      </c>
      <c r="J1027">
        <v>0</v>
      </c>
      <c r="K1027">
        <v>0</v>
      </c>
      <c r="L1027" t="s">
        <v>143</v>
      </c>
      <c r="M1027">
        <v>20</v>
      </c>
      <c r="N1027">
        <v>1</v>
      </c>
      <c r="O1027">
        <v>0.9</v>
      </c>
      <c r="P1027" t="s">
        <v>115</v>
      </c>
      <c r="Q1027">
        <v>0.9</v>
      </c>
      <c r="R1027" t="s">
        <v>144</v>
      </c>
    </row>
    <row r="1028" spans="1:18" x14ac:dyDescent="0.25">
      <c r="A1028" t="s">
        <v>1442</v>
      </c>
      <c r="B1028" s="2">
        <v>45468</v>
      </c>
      <c r="C1028" t="s">
        <v>33</v>
      </c>
      <c r="D1028" t="s">
        <v>34</v>
      </c>
      <c r="E1028" t="s">
        <v>142</v>
      </c>
      <c r="F1028">
        <v>2.4279999999999999</v>
      </c>
      <c r="G1028">
        <v>0</v>
      </c>
      <c r="H1028">
        <v>0</v>
      </c>
      <c r="I1028">
        <v>5</v>
      </c>
      <c r="J1028">
        <v>0</v>
      </c>
      <c r="K1028">
        <v>0</v>
      </c>
      <c r="L1028" t="s">
        <v>1443</v>
      </c>
      <c r="M1028">
        <v>5</v>
      </c>
      <c r="N1028">
        <v>0</v>
      </c>
      <c r="O1028">
        <v>0.9</v>
      </c>
      <c r="P1028" t="s">
        <v>115</v>
      </c>
      <c r="Q1028">
        <v>0</v>
      </c>
      <c r="R1028" t="s">
        <v>144</v>
      </c>
    </row>
    <row r="1029" spans="1:18" x14ac:dyDescent="0.25">
      <c r="A1029" t="s">
        <v>1444</v>
      </c>
      <c r="B1029" s="2">
        <v>45468</v>
      </c>
      <c r="C1029" t="s">
        <v>33</v>
      </c>
      <c r="D1029" t="s">
        <v>34</v>
      </c>
      <c r="E1029" t="s">
        <v>142</v>
      </c>
      <c r="F1029">
        <v>10</v>
      </c>
      <c r="G1029">
        <v>2.738</v>
      </c>
      <c r="H1029">
        <v>4.1070000000000002</v>
      </c>
      <c r="I1029">
        <v>20</v>
      </c>
      <c r="J1029">
        <v>0</v>
      </c>
      <c r="K1029">
        <v>0</v>
      </c>
      <c r="L1029" t="s">
        <v>143</v>
      </c>
      <c r="M1029">
        <v>24.106999999999999</v>
      </c>
      <c r="N1029">
        <v>1</v>
      </c>
      <c r="O1029">
        <v>0.9</v>
      </c>
      <c r="P1029" t="s">
        <v>115</v>
      </c>
      <c r="Q1029">
        <v>0.9</v>
      </c>
      <c r="R1029" t="s">
        <v>144</v>
      </c>
    </row>
    <row r="1030" spans="1:18" x14ac:dyDescent="0.25">
      <c r="A1030" t="s">
        <v>1445</v>
      </c>
      <c r="B1030" s="2">
        <v>45468</v>
      </c>
      <c r="C1030" t="s">
        <v>33</v>
      </c>
      <c r="D1030" t="s">
        <v>34</v>
      </c>
      <c r="E1030" t="s">
        <v>142</v>
      </c>
      <c r="F1030">
        <v>3.9689999999999999</v>
      </c>
      <c r="G1030">
        <v>0</v>
      </c>
      <c r="H1030">
        <v>0</v>
      </c>
      <c r="I1030">
        <v>20</v>
      </c>
      <c r="J1030">
        <v>0</v>
      </c>
      <c r="K1030">
        <v>0</v>
      </c>
      <c r="L1030" t="s">
        <v>143</v>
      </c>
      <c r="M1030">
        <v>20</v>
      </c>
      <c r="N1030">
        <v>1</v>
      </c>
      <c r="O1030">
        <v>0.9</v>
      </c>
      <c r="P1030" t="s">
        <v>115</v>
      </c>
      <c r="Q1030">
        <v>0.9</v>
      </c>
      <c r="R1030" t="s">
        <v>144</v>
      </c>
    </row>
    <row r="1031" spans="1:18" x14ac:dyDescent="0.25">
      <c r="A1031" t="s">
        <v>1446</v>
      </c>
      <c r="B1031" s="2">
        <v>45469</v>
      </c>
      <c r="C1031" t="s">
        <v>33</v>
      </c>
      <c r="D1031" t="s">
        <v>34</v>
      </c>
      <c r="E1031" t="s">
        <v>142</v>
      </c>
      <c r="F1031">
        <v>1.7470000000000001</v>
      </c>
      <c r="G1031">
        <v>0</v>
      </c>
      <c r="H1031">
        <v>0</v>
      </c>
      <c r="I1031">
        <v>20</v>
      </c>
      <c r="J1031">
        <v>0</v>
      </c>
      <c r="K1031">
        <v>0</v>
      </c>
      <c r="L1031" t="s">
        <v>143</v>
      </c>
      <c r="M1031">
        <v>20</v>
      </c>
      <c r="N1031">
        <v>1</v>
      </c>
      <c r="O1031">
        <v>0.9</v>
      </c>
      <c r="P1031" t="s">
        <v>115</v>
      </c>
      <c r="Q1031">
        <v>0.9</v>
      </c>
      <c r="R1031" t="s">
        <v>144</v>
      </c>
    </row>
    <row r="1032" spans="1:18" x14ac:dyDescent="0.25">
      <c r="A1032" t="s">
        <v>1447</v>
      </c>
      <c r="B1032" s="2">
        <v>45469</v>
      </c>
      <c r="C1032" t="s">
        <v>33</v>
      </c>
      <c r="D1032" t="s">
        <v>34</v>
      </c>
      <c r="E1032" t="s">
        <v>142</v>
      </c>
      <c r="F1032">
        <v>4.0030000000000001</v>
      </c>
      <c r="G1032">
        <v>0</v>
      </c>
      <c r="H1032">
        <v>0</v>
      </c>
      <c r="I1032">
        <v>20</v>
      </c>
      <c r="J1032">
        <v>0</v>
      </c>
      <c r="K1032">
        <v>0</v>
      </c>
      <c r="L1032" t="s">
        <v>143</v>
      </c>
      <c r="M1032">
        <v>20</v>
      </c>
      <c r="N1032">
        <v>1</v>
      </c>
      <c r="O1032">
        <v>0.9</v>
      </c>
      <c r="P1032" t="s">
        <v>115</v>
      </c>
      <c r="Q1032">
        <v>0.9</v>
      </c>
      <c r="R1032" t="s">
        <v>144</v>
      </c>
    </row>
    <row r="1033" spans="1:18" x14ac:dyDescent="0.25">
      <c r="A1033" t="s">
        <v>1448</v>
      </c>
      <c r="B1033" s="2">
        <v>45469</v>
      </c>
      <c r="C1033" t="s">
        <v>33</v>
      </c>
      <c r="D1033" t="s">
        <v>34</v>
      </c>
      <c r="E1033" t="s">
        <v>142</v>
      </c>
      <c r="F1033">
        <v>8.73</v>
      </c>
      <c r="G1033">
        <v>0</v>
      </c>
      <c r="H1033">
        <v>0</v>
      </c>
      <c r="I1033">
        <v>20</v>
      </c>
      <c r="J1033">
        <v>0</v>
      </c>
      <c r="K1033">
        <v>0</v>
      </c>
      <c r="L1033" t="s">
        <v>143</v>
      </c>
      <c r="M1033">
        <v>20</v>
      </c>
      <c r="N1033">
        <v>1</v>
      </c>
      <c r="O1033">
        <v>0.9</v>
      </c>
      <c r="P1033" t="s">
        <v>115</v>
      </c>
      <c r="Q1033">
        <v>0.9</v>
      </c>
      <c r="R1033" t="s">
        <v>144</v>
      </c>
    </row>
    <row r="1034" spans="1:18" x14ac:dyDescent="0.25">
      <c r="A1034" t="s">
        <v>1449</v>
      </c>
      <c r="B1034" s="2">
        <v>45469</v>
      </c>
      <c r="C1034" t="s">
        <v>33</v>
      </c>
      <c r="D1034" t="s">
        <v>34</v>
      </c>
      <c r="E1034" t="s">
        <v>142</v>
      </c>
      <c r="F1034">
        <v>1.972</v>
      </c>
      <c r="G1034">
        <v>0</v>
      </c>
      <c r="H1034">
        <v>0</v>
      </c>
      <c r="I1034">
        <v>20</v>
      </c>
      <c r="J1034">
        <v>0</v>
      </c>
      <c r="K1034">
        <v>0</v>
      </c>
      <c r="L1034" t="s">
        <v>143</v>
      </c>
      <c r="M1034">
        <v>20</v>
      </c>
      <c r="N1034">
        <v>1</v>
      </c>
      <c r="O1034">
        <v>0.9</v>
      </c>
      <c r="P1034" t="s">
        <v>115</v>
      </c>
      <c r="Q1034">
        <v>0.9</v>
      </c>
      <c r="R1034" t="s">
        <v>144</v>
      </c>
    </row>
    <row r="1035" spans="1:18" x14ac:dyDescent="0.25">
      <c r="A1035" t="s">
        <v>1450</v>
      </c>
      <c r="B1035" s="2">
        <v>45469</v>
      </c>
      <c r="C1035" t="s">
        <v>33</v>
      </c>
      <c r="D1035" t="s">
        <v>34</v>
      </c>
      <c r="E1035" t="s">
        <v>142</v>
      </c>
      <c r="F1035">
        <v>3.669</v>
      </c>
      <c r="G1035">
        <v>0</v>
      </c>
      <c r="H1035">
        <v>0</v>
      </c>
      <c r="I1035">
        <v>20</v>
      </c>
      <c r="J1035">
        <v>0</v>
      </c>
      <c r="K1035">
        <v>0</v>
      </c>
      <c r="L1035" t="s">
        <v>143</v>
      </c>
      <c r="M1035">
        <v>20</v>
      </c>
      <c r="N1035">
        <v>1</v>
      </c>
      <c r="O1035">
        <v>0.9</v>
      </c>
      <c r="P1035" t="s">
        <v>115</v>
      </c>
      <c r="Q1035">
        <v>0.9</v>
      </c>
      <c r="R1035" t="s">
        <v>144</v>
      </c>
    </row>
    <row r="1036" spans="1:18" x14ac:dyDescent="0.25">
      <c r="A1036" t="s">
        <v>1451</v>
      </c>
      <c r="B1036" s="2">
        <v>45469</v>
      </c>
      <c r="C1036" t="s">
        <v>33</v>
      </c>
      <c r="D1036" t="s">
        <v>34</v>
      </c>
      <c r="E1036" t="s">
        <v>142</v>
      </c>
      <c r="F1036">
        <v>4</v>
      </c>
      <c r="G1036">
        <v>0</v>
      </c>
      <c r="H1036">
        <v>0</v>
      </c>
      <c r="I1036">
        <v>20</v>
      </c>
      <c r="J1036">
        <v>0</v>
      </c>
      <c r="K1036">
        <v>0</v>
      </c>
      <c r="L1036" t="s">
        <v>143</v>
      </c>
      <c r="M1036">
        <v>20</v>
      </c>
      <c r="N1036">
        <v>1</v>
      </c>
      <c r="O1036">
        <v>0.9</v>
      </c>
      <c r="P1036" t="s">
        <v>115</v>
      </c>
      <c r="Q1036">
        <v>0.9</v>
      </c>
      <c r="R1036" t="s">
        <v>144</v>
      </c>
    </row>
    <row r="1037" spans="1:18" x14ac:dyDescent="0.25">
      <c r="A1037" t="s">
        <v>1452</v>
      </c>
      <c r="B1037" s="2">
        <v>45469</v>
      </c>
      <c r="C1037" t="s">
        <v>33</v>
      </c>
      <c r="D1037" t="s">
        <v>34</v>
      </c>
      <c r="E1037" t="s">
        <v>142</v>
      </c>
      <c r="F1037">
        <v>6.2030000000000003</v>
      </c>
      <c r="G1037">
        <v>0</v>
      </c>
      <c r="H1037">
        <v>0</v>
      </c>
      <c r="I1037">
        <v>20</v>
      </c>
      <c r="J1037">
        <v>0</v>
      </c>
      <c r="K1037">
        <v>0</v>
      </c>
      <c r="L1037" t="s">
        <v>143</v>
      </c>
      <c r="M1037">
        <v>20</v>
      </c>
      <c r="N1037">
        <v>1</v>
      </c>
      <c r="O1037">
        <v>0.9</v>
      </c>
      <c r="P1037" t="s">
        <v>115</v>
      </c>
      <c r="Q1037">
        <v>0.9</v>
      </c>
      <c r="R1037" t="s">
        <v>144</v>
      </c>
    </row>
    <row r="1038" spans="1:18" x14ac:dyDescent="0.25">
      <c r="A1038" t="s">
        <v>1453</v>
      </c>
      <c r="B1038" s="2">
        <v>45469</v>
      </c>
      <c r="C1038" t="s">
        <v>33</v>
      </c>
      <c r="D1038" t="s">
        <v>34</v>
      </c>
      <c r="E1038" t="s">
        <v>142</v>
      </c>
      <c r="F1038">
        <v>9.1980000000000004</v>
      </c>
      <c r="G1038">
        <v>0</v>
      </c>
      <c r="H1038">
        <v>0</v>
      </c>
      <c r="I1038">
        <v>20</v>
      </c>
      <c r="J1038">
        <v>0</v>
      </c>
      <c r="K1038">
        <v>0</v>
      </c>
      <c r="L1038" t="s">
        <v>143</v>
      </c>
      <c r="M1038">
        <v>20</v>
      </c>
      <c r="N1038">
        <v>1</v>
      </c>
      <c r="O1038">
        <v>0.9</v>
      </c>
      <c r="P1038" t="s">
        <v>115</v>
      </c>
      <c r="Q1038">
        <v>0.9</v>
      </c>
      <c r="R1038" t="s">
        <v>144</v>
      </c>
    </row>
    <row r="1039" spans="1:18" x14ac:dyDescent="0.25">
      <c r="A1039" t="s">
        <v>1454</v>
      </c>
      <c r="B1039" s="2">
        <v>45469</v>
      </c>
      <c r="C1039" t="s">
        <v>33</v>
      </c>
      <c r="D1039" t="s">
        <v>34</v>
      </c>
      <c r="E1039" t="s">
        <v>142</v>
      </c>
      <c r="F1039">
        <v>10</v>
      </c>
      <c r="G1039">
        <v>2.1680000000000001</v>
      </c>
      <c r="H1039">
        <v>3.2519999999999998</v>
      </c>
      <c r="I1039">
        <v>20</v>
      </c>
      <c r="J1039">
        <v>0</v>
      </c>
      <c r="K1039">
        <v>0</v>
      </c>
      <c r="L1039" t="s">
        <v>143</v>
      </c>
      <c r="M1039">
        <v>23.251999999999999</v>
      </c>
      <c r="N1039">
        <v>1</v>
      </c>
      <c r="O1039">
        <v>0.9</v>
      </c>
      <c r="P1039" t="s">
        <v>115</v>
      </c>
      <c r="Q1039">
        <v>0.9</v>
      </c>
      <c r="R1039" t="s">
        <v>144</v>
      </c>
    </row>
    <row r="1040" spans="1:18" x14ac:dyDescent="0.25">
      <c r="A1040" t="s">
        <v>1455</v>
      </c>
      <c r="B1040" s="2">
        <v>45469</v>
      </c>
      <c r="C1040" t="s">
        <v>33</v>
      </c>
      <c r="D1040" t="s">
        <v>34</v>
      </c>
      <c r="E1040" t="s">
        <v>142</v>
      </c>
      <c r="F1040">
        <v>3.157</v>
      </c>
      <c r="G1040">
        <v>0</v>
      </c>
      <c r="H1040">
        <v>0</v>
      </c>
      <c r="I1040">
        <v>20</v>
      </c>
      <c r="J1040">
        <v>0</v>
      </c>
      <c r="K1040">
        <v>0</v>
      </c>
      <c r="L1040" t="s">
        <v>143</v>
      </c>
      <c r="M1040">
        <v>20</v>
      </c>
      <c r="N1040">
        <v>1</v>
      </c>
      <c r="O1040">
        <v>0.9</v>
      </c>
      <c r="P1040" t="s">
        <v>115</v>
      </c>
      <c r="Q1040">
        <v>0.9</v>
      </c>
      <c r="R1040" t="s">
        <v>144</v>
      </c>
    </row>
    <row r="1041" spans="1:18" x14ac:dyDescent="0.25">
      <c r="A1041" t="s">
        <v>1456</v>
      </c>
      <c r="B1041" s="2">
        <v>45469</v>
      </c>
      <c r="C1041" t="s">
        <v>33</v>
      </c>
      <c r="D1041" t="s">
        <v>34</v>
      </c>
      <c r="E1041" t="s">
        <v>142</v>
      </c>
      <c r="F1041">
        <v>1.52</v>
      </c>
      <c r="G1041">
        <v>0</v>
      </c>
      <c r="H1041">
        <v>0</v>
      </c>
      <c r="I1041">
        <v>20</v>
      </c>
      <c r="J1041">
        <v>0</v>
      </c>
      <c r="K1041">
        <v>0</v>
      </c>
      <c r="L1041" t="s">
        <v>143</v>
      </c>
      <c r="M1041">
        <v>20</v>
      </c>
      <c r="N1041">
        <v>1</v>
      </c>
      <c r="O1041">
        <v>0.9</v>
      </c>
      <c r="P1041" t="s">
        <v>115</v>
      </c>
      <c r="Q1041">
        <v>0.9</v>
      </c>
      <c r="R1041" t="s">
        <v>144</v>
      </c>
    </row>
    <row r="1042" spans="1:18" x14ac:dyDescent="0.25">
      <c r="A1042" t="s">
        <v>1457</v>
      </c>
      <c r="B1042" s="2">
        <v>45470</v>
      </c>
      <c r="C1042" t="s">
        <v>33</v>
      </c>
      <c r="D1042" t="s">
        <v>34</v>
      </c>
      <c r="E1042" t="s">
        <v>142</v>
      </c>
      <c r="F1042">
        <v>2.4670000000000001</v>
      </c>
      <c r="G1042">
        <v>0</v>
      </c>
      <c r="H1042">
        <v>0</v>
      </c>
      <c r="I1042">
        <v>20</v>
      </c>
      <c r="J1042">
        <v>0</v>
      </c>
      <c r="K1042">
        <v>0</v>
      </c>
      <c r="L1042" t="s">
        <v>143</v>
      </c>
      <c r="M1042">
        <v>20</v>
      </c>
      <c r="N1042">
        <v>1</v>
      </c>
      <c r="O1042">
        <v>0.9</v>
      </c>
      <c r="P1042" t="s">
        <v>115</v>
      </c>
      <c r="Q1042">
        <v>0.9</v>
      </c>
      <c r="R1042" t="s">
        <v>144</v>
      </c>
    </row>
    <row r="1043" spans="1:18" x14ac:dyDescent="0.25">
      <c r="A1043" t="s">
        <v>1458</v>
      </c>
      <c r="B1043" s="2">
        <v>45470</v>
      </c>
      <c r="C1043" t="s">
        <v>33</v>
      </c>
      <c r="D1043" t="s">
        <v>34</v>
      </c>
      <c r="E1043" t="s">
        <v>142</v>
      </c>
      <c r="F1043">
        <v>10</v>
      </c>
      <c r="G1043">
        <v>0.69799999999999995</v>
      </c>
      <c r="H1043">
        <v>1.0469999999999999</v>
      </c>
      <c r="I1043">
        <v>20</v>
      </c>
      <c r="J1043">
        <v>0</v>
      </c>
      <c r="K1043">
        <v>0</v>
      </c>
      <c r="L1043" t="s">
        <v>143</v>
      </c>
      <c r="M1043">
        <v>21.047000000000001</v>
      </c>
      <c r="N1043">
        <v>1</v>
      </c>
      <c r="O1043">
        <v>0.9</v>
      </c>
      <c r="P1043" t="s">
        <v>115</v>
      </c>
      <c r="Q1043">
        <v>0.9</v>
      </c>
      <c r="R1043" t="s">
        <v>144</v>
      </c>
    </row>
    <row r="1044" spans="1:18" x14ac:dyDescent="0.25">
      <c r="A1044" t="s">
        <v>1459</v>
      </c>
      <c r="B1044" s="2">
        <v>45470</v>
      </c>
      <c r="C1044" t="s">
        <v>33</v>
      </c>
      <c r="D1044" t="s">
        <v>34</v>
      </c>
      <c r="E1044" t="s">
        <v>142</v>
      </c>
      <c r="F1044">
        <v>10</v>
      </c>
      <c r="G1044">
        <v>0.53900000000000003</v>
      </c>
      <c r="H1044">
        <v>0.8085</v>
      </c>
      <c r="I1044">
        <v>20</v>
      </c>
      <c r="J1044">
        <v>0</v>
      </c>
      <c r="K1044">
        <v>0</v>
      </c>
      <c r="L1044" t="s">
        <v>143</v>
      </c>
      <c r="M1044">
        <v>20.808499999999999</v>
      </c>
      <c r="N1044">
        <v>1</v>
      </c>
      <c r="O1044">
        <v>0.9</v>
      </c>
      <c r="P1044" t="s">
        <v>115</v>
      </c>
      <c r="Q1044">
        <v>0.9</v>
      </c>
      <c r="R1044" t="s">
        <v>144</v>
      </c>
    </row>
    <row r="1045" spans="1:18" x14ac:dyDescent="0.25">
      <c r="A1045" t="s">
        <v>1460</v>
      </c>
      <c r="B1045" s="2">
        <v>45470</v>
      </c>
      <c r="C1045" t="s">
        <v>33</v>
      </c>
      <c r="D1045" t="s">
        <v>34</v>
      </c>
      <c r="E1045" t="s">
        <v>142</v>
      </c>
      <c r="F1045">
        <v>1.0629999999999999</v>
      </c>
      <c r="G1045">
        <v>0</v>
      </c>
      <c r="H1045">
        <v>0</v>
      </c>
      <c r="I1045">
        <v>20</v>
      </c>
      <c r="J1045">
        <v>0</v>
      </c>
      <c r="K1045">
        <v>0</v>
      </c>
      <c r="L1045" t="s">
        <v>143</v>
      </c>
      <c r="M1045">
        <v>20</v>
      </c>
      <c r="N1045">
        <v>1</v>
      </c>
      <c r="O1045">
        <v>0.9</v>
      </c>
      <c r="P1045" t="s">
        <v>115</v>
      </c>
      <c r="Q1045">
        <v>0.9</v>
      </c>
      <c r="R1045" t="s">
        <v>144</v>
      </c>
    </row>
    <row r="1046" spans="1:18" x14ac:dyDescent="0.25">
      <c r="A1046" t="s">
        <v>1461</v>
      </c>
      <c r="B1046" s="2">
        <v>45470</v>
      </c>
      <c r="C1046" t="s">
        <v>33</v>
      </c>
      <c r="D1046" t="s">
        <v>34</v>
      </c>
      <c r="E1046" t="s">
        <v>142</v>
      </c>
      <c r="F1046">
        <v>6.0540000000000003</v>
      </c>
      <c r="G1046">
        <v>0</v>
      </c>
      <c r="H1046">
        <v>0</v>
      </c>
      <c r="I1046">
        <v>20</v>
      </c>
      <c r="J1046">
        <v>0</v>
      </c>
      <c r="K1046">
        <v>0</v>
      </c>
      <c r="L1046" t="s">
        <v>143</v>
      </c>
      <c r="M1046">
        <v>20</v>
      </c>
      <c r="N1046">
        <v>1</v>
      </c>
      <c r="O1046">
        <v>0.9</v>
      </c>
      <c r="P1046" t="s">
        <v>115</v>
      </c>
      <c r="Q1046">
        <v>0.9</v>
      </c>
      <c r="R1046" t="s">
        <v>144</v>
      </c>
    </row>
    <row r="1047" spans="1:18" x14ac:dyDescent="0.25">
      <c r="A1047" t="s">
        <v>1462</v>
      </c>
      <c r="B1047" s="2">
        <v>45470</v>
      </c>
      <c r="C1047" t="s">
        <v>33</v>
      </c>
      <c r="D1047" t="s">
        <v>34</v>
      </c>
      <c r="E1047" t="s">
        <v>142</v>
      </c>
      <c r="F1047">
        <v>4.968</v>
      </c>
      <c r="G1047">
        <v>0</v>
      </c>
      <c r="H1047">
        <v>0</v>
      </c>
      <c r="I1047">
        <v>20</v>
      </c>
      <c r="J1047">
        <v>0</v>
      </c>
      <c r="K1047">
        <v>0</v>
      </c>
      <c r="L1047" t="s">
        <v>143</v>
      </c>
      <c r="M1047">
        <v>20</v>
      </c>
      <c r="N1047">
        <v>1</v>
      </c>
      <c r="O1047">
        <v>0.9</v>
      </c>
      <c r="P1047" t="s">
        <v>115</v>
      </c>
      <c r="Q1047">
        <v>0.9</v>
      </c>
      <c r="R1047" t="s">
        <v>144</v>
      </c>
    </row>
    <row r="1048" spans="1:18" x14ac:dyDescent="0.25">
      <c r="A1048" t="s">
        <v>1463</v>
      </c>
      <c r="B1048" s="2">
        <v>45470</v>
      </c>
      <c r="C1048" t="s">
        <v>33</v>
      </c>
      <c r="D1048" t="s">
        <v>34</v>
      </c>
      <c r="E1048" t="s">
        <v>142</v>
      </c>
      <c r="F1048">
        <v>1.044</v>
      </c>
      <c r="G1048">
        <v>0</v>
      </c>
      <c r="H1048">
        <v>0</v>
      </c>
      <c r="I1048">
        <v>20</v>
      </c>
      <c r="J1048">
        <v>0</v>
      </c>
      <c r="K1048">
        <v>0</v>
      </c>
      <c r="L1048" t="s">
        <v>1464</v>
      </c>
      <c r="M1048">
        <v>20</v>
      </c>
      <c r="N1048">
        <v>1</v>
      </c>
      <c r="O1048">
        <v>0.9</v>
      </c>
      <c r="P1048" t="s">
        <v>115</v>
      </c>
      <c r="Q1048">
        <v>0.9</v>
      </c>
      <c r="R1048" t="s">
        <v>144</v>
      </c>
    </row>
    <row r="1049" spans="1:18" x14ac:dyDescent="0.25">
      <c r="A1049" t="s">
        <v>1465</v>
      </c>
      <c r="B1049" s="2">
        <v>45470</v>
      </c>
      <c r="C1049" t="s">
        <v>33</v>
      </c>
      <c r="D1049" t="s">
        <v>34</v>
      </c>
      <c r="E1049" t="s">
        <v>142</v>
      </c>
      <c r="F1049">
        <v>4.9640000000000004</v>
      </c>
      <c r="G1049">
        <v>0</v>
      </c>
      <c r="H1049">
        <v>0</v>
      </c>
      <c r="I1049">
        <v>20</v>
      </c>
      <c r="J1049">
        <v>0</v>
      </c>
      <c r="K1049">
        <v>0</v>
      </c>
      <c r="L1049" t="s">
        <v>143</v>
      </c>
      <c r="M1049">
        <v>20</v>
      </c>
      <c r="N1049">
        <v>1</v>
      </c>
      <c r="O1049">
        <v>0.9</v>
      </c>
      <c r="P1049" t="s">
        <v>115</v>
      </c>
      <c r="Q1049">
        <v>0.9</v>
      </c>
      <c r="R1049" t="s">
        <v>144</v>
      </c>
    </row>
    <row r="1050" spans="1:18" x14ac:dyDescent="0.25">
      <c r="A1050" t="s">
        <v>1466</v>
      </c>
      <c r="B1050" s="2">
        <v>45470</v>
      </c>
      <c r="C1050" t="s">
        <v>33</v>
      </c>
      <c r="D1050" t="s">
        <v>34</v>
      </c>
      <c r="E1050" t="s">
        <v>142</v>
      </c>
      <c r="F1050">
        <v>1.6060000000000001</v>
      </c>
      <c r="G1050">
        <v>0</v>
      </c>
      <c r="H1050">
        <v>0</v>
      </c>
      <c r="I1050">
        <v>20</v>
      </c>
      <c r="J1050">
        <v>0</v>
      </c>
      <c r="K1050">
        <v>0</v>
      </c>
      <c r="L1050" t="s">
        <v>143</v>
      </c>
      <c r="M1050">
        <v>20</v>
      </c>
      <c r="N1050">
        <v>1</v>
      </c>
      <c r="O1050">
        <v>0.9</v>
      </c>
      <c r="P1050" t="s">
        <v>115</v>
      </c>
      <c r="Q1050">
        <v>0.9</v>
      </c>
      <c r="R1050" t="s">
        <v>144</v>
      </c>
    </row>
    <row r="1051" spans="1:18" x14ac:dyDescent="0.25">
      <c r="A1051" t="s">
        <v>1467</v>
      </c>
      <c r="B1051" s="2">
        <v>45470</v>
      </c>
      <c r="C1051" t="s">
        <v>33</v>
      </c>
      <c r="D1051" t="s">
        <v>34</v>
      </c>
      <c r="E1051" t="s">
        <v>142</v>
      </c>
      <c r="F1051">
        <v>1.607</v>
      </c>
      <c r="G1051">
        <v>0</v>
      </c>
      <c r="H1051">
        <v>0</v>
      </c>
      <c r="I1051">
        <v>5</v>
      </c>
      <c r="J1051">
        <v>0</v>
      </c>
      <c r="K1051">
        <v>0</v>
      </c>
      <c r="L1051" t="s">
        <v>1468</v>
      </c>
      <c r="M1051">
        <v>5</v>
      </c>
      <c r="N1051">
        <v>0</v>
      </c>
      <c r="O1051">
        <v>0.9</v>
      </c>
      <c r="P1051" t="s">
        <v>115</v>
      </c>
      <c r="Q1051">
        <v>0</v>
      </c>
      <c r="R1051" t="s">
        <v>144</v>
      </c>
    </row>
    <row r="1052" spans="1:18" x14ac:dyDescent="0.25">
      <c r="A1052" t="s">
        <v>1469</v>
      </c>
      <c r="B1052" s="2">
        <v>45470</v>
      </c>
      <c r="C1052" t="s">
        <v>33</v>
      </c>
      <c r="D1052" t="s">
        <v>34</v>
      </c>
      <c r="E1052" t="s">
        <v>142</v>
      </c>
      <c r="F1052">
        <v>1.607</v>
      </c>
      <c r="G1052">
        <v>0</v>
      </c>
      <c r="H1052">
        <v>0</v>
      </c>
      <c r="I1052">
        <v>5</v>
      </c>
      <c r="J1052">
        <v>0</v>
      </c>
      <c r="K1052">
        <v>0</v>
      </c>
      <c r="L1052" t="s">
        <v>1470</v>
      </c>
      <c r="M1052">
        <v>5</v>
      </c>
      <c r="N1052">
        <v>0</v>
      </c>
      <c r="O1052">
        <v>0.9</v>
      </c>
      <c r="P1052" t="s">
        <v>115</v>
      </c>
      <c r="Q1052">
        <v>0</v>
      </c>
      <c r="R1052" t="s">
        <v>144</v>
      </c>
    </row>
    <row r="1053" spans="1:18" x14ac:dyDescent="0.25">
      <c r="A1053" t="s">
        <v>1471</v>
      </c>
      <c r="B1053" s="2">
        <v>45470</v>
      </c>
      <c r="C1053" t="s">
        <v>33</v>
      </c>
      <c r="D1053" t="s">
        <v>34</v>
      </c>
      <c r="E1053" t="s">
        <v>142</v>
      </c>
      <c r="F1053">
        <v>1.657</v>
      </c>
      <c r="G1053">
        <v>0</v>
      </c>
      <c r="H1053">
        <v>0</v>
      </c>
      <c r="I1053">
        <v>5</v>
      </c>
      <c r="J1053">
        <v>0</v>
      </c>
      <c r="K1053">
        <v>0</v>
      </c>
      <c r="L1053" t="s">
        <v>1472</v>
      </c>
      <c r="M1053">
        <v>5</v>
      </c>
      <c r="N1053">
        <v>0</v>
      </c>
      <c r="O1053">
        <v>0.9</v>
      </c>
      <c r="P1053" t="s">
        <v>115</v>
      </c>
      <c r="Q1053">
        <v>0</v>
      </c>
      <c r="R1053" t="s">
        <v>144</v>
      </c>
    </row>
    <row r="1054" spans="1:18" x14ac:dyDescent="0.25">
      <c r="A1054" t="s">
        <v>1473</v>
      </c>
      <c r="B1054" s="2">
        <v>45470</v>
      </c>
      <c r="C1054" t="s">
        <v>33</v>
      </c>
      <c r="D1054" t="s">
        <v>34</v>
      </c>
      <c r="E1054" t="s">
        <v>142</v>
      </c>
      <c r="F1054">
        <v>6.5410000000000004</v>
      </c>
      <c r="G1054">
        <v>0</v>
      </c>
      <c r="H1054">
        <v>0</v>
      </c>
      <c r="I1054">
        <v>5</v>
      </c>
      <c r="J1054">
        <v>0</v>
      </c>
      <c r="K1054">
        <v>0</v>
      </c>
      <c r="L1054" t="s">
        <v>1474</v>
      </c>
      <c r="M1054">
        <v>5</v>
      </c>
      <c r="N1054">
        <v>0</v>
      </c>
      <c r="O1054">
        <v>0.9</v>
      </c>
      <c r="P1054" t="s">
        <v>115</v>
      </c>
      <c r="Q1054">
        <v>0</v>
      </c>
      <c r="R1054" t="s">
        <v>144</v>
      </c>
    </row>
    <row r="1055" spans="1:18" x14ac:dyDescent="0.25">
      <c r="A1055" t="s">
        <v>1475</v>
      </c>
      <c r="B1055" s="2">
        <v>45470</v>
      </c>
      <c r="C1055" t="s">
        <v>33</v>
      </c>
      <c r="D1055" t="s">
        <v>34</v>
      </c>
      <c r="E1055" t="s">
        <v>142</v>
      </c>
      <c r="F1055">
        <v>3.5659999999999998</v>
      </c>
      <c r="G1055">
        <v>0</v>
      </c>
      <c r="H1055">
        <v>0</v>
      </c>
      <c r="I1055">
        <v>20</v>
      </c>
      <c r="J1055">
        <v>0</v>
      </c>
      <c r="K1055">
        <v>0</v>
      </c>
      <c r="L1055" t="s">
        <v>143</v>
      </c>
      <c r="M1055">
        <v>20</v>
      </c>
      <c r="N1055">
        <v>1</v>
      </c>
      <c r="O1055">
        <v>0.9</v>
      </c>
      <c r="P1055" t="s">
        <v>115</v>
      </c>
      <c r="Q1055">
        <v>0.9</v>
      </c>
      <c r="R1055" t="s">
        <v>144</v>
      </c>
    </row>
    <row r="1056" spans="1:18" x14ac:dyDescent="0.25">
      <c r="A1056" t="s">
        <v>1476</v>
      </c>
      <c r="B1056" s="2">
        <v>45470</v>
      </c>
      <c r="C1056" t="s">
        <v>33</v>
      </c>
      <c r="D1056" t="s">
        <v>34</v>
      </c>
      <c r="E1056" t="s">
        <v>142</v>
      </c>
      <c r="F1056">
        <v>5.6130000000000004</v>
      </c>
      <c r="G1056">
        <v>0</v>
      </c>
      <c r="H1056">
        <v>0</v>
      </c>
      <c r="I1056">
        <v>20</v>
      </c>
      <c r="J1056">
        <v>0</v>
      </c>
      <c r="K1056">
        <v>0</v>
      </c>
      <c r="L1056" t="s">
        <v>143</v>
      </c>
      <c r="M1056">
        <v>20</v>
      </c>
      <c r="N1056">
        <v>1</v>
      </c>
      <c r="O1056">
        <v>0.9</v>
      </c>
      <c r="P1056" t="s">
        <v>115</v>
      </c>
      <c r="Q1056">
        <v>0.9</v>
      </c>
      <c r="R1056" t="s">
        <v>144</v>
      </c>
    </row>
    <row r="1057" spans="1:18" x14ac:dyDescent="0.25">
      <c r="A1057" t="s">
        <v>1477</v>
      </c>
      <c r="B1057" s="2">
        <v>45470</v>
      </c>
      <c r="C1057" t="s">
        <v>33</v>
      </c>
      <c r="D1057" t="s">
        <v>34</v>
      </c>
      <c r="E1057" t="s">
        <v>142</v>
      </c>
      <c r="F1057">
        <v>10</v>
      </c>
      <c r="G1057">
        <v>2.738</v>
      </c>
      <c r="H1057">
        <v>4.1070000000000002</v>
      </c>
      <c r="I1057">
        <v>20</v>
      </c>
      <c r="J1057">
        <v>0</v>
      </c>
      <c r="K1057">
        <v>0</v>
      </c>
      <c r="L1057" t="s">
        <v>143</v>
      </c>
      <c r="M1057">
        <v>24.106999999999999</v>
      </c>
      <c r="N1057">
        <v>1</v>
      </c>
      <c r="O1057">
        <v>0.9</v>
      </c>
      <c r="P1057" t="s">
        <v>115</v>
      </c>
      <c r="Q1057">
        <v>0.9</v>
      </c>
      <c r="R1057" t="s">
        <v>144</v>
      </c>
    </row>
    <row r="1058" spans="1:18" x14ac:dyDescent="0.25">
      <c r="A1058" t="s">
        <v>1478</v>
      </c>
      <c r="B1058" s="2">
        <v>45470</v>
      </c>
      <c r="C1058" t="s">
        <v>33</v>
      </c>
      <c r="D1058" t="s">
        <v>34</v>
      </c>
      <c r="E1058" t="s">
        <v>142</v>
      </c>
      <c r="F1058">
        <v>3.9689999999999999</v>
      </c>
      <c r="G1058">
        <v>0</v>
      </c>
      <c r="H1058">
        <v>0</v>
      </c>
      <c r="I1058">
        <v>20</v>
      </c>
      <c r="J1058">
        <v>0</v>
      </c>
      <c r="K1058">
        <v>0</v>
      </c>
      <c r="L1058" t="s">
        <v>143</v>
      </c>
      <c r="M1058">
        <v>20</v>
      </c>
      <c r="N1058">
        <v>1</v>
      </c>
      <c r="O1058">
        <v>0.9</v>
      </c>
      <c r="P1058" t="s">
        <v>115</v>
      </c>
      <c r="Q1058">
        <v>0.9</v>
      </c>
      <c r="R1058" t="s">
        <v>144</v>
      </c>
    </row>
    <row r="1059" spans="1:18" x14ac:dyDescent="0.25">
      <c r="A1059" t="s">
        <v>1479</v>
      </c>
      <c r="B1059" s="2">
        <v>45471</v>
      </c>
      <c r="C1059" t="s">
        <v>33</v>
      </c>
      <c r="D1059" t="s">
        <v>34</v>
      </c>
      <c r="E1059" t="s">
        <v>142</v>
      </c>
      <c r="F1059">
        <v>6</v>
      </c>
      <c r="G1059">
        <v>0</v>
      </c>
      <c r="H1059">
        <v>0</v>
      </c>
      <c r="I1059">
        <v>20</v>
      </c>
      <c r="J1059">
        <v>0</v>
      </c>
      <c r="K1059">
        <v>0</v>
      </c>
      <c r="L1059" t="s">
        <v>143</v>
      </c>
      <c r="M1059">
        <v>20</v>
      </c>
      <c r="N1059">
        <v>1</v>
      </c>
      <c r="O1059">
        <v>0.9</v>
      </c>
      <c r="P1059" t="s">
        <v>115</v>
      </c>
      <c r="Q1059">
        <v>0.9</v>
      </c>
      <c r="R1059" t="s">
        <v>144</v>
      </c>
    </row>
    <row r="1060" spans="1:18" x14ac:dyDescent="0.25">
      <c r="A1060" t="s">
        <v>1480</v>
      </c>
      <c r="B1060" s="2">
        <v>45471</v>
      </c>
      <c r="C1060" t="s">
        <v>33</v>
      </c>
      <c r="D1060" t="s">
        <v>34</v>
      </c>
      <c r="E1060" t="s">
        <v>142</v>
      </c>
      <c r="F1060">
        <v>5.4020000000000001</v>
      </c>
      <c r="G1060">
        <v>0</v>
      </c>
      <c r="H1060">
        <v>0</v>
      </c>
      <c r="I1060">
        <v>20</v>
      </c>
      <c r="J1060">
        <v>0</v>
      </c>
      <c r="K1060">
        <v>0</v>
      </c>
      <c r="L1060" t="s">
        <v>143</v>
      </c>
      <c r="M1060">
        <v>20</v>
      </c>
      <c r="N1060">
        <v>1</v>
      </c>
      <c r="O1060">
        <v>0.9</v>
      </c>
      <c r="P1060" t="s">
        <v>115</v>
      </c>
      <c r="Q1060">
        <v>0.9</v>
      </c>
      <c r="R1060" t="s">
        <v>144</v>
      </c>
    </row>
    <row r="1061" spans="1:18" x14ac:dyDescent="0.25">
      <c r="A1061" t="s">
        <v>1481</v>
      </c>
      <c r="B1061" s="2">
        <v>45471</v>
      </c>
      <c r="C1061" t="s">
        <v>33</v>
      </c>
      <c r="D1061" t="s">
        <v>34</v>
      </c>
      <c r="E1061" t="s">
        <v>142</v>
      </c>
      <c r="F1061">
        <v>1.36</v>
      </c>
      <c r="G1061">
        <v>0</v>
      </c>
      <c r="H1061">
        <v>0</v>
      </c>
      <c r="I1061">
        <v>5</v>
      </c>
      <c r="J1061">
        <v>0</v>
      </c>
      <c r="K1061">
        <v>0</v>
      </c>
      <c r="L1061" t="s">
        <v>1482</v>
      </c>
      <c r="M1061">
        <v>5</v>
      </c>
      <c r="N1061">
        <v>0</v>
      </c>
      <c r="O1061">
        <v>0.9</v>
      </c>
      <c r="P1061" t="s">
        <v>115</v>
      </c>
      <c r="Q1061">
        <v>0</v>
      </c>
      <c r="R1061" t="s">
        <v>144</v>
      </c>
    </row>
    <row r="1062" spans="1:18" x14ac:dyDescent="0.25">
      <c r="A1062" t="s">
        <v>1483</v>
      </c>
      <c r="B1062" s="2">
        <v>45471</v>
      </c>
      <c r="C1062" t="s">
        <v>33</v>
      </c>
      <c r="D1062" t="s">
        <v>34</v>
      </c>
      <c r="E1062" t="s">
        <v>142</v>
      </c>
      <c r="F1062">
        <v>5.4249999999999998</v>
      </c>
      <c r="G1062">
        <v>0</v>
      </c>
      <c r="H1062">
        <v>0</v>
      </c>
      <c r="I1062">
        <v>20</v>
      </c>
      <c r="J1062">
        <v>0</v>
      </c>
      <c r="K1062">
        <v>0</v>
      </c>
      <c r="L1062" t="s">
        <v>143</v>
      </c>
      <c r="M1062">
        <v>20</v>
      </c>
      <c r="N1062">
        <v>1</v>
      </c>
      <c r="O1062">
        <v>0.9</v>
      </c>
      <c r="P1062" t="s">
        <v>115</v>
      </c>
      <c r="Q1062">
        <v>0.9</v>
      </c>
      <c r="R1062" t="s">
        <v>144</v>
      </c>
    </row>
    <row r="1063" spans="1:18" x14ac:dyDescent="0.25">
      <c r="A1063" t="s">
        <v>1484</v>
      </c>
      <c r="B1063" s="2">
        <v>45471</v>
      </c>
      <c r="C1063" t="s">
        <v>33</v>
      </c>
      <c r="D1063" t="s">
        <v>34</v>
      </c>
      <c r="E1063" t="s">
        <v>142</v>
      </c>
      <c r="F1063">
        <v>4.0759999999999996</v>
      </c>
      <c r="G1063">
        <v>0</v>
      </c>
      <c r="H1063">
        <v>0</v>
      </c>
      <c r="I1063">
        <v>20</v>
      </c>
      <c r="J1063">
        <v>0</v>
      </c>
      <c r="K1063">
        <v>0</v>
      </c>
      <c r="L1063" t="s">
        <v>143</v>
      </c>
      <c r="M1063">
        <v>20</v>
      </c>
      <c r="N1063">
        <v>1</v>
      </c>
      <c r="O1063">
        <v>0.9</v>
      </c>
      <c r="P1063" t="s">
        <v>115</v>
      </c>
      <c r="Q1063">
        <v>0.9</v>
      </c>
      <c r="R1063" t="s">
        <v>144</v>
      </c>
    </row>
    <row r="1064" spans="1:18" x14ac:dyDescent="0.25">
      <c r="A1064" t="s">
        <v>1485</v>
      </c>
      <c r="B1064" s="2">
        <v>45471</v>
      </c>
      <c r="C1064" t="s">
        <v>33</v>
      </c>
      <c r="D1064" t="s">
        <v>34</v>
      </c>
      <c r="E1064" t="s">
        <v>142</v>
      </c>
      <c r="F1064">
        <v>4.3449999999999998</v>
      </c>
      <c r="G1064">
        <v>0</v>
      </c>
      <c r="H1064">
        <v>0</v>
      </c>
      <c r="I1064">
        <v>20</v>
      </c>
      <c r="J1064">
        <v>0</v>
      </c>
      <c r="K1064">
        <v>0</v>
      </c>
      <c r="L1064" t="s">
        <v>143</v>
      </c>
      <c r="M1064">
        <v>20</v>
      </c>
      <c r="N1064">
        <v>1</v>
      </c>
      <c r="O1064">
        <v>0.9</v>
      </c>
      <c r="P1064" t="s">
        <v>115</v>
      </c>
      <c r="Q1064">
        <v>0.9</v>
      </c>
      <c r="R1064" t="s">
        <v>144</v>
      </c>
    </row>
    <row r="1065" spans="1:18" x14ac:dyDescent="0.25">
      <c r="A1065" t="s">
        <v>1486</v>
      </c>
      <c r="B1065" s="2">
        <v>45471</v>
      </c>
      <c r="C1065" t="s">
        <v>33</v>
      </c>
      <c r="D1065" t="s">
        <v>34</v>
      </c>
      <c r="E1065" t="s">
        <v>142</v>
      </c>
      <c r="F1065">
        <v>5.8920000000000003</v>
      </c>
      <c r="G1065">
        <v>0</v>
      </c>
      <c r="H1065">
        <v>0</v>
      </c>
      <c r="I1065">
        <v>20</v>
      </c>
      <c r="J1065">
        <v>0</v>
      </c>
      <c r="K1065">
        <v>0</v>
      </c>
      <c r="L1065" t="s">
        <v>143</v>
      </c>
      <c r="M1065">
        <v>20</v>
      </c>
      <c r="N1065">
        <v>1</v>
      </c>
      <c r="O1065">
        <v>0.9</v>
      </c>
      <c r="P1065" t="s">
        <v>115</v>
      </c>
      <c r="Q1065">
        <v>0.9</v>
      </c>
      <c r="R1065" t="s">
        <v>144</v>
      </c>
    </row>
    <row r="1066" spans="1:18" x14ac:dyDescent="0.25">
      <c r="A1066" t="s">
        <v>1487</v>
      </c>
      <c r="B1066" s="2">
        <v>45471</v>
      </c>
      <c r="C1066" t="s">
        <v>33</v>
      </c>
      <c r="D1066" t="s">
        <v>34</v>
      </c>
      <c r="E1066" t="s">
        <v>142</v>
      </c>
      <c r="F1066">
        <v>5.84</v>
      </c>
      <c r="G1066">
        <v>0</v>
      </c>
      <c r="H1066">
        <v>0</v>
      </c>
      <c r="I1066">
        <v>20</v>
      </c>
      <c r="J1066">
        <v>0</v>
      </c>
      <c r="K1066">
        <v>0</v>
      </c>
      <c r="L1066" t="s">
        <v>143</v>
      </c>
      <c r="M1066">
        <v>20</v>
      </c>
      <c r="N1066">
        <v>1</v>
      </c>
      <c r="O1066">
        <v>0.9</v>
      </c>
      <c r="P1066" t="s">
        <v>115</v>
      </c>
      <c r="Q1066">
        <v>0.9</v>
      </c>
      <c r="R1066" t="s">
        <v>144</v>
      </c>
    </row>
    <row r="1067" spans="1:18" x14ac:dyDescent="0.25">
      <c r="A1067" t="s">
        <v>1488</v>
      </c>
      <c r="B1067" s="2">
        <v>45471</v>
      </c>
      <c r="C1067" t="s">
        <v>33</v>
      </c>
      <c r="D1067" t="s">
        <v>34</v>
      </c>
      <c r="E1067" t="s">
        <v>142</v>
      </c>
      <c r="F1067">
        <v>3.5550000000000002</v>
      </c>
      <c r="G1067">
        <v>0</v>
      </c>
      <c r="H1067">
        <v>0</v>
      </c>
      <c r="I1067">
        <v>5</v>
      </c>
      <c r="J1067">
        <v>0</v>
      </c>
      <c r="K1067">
        <v>0</v>
      </c>
      <c r="L1067" t="s">
        <v>1489</v>
      </c>
      <c r="M1067">
        <v>5</v>
      </c>
      <c r="N1067">
        <v>0</v>
      </c>
      <c r="O1067">
        <v>0.9</v>
      </c>
      <c r="P1067" t="s">
        <v>115</v>
      </c>
      <c r="Q1067">
        <v>0</v>
      </c>
      <c r="R1067" t="s">
        <v>144</v>
      </c>
    </row>
    <row r="1068" spans="1:18" x14ac:dyDescent="0.25">
      <c r="A1068" t="s">
        <v>1490</v>
      </c>
      <c r="B1068" s="2">
        <v>45471</v>
      </c>
      <c r="C1068" t="s">
        <v>33</v>
      </c>
      <c r="D1068" t="s">
        <v>34</v>
      </c>
      <c r="E1068" t="s">
        <v>142</v>
      </c>
      <c r="F1068">
        <v>3.0649999999999999</v>
      </c>
      <c r="G1068">
        <v>0</v>
      </c>
      <c r="H1068">
        <v>0</v>
      </c>
      <c r="I1068">
        <v>5</v>
      </c>
      <c r="J1068">
        <v>0</v>
      </c>
      <c r="K1068">
        <v>0</v>
      </c>
      <c r="L1068" t="s">
        <v>1491</v>
      </c>
      <c r="M1068">
        <v>5</v>
      </c>
      <c r="N1068">
        <v>0</v>
      </c>
      <c r="O1068">
        <v>0.9</v>
      </c>
      <c r="P1068" t="s">
        <v>115</v>
      </c>
      <c r="Q1068">
        <v>0</v>
      </c>
      <c r="R1068" t="s">
        <v>144</v>
      </c>
    </row>
    <row r="1069" spans="1:18" x14ac:dyDescent="0.25">
      <c r="A1069" t="s">
        <v>1492</v>
      </c>
      <c r="B1069" s="2">
        <v>45471</v>
      </c>
      <c r="C1069" t="s">
        <v>33</v>
      </c>
      <c r="D1069" t="s">
        <v>34</v>
      </c>
      <c r="E1069" t="s">
        <v>142</v>
      </c>
      <c r="F1069">
        <v>3.08</v>
      </c>
      <c r="G1069">
        <v>0</v>
      </c>
      <c r="H1069">
        <v>0</v>
      </c>
      <c r="I1069">
        <v>20</v>
      </c>
      <c r="J1069">
        <v>0</v>
      </c>
      <c r="K1069">
        <v>0</v>
      </c>
      <c r="L1069" t="s">
        <v>143</v>
      </c>
      <c r="M1069">
        <v>20</v>
      </c>
      <c r="N1069">
        <v>1</v>
      </c>
      <c r="O1069">
        <v>0.9</v>
      </c>
      <c r="P1069" t="s">
        <v>115</v>
      </c>
      <c r="Q1069">
        <v>0.9</v>
      </c>
      <c r="R1069" t="s">
        <v>144</v>
      </c>
    </row>
    <row r="1070" spans="1:18" x14ac:dyDescent="0.25">
      <c r="A1070" t="s">
        <v>1493</v>
      </c>
      <c r="B1070" s="2">
        <v>45471</v>
      </c>
      <c r="C1070" t="s">
        <v>33</v>
      </c>
      <c r="D1070" t="s">
        <v>34</v>
      </c>
      <c r="E1070" t="s">
        <v>142</v>
      </c>
      <c r="F1070">
        <v>3.5339999999999998</v>
      </c>
      <c r="G1070">
        <v>0</v>
      </c>
      <c r="H1070">
        <v>0</v>
      </c>
      <c r="I1070">
        <v>20</v>
      </c>
      <c r="J1070">
        <v>0</v>
      </c>
      <c r="K1070">
        <v>0</v>
      </c>
      <c r="L1070" t="s">
        <v>143</v>
      </c>
      <c r="M1070">
        <v>20</v>
      </c>
      <c r="N1070">
        <v>1</v>
      </c>
      <c r="O1070">
        <v>0.9</v>
      </c>
      <c r="P1070" t="s">
        <v>115</v>
      </c>
      <c r="Q1070">
        <v>0.9</v>
      </c>
      <c r="R1070" t="s">
        <v>144</v>
      </c>
    </row>
    <row r="1071" spans="1:18" x14ac:dyDescent="0.25">
      <c r="A1071" t="s">
        <v>1494</v>
      </c>
      <c r="B1071" s="2">
        <v>45471</v>
      </c>
      <c r="C1071" t="s">
        <v>33</v>
      </c>
      <c r="D1071" t="s">
        <v>34</v>
      </c>
      <c r="E1071" t="s">
        <v>142</v>
      </c>
      <c r="F1071">
        <v>10</v>
      </c>
      <c r="G1071">
        <v>2.1680000000000001</v>
      </c>
      <c r="H1071">
        <v>3.2519999999999998</v>
      </c>
      <c r="I1071">
        <v>20</v>
      </c>
      <c r="J1071">
        <v>0</v>
      </c>
      <c r="K1071">
        <v>0</v>
      </c>
      <c r="L1071" t="s">
        <v>143</v>
      </c>
      <c r="M1071">
        <v>23.251999999999999</v>
      </c>
      <c r="N1071">
        <v>1</v>
      </c>
      <c r="O1071">
        <v>0.9</v>
      </c>
      <c r="P1071" t="s">
        <v>115</v>
      </c>
      <c r="Q1071">
        <v>0.9</v>
      </c>
      <c r="R1071" t="s">
        <v>144</v>
      </c>
    </row>
    <row r="1072" spans="1:18" x14ac:dyDescent="0.25">
      <c r="A1072" t="s">
        <v>1495</v>
      </c>
      <c r="B1072" s="2">
        <v>45471</v>
      </c>
      <c r="C1072" t="s">
        <v>33</v>
      </c>
      <c r="D1072" t="s">
        <v>34</v>
      </c>
      <c r="E1072" t="s">
        <v>142</v>
      </c>
      <c r="F1072">
        <v>3.157</v>
      </c>
      <c r="G1072">
        <v>0</v>
      </c>
      <c r="H1072">
        <v>0</v>
      </c>
      <c r="I1072">
        <v>20</v>
      </c>
      <c r="J1072">
        <v>0</v>
      </c>
      <c r="K1072">
        <v>0</v>
      </c>
      <c r="L1072" t="s">
        <v>143</v>
      </c>
      <c r="M1072">
        <v>20</v>
      </c>
      <c r="N1072">
        <v>1</v>
      </c>
      <c r="O1072">
        <v>0.9</v>
      </c>
      <c r="P1072" t="s">
        <v>115</v>
      </c>
      <c r="Q1072">
        <v>0.9</v>
      </c>
      <c r="R1072" t="s">
        <v>144</v>
      </c>
    </row>
    <row r="1073" spans="1:18" x14ac:dyDescent="0.25">
      <c r="A1073" t="s">
        <v>1496</v>
      </c>
      <c r="B1073" s="2">
        <v>45472</v>
      </c>
      <c r="C1073" t="s">
        <v>33</v>
      </c>
      <c r="D1073" t="s">
        <v>34</v>
      </c>
      <c r="E1073" t="s">
        <v>142</v>
      </c>
      <c r="F1073">
        <v>5.8920000000000003</v>
      </c>
      <c r="G1073">
        <v>0</v>
      </c>
      <c r="H1073">
        <v>0</v>
      </c>
      <c r="I1073">
        <v>20</v>
      </c>
      <c r="J1073">
        <v>0</v>
      </c>
      <c r="K1073">
        <v>0</v>
      </c>
      <c r="L1073" t="s">
        <v>143</v>
      </c>
      <c r="M1073">
        <v>20</v>
      </c>
      <c r="N1073">
        <v>1</v>
      </c>
      <c r="O1073">
        <v>0.9</v>
      </c>
      <c r="P1073" t="s">
        <v>115</v>
      </c>
      <c r="Q1073">
        <v>0.9</v>
      </c>
      <c r="R1073" t="s">
        <v>144</v>
      </c>
    </row>
    <row r="1074" spans="1:18" x14ac:dyDescent="0.25">
      <c r="A1074" t="s">
        <v>1497</v>
      </c>
      <c r="B1074" s="2">
        <v>45472</v>
      </c>
      <c r="C1074" t="s">
        <v>33</v>
      </c>
      <c r="D1074" t="s">
        <v>34</v>
      </c>
      <c r="E1074" t="s">
        <v>142</v>
      </c>
      <c r="F1074">
        <v>5.84</v>
      </c>
      <c r="G1074">
        <v>0</v>
      </c>
      <c r="H1074">
        <v>0</v>
      </c>
      <c r="I1074">
        <v>20</v>
      </c>
      <c r="J1074">
        <v>0</v>
      </c>
      <c r="K1074">
        <v>0</v>
      </c>
      <c r="L1074" t="s">
        <v>143</v>
      </c>
      <c r="M1074">
        <v>20</v>
      </c>
      <c r="N1074">
        <v>1</v>
      </c>
      <c r="O1074">
        <v>0.9</v>
      </c>
      <c r="P1074" t="s">
        <v>115</v>
      </c>
      <c r="Q1074">
        <v>0.9</v>
      </c>
      <c r="R1074" t="s">
        <v>144</v>
      </c>
    </row>
    <row r="1075" spans="1:18" x14ac:dyDescent="0.25">
      <c r="A1075" t="s">
        <v>1498</v>
      </c>
      <c r="B1075" s="2">
        <v>45472</v>
      </c>
      <c r="C1075" t="s">
        <v>33</v>
      </c>
      <c r="D1075" t="s">
        <v>34</v>
      </c>
      <c r="E1075" t="s">
        <v>142</v>
      </c>
      <c r="F1075">
        <v>1.2090000000000001</v>
      </c>
      <c r="G1075">
        <v>0</v>
      </c>
      <c r="H1075">
        <v>0</v>
      </c>
      <c r="I1075">
        <v>20</v>
      </c>
      <c r="J1075">
        <v>0</v>
      </c>
      <c r="K1075">
        <v>0</v>
      </c>
      <c r="L1075" t="s">
        <v>143</v>
      </c>
      <c r="M1075">
        <v>20</v>
      </c>
      <c r="N1075">
        <v>1</v>
      </c>
      <c r="O1075">
        <v>0.9</v>
      </c>
      <c r="P1075" t="s">
        <v>115</v>
      </c>
      <c r="Q1075">
        <v>0.9</v>
      </c>
      <c r="R1075" t="s">
        <v>144</v>
      </c>
    </row>
    <row r="1076" spans="1:18" x14ac:dyDescent="0.25">
      <c r="A1076" t="s">
        <v>1499</v>
      </c>
      <c r="B1076" s="2">
        <v>45472</v>
      </c>
      <c r="C1076" t="s">
        <v>33</v>
      </c>
      <c r="D1076" t="s">
        <v>34</v>
      </c>
      <c r="E1076" t="s">
        <v>142</v>
      </c>
      <c r="F1076">
        <v>1.2090000000000001</v>
      </c>
      <c r="G1076">
        <v>0</v>
      </c>
      <c r="H1076">
        <v>0</v>
      </c>
      <c r="I1076">
        <v>20</v>
      </c>
      <c r="J1076">
        <v>0</v>
      </c>
      <c r="K1076">
        <v>0</v>
      </c>
      <c r="L1076" t="s">
        <v>143</v>
      </c>
      <c r="M1076">
        <v>20</v>
      </c>
      <c r="N1076">
        <v>1</v>
      </c>
      <c r="O1076">
        <v>0.9</v>
      </c>
      <c r="P1076" t="s">
        <v>115</v>
      </c>
      <c r="Q1076">
        <v>0.9</v>
      </c>
      <c r="R1076" t="s">
        <v>144</v>
      </c>
    </row>
    <row r="1077" spans="1:18" x14ac:dyDescent="0.25">
      <c r="A1077" t="s">
        <v>1500</v>
      </c>
      <c r="B1077" s="2">
        <v>45472</v>
      </c>
      <c r="C1077" t="s">
        <v>33</v>
      </c>
      <c r="D1077" t="s">
        <v>34</v>
      </c>
      <c r="E1077" t="s">
        <v>142</v>
      </c>
      <c r="F1077">
        <v>1.129</v>
      </c>
      <c r="G1077">
        <v>0</v>
      </c>
      <c r="H1077">
        <v>0</v>
      </c>
      <c r="I1077">
        <v>20</v>
      </c>
      <c r="J1077">
        <v>0</v>
      </c>
      <c r="K1077">
        <v>0</v>
      </c>
      <c r="L1077" t="s">
        <v>143</v>
      </c>
      <c r="M1077">
        <v>20</v>
      </c>
      <c r="N1077">
        <v>1</v>
      </c>
      <c r="O1077">
        <v>0.9</v>
      </c>
      <c r="P1077" t="s">
        <v>115</v>
      </c>
      <c r="Q1077">
        <v>0.9</v>
      </c>
      <c r="R1077" t="s">
        <v>144</v>
      </c>
    </row>
    <row r="1078" spans="1:18" x14ac:dyDescent="0.25">
      <c r="A1078" t="s">
        <v>1501</v>
      </c>
      <c r="B1078" s="2">
        <v>45472</v>
      </c>
      <c r="C1078" t="s">
        <v>33</v>
      </c>
      <c r="D1078" t="s">
        <v>34</v>
      </c>
      <c r="E1078" t="s">
        <v>142</v>
      </c>
      <c r="F1078">
        <v>2.2280000000000002</v>
      </c>
      <c r="G1078">
        <v>0</v>
      </c>
      <c r="H1078">
        <v>0</v>
      </c>
      <c r="I1078">
        <v>20</v>
      </c>
      <c r="J1078">
        <v>0</v>
      </c>
      <c r="K1078">
        <v>0</v>
      </c>
      <c r="L1078" t="s">
        <v>143</v>
      </c>
      <c r="M1078">
        <v>20</v>
      </c>
      <c r="N1078">
        <v>1</v>
      </c>
      <c r="O1078">
        <v>0.9</v>
      </c>
      <c r="P1078" t="s">
        <v>115</v>
      </c>
      <c r="Q1078">
        <v>0.9</v>
      </c>
      <c r="R1078" t="s">
        <v>144</v>
      </c>
    </row>
    <row r="1079" spans="1:18" x14ac:dyDescent="0.25">
      <c r="A1079" t="s">
        <v>1502</v>
      </c>
      <c r="B1079" s="2">
        <v>45472</v>
      </c>
      <c r="C1079" t="s">
        <v>33</v>
      </c>
      <c r="D1079" t="s">
        <v>34</v>
      </c>
      <c r="E1079" t="s">
        <v>142</v>
      </c>
      <c r="F1079">
        <v>0.41499999999999998</v>
      </c>
      <c r="G1079">
        <v>0</v>
      </c>
      <c r="H1079">
        <v>0</v>
      </c>
      <c r="I1079">
        <v>20</v>
      </c>
      <c r="J1079">
        <v>0</v>
      </c>
      <c r="K1079">
        <v>0</v>
      </c>
      <c r="L1079" t="s">
        <v>143</v>
      </c>
      <c r="M1079">
        <v>20</v>
      </c>
      <c r="N1079">
        <v>1</v>
      </c>
      <c r="O1079">
        <v>0.9</v>
      </c>
      <c r="P1079" t="s">
        <v>115</v>
      </c>
      <c r="Q1079">
        <v>0.9</v>
      </c>
      <c r="R1079" t="s">
        <v>144</v>
      </c>
    </row>
    <row r="1080" spans="1:18" x14ac:dyDescent="0.25">
      <c r="A1080" t="s">
        <v>1503</v>
      </c>
      <c r="B1080" s="2">
        <v>45472</v>
      </c>
      <c r="C1080" t="s">
        <v>33</v>
      </c>
      <c r="D1080" t="s">
        <v>34</v>
      </c>
      <c r="E1080" t="s">
        <v>142</v>
      </c>
      <c r="F1080">
        <v>1</v>
      </c>
      <c r="G1080">
        <v>0</v>
      </c>
      <c r="H1080">
        <v>0</v>
      </c>
      <c r="I1080">
        <v>20</v>
      </c>
      <c r="J1080">
        <v>0</v>
      </c>
      <c r="K1080">
        <v>0</v>
      </c>
      <c r="L1080" t="s">
        <v>143</v>
      </c>
      <c r="M1080">
        <v>20</v>
      </c>
      <c r="N1080">
        <v>1</v>
      </c>
      <c r="O1080">
        <v>0.9</v>
      </c>
      <c r="P1080" t="s">
        <v>115</v>
      </c>
      <c r="Q1080">
        <v>0.9</v>
      </c>
      <c r="R1080" t="s">
        <v>144</v>
      </c>
    </row>
    <row r="1081" spans="1:18" x14ac:dyDescent="0.25">
      <c r="A1081" t="s">
        <v>1504</v>
      </c>
      <c r="B1081" s="2">
        <v>45472</v>
      </c>
      <c r="C1081" t="s">
        <v>33</v>
      </c>
      <c r="D1081" t="s">
        <v>34</v>
      </c>
      <c r="E1081" t="s">
        <v>142</v>
      </c>
      <c r="F1081">
        <v>3.331</v>
      </c>
      <c r="G1081">
        <v>0</v>
      </c>
      <c r="H1081">
        <v>0</v>
      </c>
      <c r="I1081">
        <v>20</v>
      </c>
      <c r="J1081">
        <v>0</v>
      </c>
      <c r="K1081">
        <v>0</v>
      </c>
      <c r="L1081" t="s">
        <v>143</v>
      </c>
      <c r="M1081">
        <v>20</v>
      </c>
      <c r="N1081">
        <v>1</v>
      </c>
      <c r="O1081">
        <v>0.9</v>
      </c>
      <c r="P1081" t="s">
        <v>115</v>
      </c>
      <c r="Q1081">
        <v>0.9</v>
      </c>
      <c r="R1081" t="s">
        <v>144</v>
      </c>
    </row>
    <row r="1082" spans="1:18" x14ac:dyDescent="0.25">
      <c r="A1082" t="s">
        <v>1505</v>
      </c>
      <c r="B1082" s="2">
        <v>45472</v>
      </c>
      <c r="C1082" t="s">
        <v>33</v>
      </c>
      <c r="D1082" t="s">
        <v>34</v>
      </c>
      <c r="E1082" t="s">
        <v>142</v>
      </c>
      <c r="F1082">
        <v>8.9939999999999998</v>
      </c>
      <c r="G1082">
        <v>0</v>
      </c>
      <c r="H1082">
        <v>0</v>
      </c>
      <c r="I1082">
        <v>20</v>
      </c>
      <c r="J1082">
        <v>0</v>
      </c>
      <c r="K1082">
        <v>0</v>
      </c>
      <c r="L1082" t="s">
        <v>143</v>
      </c>
      <c r="M1082">
        <v>20</v>
      </c>
      <c r="N1082">
        <v>1</v>
      </c>
      <c r="O1082">
        <v>0.9</v>
      </c>
      <c r="P1082" t="s">
        <v>115</v>
      </c>
      <c r="Q1082">
        <v>0.9</v>
      </c>
      <c r="R1082" t="s">
        <v>144</v>
      </c>
    </row>
    <row r="1083" spans="1:18" x14ac:dyDescent="0.25">
      <c r="A1083" t="s">
        <v>1506</v>
      </c>
      <c r="B1083" s="2">
        <v>45472</v>
      </c>
      <c r="C1083" t="s">
        <v>33</v>
      </c>
      <c r="D1083" t="s">
        <v>34</v>
      </c>
      <c r="E1083" t="s">
        <v>142</v>
      </c>
      <c r="F1083">
        <v>1.716</v>
      </c>
      <c r="G1083">
        <v>0</v>
      </c>
      <c r="H1083">
        <v>0</v>
      </c>
      <c r="I1083">
        <v>20</v>
      </c>
      <c r="J1083">
        <v>0</v>
      </c>
      <c r="K1083">
        <v>0</v>
      </c>
      <c r="L1083" t="s">
        <v>143</v>
      </c>
      <c r="M1083">
        <v>20</v>
      </c>
      <c r="N1083">
        <v>1</v>
      </c>
      <c r="O1083">
        <v>0.9</v>
      </c>
      <c r="P1083" t="s">
        <v>115</v>
      </c>
      <c r="Q1083">
        <v>0.9</v>
      </c>
      <c r="R1083" t="s">
        <v>144</v>
      </c>
    </row>
    <row r="1084" spans="1:18" x14ac:dyDescent="0.25">
      <c r="A1084" t="s">
        <v>1507</v>
      </c>
      <c r="B1084" s="2">
        <v>45472</v>
      </c>
      <c r="C1084" t="s">
        <v>33</v>
      </c>
      <c r="D1084" t="s">
        <v>34</v>
      </c>
      <c r="E1084" t="s">
        <v>142</v>
      </c>
      <c r="F1084">
        <v>0.81</v>
      </c>
      <c r="G1084">
        <v>0</v>
      </c>
      <c r="H1084">
        <v>0</v>
      </c>
      <c r="I1084">
        <v>20</v>
      </c>
      <c r="J1084">
        <v>0</v>
      </c>
      <c r="K1084">
        <v>0</v>
      </c>
      <c r="L1084" t="s">
        <v>143</v>
      </c>
      <c r="M1084">
        <v>20</v>
      </c>
      <c r="N1084">
        <v>1</v>
      </c>
      <c r="O1084">
        <v>0.9</v>
      </c>
      <c r="P1084" t="s">
        <v>115</v>
      </c>
      <c r="Q1084">
        <v>0.9</v>
      </c>
      <c r="R1084" t="s">
        <v>144</v>
      </c>
    </row>
    <row r="1085" spans="1:18" x14ac:dyDescent="0.25">
      <c r="A1085" t="s">
        <v>1508</v>
      </c>
      <c r="B1085" s="2">
        <v>45472</v>
      </c>
      <c r="C1085" t="s">
        <v>33</v>
      </c>
      <c r="D1085" t="s">
        <v>34</v>
      </c>
      <c r="E1085" t="s">
        <v>142</v>
      </c>
      <c r="F1085">
        <v>4.3310000000000004</v>
      </c>
      <c r="G1085">
        <v>0</v>
      </c>
      <c r="H1085">
        <v>0</v>
      </c>
      <c r="I1085">
        <v>20</v>
      </c>
      <c r="J1085">
        <v>0</v>
      </c>
      <c r="K1085">
        <v>0</v>
      </c>
      <c r="L1085" t="s">
        <v>143</v>
      </c>
      <c r="M1085">
        <v>20</v>
      </c>
      <c r="N1085">
        <v>1</v>
      </c>
      <c r="O1085">
        <v>0.9</v>
      </c>
      <c r="P1085" t="s">
        <v>115</v>
      </c>
      <c r="Q1085">
        <v>0.9</v>
      </c>
      <c r="R1085" t="s">
        <v>144</v>
      </c>
    </row>
    <row r="1086" spans="1:18" x14ac:dyDescent="0.25">
      <c r="A1086" t="s">
        <v>1509</v>
      </c>
      <c r="B1086" s="2">
        <v>45472</v>
      </c>
      <c r="C1086" t="s">
        <v>33</v>
      </c>
      <c r="D1086" t="s">
        <v>34</v>
      </c>
      <c r="E1086" t="s">
        <v>142</v>
      </c>
      <c r="F1086">
        <v>10</v>
      </c>
      <c r="G1086">
        <v>2.738</v>
      </c>
      <c r="H1086">
        <v>4.1070000000000002</v>
      </c>
      <c r="I1086">
        <v>20</v>
      </c>
      <c r="J1086">
        <v>0</v>
      </c>
      <c r="K1086">
        <v>0</v>
      </c>
      <c r="L1086" t="s">
        <v>143</v>
      </c>
      <c r="M1086">
        <v>24.106999999999999</v>
      </c>
      <c r="N1086">
        <v>1</v>
      </c>
      <c r="O1086">
        <v>0.9</v>
      </c>
      <c r="P1086" t="s">
        <v>115</v>
      </c>
      <c r="Q1086">
        <v>0.9</v>
      </c>
      <c r="R1086" t="s">
        <v>144</v>
      </c>
    </row>
    <row r="1087" spans="1:18" x14ac:dyDescent="0.25">
      <c r="A1087" t="s">
        <v>1510</v>
      </c>
      <c r="B1087" s="2">
        <v>45462</v>
      </c>
      <c r="C1087" t="s">
        <v>161</v>
      </c>
      <c r="D1087" t="s">
        <v>161</v>
      </c>
      <c r="E1087" t="s">
        <v>142</v>
      </c>
      <c r="F1087">
        <v>10</v>
      </c>
      <c r="G1087">
        <v>1.92</v>
      </c>
      <c r="H1087">
        <v>0</v>
      </c>
      <c r="I1087">
        <v>5</v>
      </c>
      <c r="J1087">
        <v>0</v>
      </c>
      <c r="K1087">
        <v>0</v>
      </c>
      <c r="L1087" t="s">
        <v>1511</v>
      </c>
      <c r="M1087">
        <v>5</v>
      </c>
      <c r="N1087">
        <v>0</v>
      </c>
      <c r="O1087">
        <v>0.9</v>
      </c>
      <c r="P1087" t="s">
        <v>114</v>
      </c>
      <c r="Q1087">
        <v>0</v>
      </c>
      <c r="R1087" t="s">
        <v>144</v>
      </c>
    </row>
    <row r="1088" spans="1:18" x14ac:dyDescent="0.25">
      <c r="A1088" t="s">
        <v>1512</v>
      </c>
      <c r="B1088" s="2">
        <v>45462</v>
      </c>
      <c r="C1088" t="s">
        <v>161</v>
      </c>
      <c r="D1088" t="s">
        <v>161</v>
      </c>
      <c r="E1088" t="s">
        <v>142</v>
      </c>
      <c r="F1088">
        <v>9.34</v>
      </c>
      <c r="G1088">
        <v>0</v>
      </c>
      <c r="H1088">
        <v>0</v>
      </c>
      <c r="I1088">
        <v>20</v>
      </c>
      <c r="J1088">
        <v>0</v>
      </c>
      <c r="K1088">
        <v>0</v>
      </c>
      <c r="L1088" t="s">
        <v>143</v>
      </c>
      <c r="M1088">
        <v>20</v>
      </c>
      <c r="N1088">
        <v>1</v>
      </c>
      <c r="O1088">
        <v>0.9</v>
      </c>
      <c r="P1088" t="s">
        <v>114</v>
      </c>
      <c r="Q1088">
        <v>0.9</v>
      </c>
      <c r="R1088" t="s">
        <v>144</v>
      </c>
    </row>
    <row r="1089" spans="1:18" x14ac:dyDescent="0.25">
      <c r="A1089" t="s">
        <v>1513</v>
      </c>
      <c r="B1089" s="2">
        <v>45462</v>
      </c>
      <c r="C1089" t="s">
        <v>161</v>
      </c>
      <c r="D1089" t="s">
        <v>161</v>
      </c>
      <c r="E1089" t="s">
        <v>142</v>
      </c>
      <c r="F1089">
        <v>9.266</v>
      </c>
      <c r="G1089">
        <v>0</v>
      </c>
      <c r="H1089">
        <v>0</v>
      </c>
      <c r="I1089">
        <v>5</v>
      </c>
      <c r="J1089">
        <v>0</v>
      </c>
      <c r="K1089">
        <v>0</v>
      </c>
      <c r="L1089" t="s">
        <v>1514</v>
      </c>
      <c r="M1089">
        <v>5</v>
      </c>
      <c r="N1089">
        <v>0</v>
      </c>
      <c r="O1089">
        <v>0.9</v>
      </c>
      <c r="P1089" t="s">
        <v>114</v>
      </c>
      <c r="Q1089">
        <v>0</v>
      </c>
      <c r="R1089" t="s">
        <v>144</v>
      </c>
    </row>
    <row r="1090" spans="1:18" x14ac:dyDescent="0.25">
      <c r="A1090" t="s">
        <v>1515</v>
      </c>
      <c r="B1090" s="2">
        <v>45462</v>
      </c>
      <c r="C1090" t="s">
        <v>161</v>
      </c>
      <c r="D1090" t="s">
        <v>161</v>
      </c>
      <c r="E1090" t="s">
        <v>142</v>
      </c>
      <c r="F1090">
        <v>0.82499999999999996</v>
      </c>
      <c r="G1090">
        <v>0</v>
      </c>
      <c r="H1090">
        <v>0</v>
      </c>
      <c r="I1090">
        <v>20</v>
      </c>
      <c r="J1090">
        <v>0</v>
      </c>
      <c r="K1090">
        <v>0</v>
      </c>
      <c r="L1090" t="s">
        <v>143</v>
      </c>
      <c r="M1090">
        <v>20</v>
      </c>
      <c r="N1090">
        <v>1</v>
      </c>
      <c r="O1090">
        <v>0.9</v>
      </c>
      <c r="P1090" t="s">
        <v>114</v>
      </c>
      <c r="Q1090">
        <v>0.9</v>
      </c>
      <c r="R1090" t="s">
        <v>144</v>
      </c>
    </row>
    <row r="1091" spans="1:18" x14ac:dyDescent="0.25">
      <c r="A1091" t="s">
        <v>1516</v>
      </c>
      <c r="B1091" s="2">
        <v>45462</v>
      </c>
      <c r="C1091" t="s">
        <v>161</v>
      </c>
      <c r="D1091" t="s">
        <v>161</v>
      </c>
      <c r="E1091" t="s">
        <v>142</v>
      </c>
      <c r="F1091">
        <v>2.9279999999999999</v>
      </c>
      <c r="G1091">
        <v>0</v>
      </c>
      <c r="H1091">
        <v>0</v>
      </c>
      <c r="I1091">
        <v>20</v>
      </c>
      <c r="J1091">
        <v>0</v>
      </c>
      <c r="K1091">
        <v>0</v>
      </c>
      <c r="L1091" t="s">
        <v>143</v>
      </c>
      <c r="M1091">
        <v>20</v>
      </c>
      <c r="N1091">
        <v>1</v>
      </c>
      <c r="O1091">
        <v>0.9</v>
      </c>
      <c r="P1091" t="s">
        <v>114</v>
      </c>
      <c r="Q1091">
        <v>0.9</v>
      </c>
      <c r="R1091" t="s">
        <v>144</v>
      </c>
    </row>
    <row r="1092" spans="1:18" x14ac:dyDescent="0.25">
      <c r="A1092" t="s">
        <v>1517</v>
      </c>
      <c r="B1092" s="2">
        <v>45462</v>
      </c>
      <c r="C1092" t="s">
        <v>161</v>
      </c>
      <c r="D1092" t="s">
        <v>161</v>
      </c>
      <c r="E1092" t="s">
        <v>142</v>
      </c>
      <c r="F1092">
        <v>10</v>
      </c>
      <c r="G1092">
        <v>6.1159999999999997</v>
      </c>
      <c r="H1092">
        <v>9.1739999999999995</v>
      </c>
      <c r="I1092">
        <v>20</v>
      </c>
      <c r="J1092">
        <v>0</v>
      </c>
      <c r="K1092">
        <v>0</v>
      </c>
      <c r="L1092" t="s">
        <v>143</v>
      </c>
      <c r="M1092">
        <v>29.173999999999999</v>
      </c>
      <c r="N1092">
        <v>1</v>
      </c>
      <c r="O1092">
        <v>0.9</v>
      </c>
      <c r="P1092" t="s">
        <v>114</v>
      </c>
      <c r="Q1092">
        <v>0.9</v>
      </c>
      <c r="R1092" t="s">
        <v>144</v>
      </c>
    </row>
    <row r="1093" spans="1:18" x14ac:dyDescent="0.25">
      <c r="A1093" t="s">
        <v>1518</v>
      </c>
      <c r="B1093" s="2">
        <v>45462</v>
      </c>
      <c r="C1093" t="s">
        <v>161</v>
      </c>
      <c r="D1093" t="s">
        <v>161</v>
      </c>
      <c r="E1093" t="s">
        <v>142</v>
      </c>
      <c r="F1093">
        <v>10</v>
      </c>
      <c r="G1093">
        <v>20.747</v>
      </c>
      <c r="H1093">
        <v>31.1205</v>
      </c>
      <c r="I1093">
        <v>20</v>
      </c>
      <c r="J1093">
        <v>0</v>
      </c>
      <c r="K1093">
        <v>0</v>
      </c>
      <c r="L1093" t="s">
        <v>143</v>
      </c>
      <c r="M1093">
        <v>51.1205</v>
      </c>
      <c r="N1093">
        <v>1</v>
      </c>
      <c r="O1093">
        <v>0.9</v>
      </c>
      <c r="P1093" t="s">
        <v>114</v>
      </c>
      <c r="Q1093">
        <v>0.9</v>
      </c>
      <c r="R1093" t="s">
        <v>144</v>
      </c>
    </row>
    <row r="1094" spans="1:18" x14ac:dyDescent="0.25">
      <c r="A1094" t="s">
        <v>1519</v>
      </c>
      <c r="B1094" s="2">
        <v>45462</v>
      </c>
      <c r="C1094" t="s">
        <v>161</v>
      </c>
      <c r="D1094" t="s">
        <v>161</v>
      </c>
      <c r="E1094" t="s">
        <v>142</v>
      </c>
      <c r="F1094">
        <v>10</v>
      </c>
      <c r="G1094">
        <v>2.1789999999999998</v>
      </c>
      <c r="H1094">
        <v>0</v>
      </c>
      <c r="I1094">
        <v>5</v>
      </c>
      <c r="J1094">
        <v>0</v>
      </c>
      <c r="K1094">
        <v>0</v>
      </c>
      <c r="L1094" t="s">
        <v>1520</v>
      </c>
      <c r="M1094">
        <v>5</v>
      </c>
      <c r="N1094">
        <v>0</v>
      </c>
      <c r="O1094">
        <v>0.9</v>
      </c>
      <c r="P1094" t="s">
        <v>114</v>
      </c>
      <c r="Q1094">
        <v>0</v>
      </c>
      <c r="R1094" t="s">
        <v>144</v>
      </c>
    </row>
    <row r="1095" spans="1:18" x14ac:dyDescent="0.25">
      <c r="A1095" t="s">
        <v>1521</v>
      </c>
      <c r="B1095" s="2">
        <v>45464</v>
      </c>
      <c r="C1095" t="s">
        <v>161</v>
      </c>
      <c r="D1095" t="s">
        <v>161</v>
      </c>
      <c r="E1095" t="s">
        <v>142</v>
      </c>
      <c r="F1095">
        <v>3.9049999999999998</v>
      </c>
      <c r="G1095">
        <v>0</v>
      </c>
      <c r="H1095">
        <v>0</v>
      </c>
      <c r="I1095">
        <v>20</v>
      </c>
      <c r="J1095">
        <v>0</v>
      </c>
      <c r="K1095">
        <v>0</v>
      </c>
      <c r="L1095" t="s">
        <v>143</v>
      </c>
      <c r="M1095">
        <v>20</v>
      </c>
      <c r="N1095">
        <v>1</v>
      </c>
      <c r="O1095">
        <v>0.9</v>
      </c>
      <c r="P1095" t="s">
        <v>114</v>
      </c>
      <c r="Q1095">
        <v>0.9</v>
      </c>
      <c r="R1095" t="s">
        <v>144</v>
      </c>
    </row>
    <row r="1096" spans="1:18" x14ac:dyDescent="0.25">
      <c r="A1096" t="s">
        <v>1522</v>
      </c>
      <c r="B1096" s="2">
        <v>45464</v>
      </c>
      <c r="C1096" t="s">
        <v>161</v>
      </c>
      <c r="D1096" t="s">
        <v>161</v>
      </c>
      <c r="E1096" t="s">
        <v>142</v>
      </c>
      <c r="F1096">
        <v>9.6780000000000008</v>
      </c>
      <c r="G1096">
        <v>0</v>
      </c>
      <c r="H1096">
        <v>0</v>
      </c>
      <c r="I1096">
        <v>20</v>
      </c>
      <c r="J1096">
        <v>0</v>
      </c>
      <c r="K1096">
        <v>0</v>
      </c>
      <c r="L1096" t="s">
        <v>143</v>
      </c>
      <c r="M1096">
        <v>20</v>
      </c>
      <c r="N1096">
        <v>1</v>
      </c>
      <c r="O1096">
        <v>0.9</v>
      </c>
      <c r="P1096" t="s">
        <v>114</v>
      </c>
      <c r="Q1096">
        <v>0.9</v>
      </c>
      <c r="R1096" t="s">
        <v>144</v>
      </c>
    </row>
    <row r="1097" spans="1:18" x14ac:dyDescent="0.25">
      <c r="A1097" t="s">
        <v>1523</v>
      </c>
      <c r="B1097" s="2">
        <v>45464</v>
      </c>
      <c r="C1097" t="s">
        <v>161</v>
      </c>
      <c r="D1097" t="s">
        <v>161</v>
      </c>
      <c r="E1097" t="s">
        <v>142</v>
      </c>
      <c r="F1097">
        <v>2.0979999999999999</v>
      </c>
      <c r="G1097">
        <v>0</v>
      </c>
      <c r="H1097">
        <v>0</v>
      </c>
      <c r="I1097">
        <v>5</v>
      </c>
      <c r="J1097">
        <v>0</v>
      </c>
      <c r="K1097">
        <v>0</v>
      </c>
      <c r="L1097" t="s">
        <v>1524</v>
      </c>
      <c r="M1097">
        <v>5</v>
      </c>
      <c r="N1097">
        <v>0</v>
      </c>
      <c r="O1097">
        <v>0.9</v>
      </c>
      <c r="P1097" t="s">
        <v>114</v>
      </c>
      <c r="Q1097">
        <v>0</v>
      </c>
      <c r="R1097" t="s">
        <v>144</v>
      </c>
    </row>
    <row r="1098" spans="1:18" x14ac:dyDescent="0.25">
      <c r="A1098" t="s">
        <v>1525</v>
      </c>
      <c r="B1098" s="2">
        <v>45464</v>
      </c>
      <c r="C1098" t="s">
        <v>161</v>
      </c>
      <c r="D1098" t="s">
        <v>161</v>
      </c>
      <c r="E1098" t="s">
        <v>142</v>
      </c>
      <c r="F1098">
        <v>7.883</v>
      </c>
      <c r="G1098">
        <v>0</v>
      </c>
      <c r="H1098">
        <v>0</v>
      </c>
      <c r="I1098">
        <v>20</v>
      </c>
      <c r="J1098">
        <v>0</v>
      </c>
      <c r="K1098">
        <v>0</v>
      </c>
      <c r="L1098" t="s">
        <v>143</v>
      </c>
      <c r="M1098">
        <v>20</v>
      </c>
      <c r="N1098">
        <v>1</v>
      </c>
      <c r="O1098">
        <v>0.9</v>
      </c>
      <c r="P1098" t="s">
        <v>114</v>
      </c>
      <c r="Q1098">
        <v>0.9</v>
      </c>
      <c r="R1098" t="s">
        <v>144</v>
      </c>
    </row>
    <row r="1099" spans="1:18" x14ac:dyDescent="0.25">
      <c r="A1099" t="s">
        <v>1526</v>
      </c>
      <c r="B1099" s="2">
        <v>45464</v>
      </c>
      <c r="C1099" t="s">
        <v>161</v>
      </c>
      <c r="D1099" t="s">
        <v>161</v>
      </c>
      <c r="E1099" t="s">
        <v>142</v>
      </c>
      <c r="F1099">
        <v>10</v>
      </c>
      <c r="G1099">
        <v>5</v>
      </c>
      <c r="H1099">
        <v>0</v>
      </c>
      <c r="I1099">
        <v>20</v>
      </c>
      <c r="J1099">
        <v>0</v>
      </c>
      <c r="K1099">
        <v>0</v>
      </c>
      <c r="L1099" t="s">
        <v>1527</v>
      </c>
      <c r="M1099">
        <v>20</v>
      </c>
      <c r="N1099">
        <v>1</v>
      </c>
      <c r="O1099">
        <v>0.9</v>
      </c>
      <c r="P1099" t="s">
        <v>114</v>
      </c>
      <c r="Q1099">
        <v>0.9</v>
      </c>
      <c r="R1099" t="s">
        <v>144</v>
      </c>
    </row>
    <row r="1100" spans="1:18" x14ac:dyDescent="0.25">
      <c r="A1100" t="s">
        <v>1528</v>
      </c>
      <c r="B1100" s="2">
        <v>45465</v>
      </c>
      <c r="C1100" t="s">
        <v>161</v>
      </c>
      <c r="D1100" t="s">
        <v>161</v>
      </c>
      <c r="E1100" t="s">
        <v>142</v>
      </c>
      <c r="F1100">
        <v>3.9860000000000002</v>
      </c>
      <c r="G1100">
        <v>0</v>
      </c>
      <c r="H1100">
        <v>0</v>
      </c>
      <c r="I1100">
        <v>20</v>
      </c>
      <c r="J1100">
        <v>0</v>
      </c>
      <c r="K1100">
        <v>0</v>
      </c>
      <c r="L1100" t="s">
        <v>143</v>
      </c>
      <c r="M1100">
        <v>20</v>
      </c>
      <c r="N1100">
        <v>1</v>
      </c>
      <c r="O1100">
        <v>0.9</v>
      </c>
      <c r="P1100" t="s">
        <v>114</v>
      </c>
      <c r="Q1100">
        <v>0.9</v>
      </c>
      <c r="R1100" t="s">
        <v>144</v>
      </c>
    </row>
    <row r="1101" spans="1:18" x14ac:dyDescent="0.25">
      <c r="A1101" t="s">
        <v>1529</v>
      </c>
      <c r="B1101" s="2">
        <v>45465</v>
      </c>
      <c r="C1101" t="s">
        <v>161</v>
      </c>
      <c r="D1101" t="s">
        <v>161</v>
      </c>
      <c r="E1101" t="s">
        <v>142</v>
      </c>
      <c r="F1101">
        <v>2.0190000000000001</v>
      </c>
      <c r="G1101">
        <v>0</v>
      </c>
      <c r="H1101">
        <v>0</v>
      </c>
      <c r="I1101">
        <v>20</v>
      </c>
      <c r="J1101">
        <v>0</v>
      </c>
      <c r="K1101">
        <v>0</v>
      </c>
      <c r="L1101" t="s">
        <v>143</v>
      </c>
      <c r="M1101">
        <v>20</v>
      </c>
      <c r="N1101">
        <v>1</v>
      </c>
      <c r="O1101">
        <v>0.9</v>
      </c>
      <c r="P1101" t="s">
        <v>114</v>
      </c>
      <c r="Q1101">
        <v>0.9</v>
      </c>
      <c r="R1101" t="s">
        <v>144</v>
      </c>
    </row>
    <row r="1102" spans="1:18" x14ac:dyDescent="0.25">
      <c r="A1102" t="s">
        <v>1530</v>
      </c>
      <c r="B1102" s="2">
        <v>45465</v>
      </c>
      <c r="C1102" t="s">
        <v>161</v>
      </c>
      <c r="D1102" t="s">
        <v>161</v>
      </c>
      <c r="E1102" t="s">
        <v>142</v>
      </c>
      <c r="F1102">
        <v>2.3460000000000001</v>
      </c>
      <c r="G1102">
        <v>0</v>
      </c>
      <c r="H1102">
        <v>0</v>
      </c>
      <c r="I1102">
        <v>20</v>
      </c>
      <c r="J1102">
        <v>0</v>
      </c>
      <c r="K1102">
        <v>0</v>
      </c>
      <c r="L1102" t="s">
        <v>143</v>
      </c>
      <c r="M1102">
        <v>20</v>
      </c>
      <c r="N1102">
        <v>1</v>
      </c>
      <c r="O1102">
        <v>0.9</v>
      </c>
      <c r="P1102" t="s">
        <v>114</v>
      </c>
      <c r="Q1102">
        <v>0.9</v>
      </c>
      <c r="R1102" t="s">
        <v>144</v>
      </c>
    </row>
    <row r="1103" spans="1:18" x14ac:dyDescent="0.25">
      <c r="A1103" t="s">
        <v>1531</v>
      </c>
      <c r="B1103" s="2">
        <v>45465</v>
      </c>
      <c r="C1103" t="s">
        <v>161</v>
      </c>
      <c r="D1103" t="s">
        <v>161</v>
      </c>
      <c r="E1103" t="s">
        <v>142</v>
      </c>
      <c r="F1103">
        <v>1.6950000000000001</v>
      </c>
      <c r="G1103">
        <v>0</v>
      </c>
      <c r="H1103">
        <v>0</v>
      </c>
      <c r="I1103">
        <v>5</v>
      </c>
      <c r="J1103">
        <v>0</v>
      </c>
      <c r="K1103">
        <v>0</v>
      </c>
      <c r="L1103" t="s">
        <v>1532</v>
      </c>
      <c r="M1103">
        <v>5</v>
      </c>
      <c r="N1103">
        <v>0</v>
      </c>
      <c r="O1103">
        <v>0.9</v>
      </c>
      <c r="P1103" t="s">
        <v>114</v>
      </c>
      <c r="Q1103">
        <v>0</v>
      </c>
      <c r="R1103" t="s">
        <v>144</v>
      </c>
    </row>
    <row r="1104" spans="1:18" x14ac:dyDescent="0.25">
      <c r="A1104" t="s">
        <v>1533</v>
      </c>
      <c r="B1104" s="2">
        <v>45465</v>
      </c>
      <c r="C1104" t="s">
        <v>161</v>
      </c>
      <c r="D1104" t="s">
        <v>161</v>
      </c>
      <c r="E1104" t="s">
        <v>142</v>
      </c>
      <c r="F1104">
        <v>8.2390000000000008</v>
      </c>
      <c r="G1104">
        <v>0</v>
      </c>
      <c r="H1104">
        <v>0</v>
      </c>
      <c r="I1104">
        <v>20</v>
      </c>
      <c r="J1104">
        <v>0</v>
      </c>
      <c r="K1104">
        <v>0</v>
      </c>
      <c r="L1104" t="s">
        <v>143</v>
      </c>
      <c r="M1104">
        <v>20</v>
      </c>
      <c r="N1104">
        <v>1</v>
      </c>
      <c r="O1104">
        <v>0.9</v>
      </c>
      <c r="P1104" t="s">
        <v>114</v>
      </c>
      <c r="Q1104">
        <v>0.9</v>
      </c>
      <c r="R1104" t="s">
        <v>144</v>
      </c>
    </row>
    <row r="1105" spans="1:18" x14ac:dyDescent="0.25">
      <c r="A1105" t="s">
        <v>1534</v>
      </c>
      <c r="B1105" s="2">
        <v>45465</v>
      </c>
      <c r="C1105" t="s">
        <v>161</v>
      </c>
      <c r="D1105" t="s">
        <v>161</v>
      </c>
      <c r="E1105" t="s">
        <v>142</v>
      </c>
      <c r="F1105">
        <v>8.5060000000000002</v>
      </c>
      <c r="G1105">
        <v>0</v>
      </c>
      <c r="H1105">
        <v>0</v>
      </c>
      <c r="I1105">
        <v>20</v>
      </c>
      <c r="J1105">
        <v>0</v>
      </c>
      <c r="K1105">
        <v>0</v>
      </c>
      <c r="L1105" t="s">
        <v>143</v>
      </c>
      <c r="M1105">
        <v>20</v>
      </c>
      <c r="N1105">
        <v>1</v>
      </c>
      <c r="O1105">
        <v>0.9</v>
      </c>
      <c r="P1105" t="s">
        <v>114</v>
      </c>
      <c r="Q1105">
        <v>0.9</v>
      </c>
      <c r="R1105" t="s">
        <v>144</v>
      </c>
    </row>
    <row r="1106" spans="1:18" x14ac:dyDescent="0.25">
      <c r="A1106" t="s">
        <v>1535</v>
      </c>
      <c r="B1106" s="2">
        <v>45465</v>
      </c>
      <c r="C1106" t="s">
        <v>161</v>
      </c>
      <c r="D1106" t="s">
        <v>161</v>
      </c>
      <c r="E1106" t="s">
        <v>142</v>
      </c>
      <c r="F1106">
        <v>10</v>
      </c>
      <c r="G1106">
        <v>0.38400000000000001</v>
      </c>
      <c r="H1106">
        <v>0</v>
      </c>
      <c r="I1106">
        <v>5</v>
      </c>
      <c r="J1106">
        <v>0</v>
      </c>
      <c r="K1106">
        <v>0</v>
      </c>
      <c r="L1106" t="s">
        <v>1536</v>
      </c>
      <c r="M1106">
        <v>5</v>
      </c>
      <c r="N1106">
        <v>0</v>
      </c>
      <c r="O1106">
        <v>0.9</v>
      </c>
      <c r="P1106" t="s">
        <v>114</v>
      </c>
      <c r="Q1106">
        <v>0</v>
      </c>
      <c r="R1106" t="s">
        <v>144</v>
      </c>
    </row>
    <row r="1107" spans="1:18" x14ac:dyDescent="0.25">
      <c r="A1107" t="s">
        <v>1537</v>
      </c>
      <c r="B1107" s="2">
        <v>45467</v>
      </c>
      <c r="C1107" t="s">
        <v>161</v>
      </c>
      <c r="D1107" t="s">
        <v>161</v>
      </c>
      <c r="E1107" t="s">
        <v>142</v>
      </c>
      <c r="F1107">
        <v>7.2439999999999998</v>
      </c>
      <c r="G1107">
        <v>0</v>
      </c>
      <c r="H1107">
        <v>0</v>
      </c>
      <c r="I1107">
        <v>20</v>
      </c>
      <c r="J1107">
        <v>0</v>
      </c>
      <c r="K1107">
        <v>0</v>
      </c>
      <c r="L1107" t="s">
        <v>1538</v>
      </c>
      <c r="M1107">
        <v>20</v>
      </c>
      <c r="N1107">
        <v>1</v>
      </c>
      <c r="O1107">
        <v>0.9</v>
      </c>
      <c r="P1107" t="s">
        <v>115</v>
      </c>
      <c r="Q1107">
        <v>0.9</v>
      </c>
      <c r="R1107" t="s">
        <v>144</v>
      </c>
    </row>
    <row r="1108" spans="1:18" x14ac:dyDescent="0.25">
      <c r="A1108" t="s">
        <v>1539</v>
      </c>
      <c r="B1108" s="2">
        <v>45467</v>
      </c>
      <c r="C1108" t="s">
        <v>161</v>
      </c>
      <c r="D1108" t="s">
        <v>161</v>
      </c>
      <c r="E1108" t="s">
        <v>142</v>
      </c>
      <c r="F1108">
        <v>4.4820000000000002</v>
      </c>
      <c r="G1108">
        <v>0</v>
      </c>
      <c r="H1108">
        <v>0</v>
      </c>
      <c r="I1108">
        <v>5</v>
      </c>
      <c r="J1108">
        <v>0</v>
      </c>
      <c r="K1108">
        <v>0</v>
      </c>
      <c r="L1108" t="s">
        <v>1540</v>
      </c>
      <c r="M1108">
        <v>5</v>
      </c>
      <c r="N1108">
        <v>0</v>
      </c>
      <c r="O1108">
        <v>0.9</v>
      </c>
      <c r="P1108" t="s">
        <v>115</v>
      </c>
      <c r="Q1108">
        <v>0</v>
      </c>
      <c r="R1108" t="s">
        <v>144</v>
      </c>
    </row>
    <row r="1109" spans="1:18" x14ac:dyDescent="0.25">
      <c r="A1109" t="s">
        <v>1541</v>
      </c>
      <c r="B1109" s="2">
        <v>45467</v>
      </c>
      <c r="C1109" t="s">
        <v>161</v>
      </c>
      <c r="D1109" t="s">
        <v>161</v>
      </c>
      <c r="E1109" t="s">
        <v>142</v>
      </c>
      <c r="F1109">
        <v>1.476</v>
      </c>
      <c r="G1109">
        <v>0</v>
      </c>
      <c r="H1109">
        <v>0</v>
      </c>
      <c r="I1109">
        <v>5</v>
      </c>
      <c r="J1109">
        <v>0</v>
      </c>
      <c r="K1109">
        <v>0</v>
      </c>
      <c r="L1109" t="s">
        <v>1542</v>
      </c>
      <c r="M1109">
        <v>5</v>
      </c>
      <c r="N1109">
        <v>0</v>
      </c>
      <c r="O1109">
        <v>0.9</v>
      </c>
      <c r="P1109" t="s">
        <v>115</v>
      </c>
      <c r="Q1109">
        <v>0</v>
      </c>
      <c r="R1109" t="s">
        <v>144</v>
      </c>
    </row>
    <row r="1110" spans="1:18" x14ac:dyDescent="0.25">
      <c r="A1110" t="s">
        <v>1543</v>
      </c>
      <c r="B1110" s="2">
        <v>45467</v>
      </c>
      <c r="C1110" t="s">
        <v>161</v>
      </c>
      <c r="D1110" t="s">
        <v>161</v>
      </c>
      <c r="E1110" t="s">
        <v>142</v>
      </c>
      <c r="F1110">
        <v>1.38</v>
      </c>
      <c r="G1110">
        <v>0</v>
      </c>
      <c r="H1110">
        <v>0</v>
      </c>
      <c r="I1110">
        <v>20</v>
      </c>
      <c r="J1110">
        <v>0</v>
      </c>
      <c r="K1110">
        <v>0</v>
      </c>
      <c r="L1110" t="s">
        <v>143</v>
      </c>
      <c r="M1110">
        <v>20</v>
      </c>
      <c r="N1110">
        <v>1</v>
      </c>
      <c r="O1110">
        <v>0.9</v>
      </c>
      <c r="P1110" t="s">
        <v>115</v>
      </c>
      <c r="Q1110">
        <v>0.9</v>
      </c>
      <c r="R1110" t="s">
        <v>144</v>
      </c>
    </row>
    <row r="1111" spans="1:18" x14ac:dyDescent="0.25">
      <c r="A1111" t="s">
        <v>1544</v>
      </c>
      <c r="B1111" s="2">
        <v>45467</v>
      </c>
      <c r="C1111" t="s">
        <v>161</v>
      </c>
      <c r="D1111" t="s">
        <v>161</v>
      </c>
      <c r="E1111" t="s">
        <v>142</v>
      </c>
      <c r="F1111">
        <v>10</v>
      </c>
      <c r="G1111">
        <v>8.0619999999999994</v>
      </c>
      <c r="H1111">
        <v>0</v>
      </c>
      <c r="I1111">
        <v>5</v>
      </c>
      <c r="J1111">
        <v>0</v>
      </c>
      <c r="K1111">
        <v>0</v>
      </c>
      <c r="L1111" t="s">
        <v>1545</v>
      </c>
      <c r="M1111">
        <v>5</v>
      </c>
      <c r="N1111">
        <v>0</v>
      </c>
      <c r="O1111">
        <v>0.9</v>
      </c>
      <c r="P1111" t="s">
        <v>115</v>
      </c>
      <c r="Q1111">
        <v>0</v>
      </c>
      <c r="R1111" t="s">
        <v>144</v>
      </c>
    </row>
    <row r="1112" spans="1:18" x14ac:dyDescent="0.25">
      <c r="A1112" t="s">
        <v>1546</v>
      </c>
      <c r="B1112" s="2">
        <v>45467</v>
      </c>
      <c r="C1112" t="s">
        <v>161</v>
      </c>
      <c r="D1112" t="s">
        <v>161</v>
      </c>
      <c r="E1112" t="s">
        <v>142</v>
      </c>
      <c r="F1112">
        <v>1.466</v>
      </c>
      <c r="G1112">
        <v>0</v>
      </c>
      <c r="H1112">
        <v>0</v>
      </c>
      <c r="I1112">
        <v>20</v>
      </c>
      <c r="J1112">
        <v>0</v>
      </c>
      <c r="K1112">
        <v>0</v>
      </c>
      <c r="L1112" t="s">
        <v>143</v>
      </c>
      <c r="M1112">
        <v>20</v>
      </c>
      <c r="N1112">
        <v>1</v>
      </c>
      <c r="O1112">
        <v>0.9</v>
      </c>
      <c r="P1112" t="s">
        <v>115</v>
      </c>
      <c r="Q1112">
        <v>0.9</v>
      </c>
      <c r="R1112" t="s">
        <v>144</v>
      </c>
    </row>
    <row r="1113" spans="1:18" x14ac:dyDescent="0.25">
      <c r="A1113" t="s">
        <v>1547</v>
      </c>
      <c r="B1113" s="2">
        <v>45467</v>
      </c>
      <c r="C1113" t="s">
        <v>161</v>
      </c>
      <c r="D1113" t="s">
        <v>161</v>
      </c>
      <c r="E1113" t="s">
        <v>142</v>
      </c>
      <c r="F1113">
        <v>10</v>
      </c>
      <c r="G1113">
        <v>2.1960000000000002</v>
      </c>
      <c r="H1113">
        <v>3.294</v>
      </c>
      <c r="I1113">
        <v>20</v>
      </c>
      <c r="J1113">
        <v>0</v>
      </c>
      <c r="K1113">
        <v>0</v>
      </c>
      <c r="L1113" t="s">
        <v>143</v>
      </c>
      <c r="M1113">
        <v>23.294</v>
      </c>
      <c r="N1113">
        <v>1</v>
      </c>
      <c r="O1113">
        <v>0.9</v>
      </c>
      <c r="P1113" t="s">
        <v>115</v>
      </c>
      <c r="Q1113">
        <v>0.9</v>
      </c>
      <c r="R1113" t="s">
        <v>144</v>
      </c>
    </row>
    <row r="1114" spans="1:18" x14ac:dyDescent="0.25">
      <c r="A1114" t="s">
        <v>1548</v>
      </c>
      <c r="B1114" s="2">
        <v>45467</v>
      </c>
      <c r="C1114" t="s">
        <v>161</v>
      </c>
      <c r="D1114" t="s">
        <v>161</v>
      </c>
      <c r="E1114" t="s">
        <v>142</v>
      </c>
      <c r="F1114">
        <v>4.5060000000000002</v>
      </c>
      <c r="G1114">
        <v>0</v>
      </c>
      <c r="H1114">
        <v>0</v>
      </c>
      <c r="I1114">
        <v>20</v>
      </c>
      <c r="J1114">
        <v>0</v>
      </c>
      <c r="K1114">
        <v>0</v>
      </c>
      <c r="L1114" t="s">
        <v>143</v>
      </c>
      <c r="M1114">
        <v>20</v>
      </c>
      <c r="N1114">
        <v>1</v>
      </c>
      <c r="O1114">
        <v>0.9</v>
      </c>
      <c r="P1114" t="s">
        <v>115</v>
      </c>
      <c r="Q1114">
        <v>0.9</v>
      </c>
      <c r="R1114" t="s">
        <v>144</v>
      </c>
    </row>
    <row r="1115" spans="1:18" x14ac:dyDescent="0.25">
      <c r="A1115" t="s">
        <v>1549</v>
      </c>
      <c r="B1115" s="2">
        <v>45467</v>
      </c>
      <c r="C1115" t="s">
        <v>161</v>
      </c>
      <c r="D1115" t="s">
        <v>161</v>
      </c>
      <c r="E1115" t="s">
        <v>142</v>
      </c>
      <c r="F1115">
        <v>10</v>
      </c>
      <c r="G1115">
        <v>13.757999999999999</v>
      </c>
      <c r="H1115">
        <v>20.637</v>
      </c>
      <c r="I1115">
        <v>20</v>
      </c>
      <c r="J1115">
        <v>0</v>
      </c>
      <c r="K1115">
        <v>0</v>
      </c>
      <c r="L1115" t="s">
        <v>1550</v>
      </c>
      <c r="M1115">
        <v>40.637</v>
      </c>
      <c r="N1115">
        <v>1</v>
      </c>
      <c r="O1115">
        <v>0.9</v>
      </c>
      <c r="P1115" t="s">
        <v>115</v>
      </c>
      <c r="Q1115">
        <v>0.9</v>
      </c>
      <c r="R1115" t="s">
        <v>144</v>
      </c>
    </row>
    <row r="1116" spans="1:18" x14ac:dyDescent="0.25">
      <c r="A1116" t="s">
        <v>1551</v>
      </c>
      <c r="B1116" s="2">
        <v>45467</v>
      </c>
      <c r="C1116" t="s">
        <v>161</v>
      </c>
      <c r="D1116" t="s">
        <v>161</v>
      </c>
      <c r="E1116" t="s">
        <v>142</v>
      </c>
      <c r="F1116">
        <v>10</v>
      </c>
      <c r="G1116">
        <v>1.84</v>
      </c>
      <c r="H1116">
        <v>2.76</v>
      </c>
      <c r="I1116">
        <v>20</v>
      </c>
      <c r="J1116">
        <v>0</v>
      </c>
      <c r="K1116">
        <v>0</v>
      </c>
      <c r="L1116" t="s">
        <v>143</v>
      </c>
      <c r="M1116">
        <v>22.76</v>
      </c>
      <c r="N1116">
        <v>1</v>
      </c>
      <c r="O1116">
        <v>0.9</v>
      </c>
      <c r="P1116" t="s">
        <v>115</v>
      </c>
      <c r="Q1116">
        <v>0.9</v>
      </c>
      <c r="R1116" t="s">
        <v>144</v>
      </c>
    </row>
    <row r="1117" spans="1:18" x14ac:dyDescent="0.25">
      <c r="A1117" t="s">
        <v>1552</v>
      </c>
      <c r="B1117" s="2">
        <v>45467</v>
      </c>
      <c r="C1117" t="s">
        <v>161</v>
      </c>
      <c r="D1117" t="s">
        <v>161</v>
      </c>
      <c r="E1117" t="s">
        <v>142</v>
      </c>
      <c r="F1117">
        <v>1.47</v>
      </c>
      <c r="G1117">
        <v>0</v>
      </c>
      <c r="H1117">
        <v>0</v>
      </c>
      <c r="I1117">
        <v>5</v>
      </c>
      <c r="J1117">
        <v>0</v>
      </c>
      <c r="K1117">
        <v>0</v>
      </c>
      <c r="L1117" t="s">
        <v>1553</v>
      </c>
      <c r="M1117">
        <v>5</v>
      </c>
      <c r="N1117">
        <v>0</v>
      </c>
      <c r="O1117">
        <v>0.9</v>
      </c>
      <c r="P1117" t="s">
        <v>115</v>
      </c>
      <c r="Q1117">
        <v>0</v>
      </c>
      <c r="R1117" t="s">
        <v>144</v>
      </c>
    </row>
    <row r="1118" spans="1:18" x14ac:dyDescent="0.25">
      <c r="A1118" t="s">
        <v>1554</v>
      </c>
      <c r="B1118" s="2">
        <v>45469</v>
      </c>
      <c r="C1118" t="s">
        <v>161</v>
      </c>
      <c r="D1118" t="s">
        <v>161</v>
      </c>
      <c r="E1118" t="s">
        <v>142</v>
      </c>
      <c r="F1118">
        <v>3.15</v>
      </c>
      <c r="G1118">
        <v>0</v>
      </c>
      <c r="H1118">
        <v>0</v>
      </c>
      <c r="I1118">
        <v>20</v>
      </c>
      <c r="J1118">
        <v>0</v>
      </c>
      <c r="K1118">
        <v>0</v>
      </c>
      <c r="L1118" t="s">
        <v>143</v>
      </c>
      <c r="M1118">
        <v>20</v>
      </c>
      <c r="N1118">
        <v>1</v>
      </c>
      <c r="O1118">
        <v>0.9</v>
      </c>
      <c r="P1118" t="s">
        <v>115</v>
      </c>
      <c r="Q1118">
        <v>0.9</v>
      </c>
      <c r="R1118" t="s">
        <v>144</v>
      </c>
    </row>
    <row r="1119" spans="1:18" x14ac:dyDescent="0.25">
      <c r="A1119" t="s">
        <v>1555</v>
      </c>
      <c r="B1119" s="2">
        <v>45469</v>
      </c>
      <c r="C1119" t="s">
        <v>161</v>
      </c>
      <c r="D1119" t="s">
        <v>161</v>
      </c>
      <c r="E1119" t="s">
        <v>142</v>
      </c>
      <c r="F1119">
        <v>8.5779999999999994</v>
      </c>
      <c r="G1119">
        <v>0</v>
      </c>
      <c r="H1119">
        <v>0</v>
      </c>
      <c r="I1119">
        <v>20</v>
      </c>
      <c r="J1119">
        <v>0</v>
      </c>
      <c r="K1119">
        <v>0</v>
      </c>
      <c r="L1119" t="s">
        <v>143</v>
      </c>
      <c r="M1119">
        <v>20</v>
      </c>
      <c r="N1119">
        <v>1</v>
      </c>
      <c r="O1119">
        <v>0.9</v>
      </c>
      <c r="P1119" t="s">
        <v>115</v>
      </c>
      <c r="Q1119">
        <v>0.9</v>
      </c>
      <c r="R1119" t="s">
        <v>144</v>
      </c>
    </row>
    <row r="1120" spans="1:18" x14ac:dyDescent="0.25">
      <c r="A1120" t="s">
        <v>1556</v>
      </c>
      <c r="B1120" s="2">
        <v>45469</v>
      </c>
      <c r="C1120" t="s">
        <v>161</v>
      </c>
      <c r="D1120" t="s">
        <v>161</v>
      </c>
      <c r="E1120" t="s">
        <v>142</v>
      </c>
      <c r="F1120">
        <v>3.8540000000000001</v>
      </c>
      <c r="G1120">
        <v>0</v>
      </c>
      <c r="H1120">
        <v>0</v>
      </c>
      <c r="I1120">
        <v>20</v>
      </c>
      <c r="J1120">
        <v>0</v>
      </c>
      <c r="K1120">
        <v>0</v>
      </c>
      <c r="L1120" t="s">
        <v>1557</v>
      </c>
      <c r="M1120">
        <v>20</v>
      </c>
      <c r="N1120">
        <v>1</v>
      </c>
      <c r="O1120">
        <v>0.9</v>
      </c>
      <c r="P1120" t="s">
        <v>115</v>
      </c>
      <c r="Q1120">
        <v>0.9</v>
      </c>
      <c r="R1120" t="s">
        <v>144</v>
      </c>
    </row>
    <row r="1121" spans="1:18" x14ac:dyDescent="0.25">
      <c r="A1121" t="s">
        <v>1558</v>
      </c>
      <c r="B1121" s="2">
        <v>45469</v>
      </c>
      <c r="C1121" t="s">
        <v>161</v>
      </c>
      <c r="D1121" t="s">
        <v>161</v>
      </c>
      <c r="E1121" t="s">
        <v>142</v>
      </c>
      <c r="F1121">
        <v>4.1280000000000001</v>
      </c>
      <c r="G1121">
        <v>0</v>
      </c>
      <c r="H1121">
        <v>0</v>
      </c>
      <c r="I1121">
        <v>20</v>
      </c>
      <c r="J1121">
        <v>0</v>
      </c>
      <c r="K1121">
        <v>0</v>
      </c>
      <c r="L1121" t="s">
        <v>1265</v>
      </c>
      <c r="M1121">
        <v>20</v>
      </c>
      <c r="N1121">
        <v>1</v>
      </c>
      <c r="O1121">
        <v>0.9</v>
      </c>
      <c r="P1121" t="s">
        <v>115</v>
      </c>
      <c r="Q1121">
        <v>0.9</v>
      </c>
      <c r="R1121" t="s">
        <v>144</v>
      </c>
    </row>
    <row r="1122" spans="1:18" x14ac:dyDescent="0.25">
      <c r="A1122" t="s">
        <v>1559</v>
      </c>
      <c r="B1122" s="2">
        <v>45469</v>
      </c>
      <c r="C1122" t="s">
        <v>161</v>
      </c>
      <c r="D1122" t="s">
        <v>161</v>
      </c>
      <c r="E1122" t="s">
        <v>142</v>
      </c>
      <c r="F1122">
        <v>1.022</v>
      </c>
      <c r="G1122">
        <v>0</v>
      </c>
      <c r="H1122">
        <v>0</v>
      </c>
      <c r="I1122">
        <v>5</v>
      </c>
      <c r="J1122">
        <v>0</v>
      </c>
      <c r="K1122">
        <v>0</v>
      </c>
      <c r="L1122" t="s">
        <v>1560</v>
      </c>
      <c r="M1122">
        <v>5</v>
      </c>
      <c r="N1122">
        <v>0</v>
      </c>
      <c r="O1122">
        <v>0.9</v>
      </c>
      <c r="P1122" t="s">
        <v>115</v>
      </c>
      <c r="Q1122">
        <v>0</v>
      </c>
      <c r="R1122" t="s">
        <v>144</v>
      </c>
    </row>
    <row r="1123" spans="1:18" x14ac:dyDescent="0.25">
      <c r="A1123" t="s">
        <v>1561</v>
      </c>
      <c r="B1123" s="2">
        <v>45469</v>
      </c>
      <c r="C1123" t="s">
        <v>161</v>
      </c>
      <c r="D1123" t="s">
        <v>161</v>
      </c>
      <c r="E1123" t="s">
        <v>142</v>
      </c>
      <c r="F1123">
        <v>10</v>
      </c>
      <c r="G1123">
        <v>5.4109999999999996</v>
      </c>
      <c r="H1123">
        <v>8.1165000000000003</v>
      </c>
      <c r="I1123">
        <v>20</v>
      </c>
      <c r="J1123">
        <v>0</v>
      </c>
      <c r="K1123">
        <v>0</v>
      </c>
      <c r="L1123" t="s">
        <v>339</v>
      </c>
      <c r="M1123">
        <v>28.116499999999998</v>
      </c>
      <c r="N1123">
        <v>1</v>
      </c>
      <c r="O1123">
        <v>0.9</v>
      </c>
      <c r="P1123" t="s">
        <v>115</v>
      </c>
      <c r="Q1123">
        <v>0.9</v>
      </c>
      <c r="R1123" t="s">
        <v>144</v>
      </c>
    </row>
    <row r="1124" spans="1:18" x14ac:dyDescent="0.25">
      <c r="A1124" t="s">
        <v>1562</v>
      </c>
      <c r="B1124" s="2">
        <v>45469</v>
      </c>
      <c r="C1124" t="s">
        <v>161</v>
      </c>
      <c r="D1124" t="s">
        <v>161</v>
      </c>
      <c r="E1124" t="s">
        <v>142</v>
      </c>
      <c r="F1124">
        <v>10</v>
      </c>
      <c r="G1124">
        <v>5.1929999999999996</v>
      </c>
      <c r="H1124">
        <v>7.7895000000000003</v>
      </c>
      <c r="I1124">
        <v>20</v>
      </c>
      <c r="J1124">
        <v>0</v>
      </c>
      <c r="K1124">
        <v>0</v>
      </c>
      <c r="L1124" t="s">
        <v>143</v>
      </c>
      <c r="M1124">
        <v>27.7895</v>
      </c>
      <c r="N1124">
        <v>1</v>
      </c>
      <c r="O1124">
        <v>0.9</v>
      </c>
      <c r="P1124" t="s">
        <v>115</v>
      </c>
      <c r="Q1124">
        <v>0.9</v>
      </c>
      <c r="R1124" t="s">
        <v>144</v>
      </c>
    </row>
    <row r="1125" spans="1:18" x14ac:dyDescent="0.25">
      <c r="A1125" t="s">
        <v>1563</v>
      </c>
      <c r="B1125" s="2">
        <v>45469</v>
      </c>
      <c r="C1125" t="s">
        <v>161</v>
      </c>
      <c r="D1125" t="s">
        <v>161</v>
      </c>
      <c r="E1125" t="s">
        <v>142</v>
      </c>
      <c r="F1125">
        <v>1.736</v>
      </c>
      <c r="G1125">
        <v>0</v>
      </c>
      <c r="H1125">
        <v>0</v>
      </c>
      <c r="I1125">
        <v>20</v>
      </c>
      <c r="J1125">
        <v>0</v>
      </c>
      <c r="K1125">
        <v>0</v>
      </c>
      <c r="L1125" t="s">
        <v>143</v>
      </c>
      <c r="M1125">
        <v>20</v>
      </c>
      <c r="N1125">
        <v>1</v>
      </c>
      <c r="O1125">
        <v>0.9</v>
      </c>
      <c r="P1125" t="s">
        <v>115</v>
      </c>
      <c r="Q1125">
        <v>0.9</v>
      </c>
      <c r="R1125" t="s">
        <v>144</v>
      </c>
    </row>
    <row r="1126" spans="1:18" x14ac:dyDescent="0.25">
      <c r="A1126" t="s">
        <v>1564</v>
      </c>
      <c r="B1126" s="2">
        <v>45469</v>
      </c>
      <c r="C1126" t="s">
        <v>161</v>
      </c>
      <c r="D1126" t="s">
        <v>161</v>
      </c>
      <c r="E1126" t="s">
        <v>142</v>
      </c>
      <c r="F1126">
        <v>3.669</v>
      </c>
      <c r="G1126">
        <v>0</v>
      </c>
      <c r="H1126">
        <v>0</v>
      </c>
      <c r="I1126">
        <v>5</v>
      </c>
      <c r="J1126">
        <v>0</v>
      </c>
      <c r="K1126">
        <v>0</v>
      </c>
      <c r="L1126" t="s">
        <v>1565</v>
      </c>
      <c r="M1126">
        <v>5</v>
      </c>
      <c r="N1126">
        <v>0</v>
      </c>
      <c r="O1126">
        <v>0.9</v>
      </c>
      <c r="P1126" t="s">
        <v>115</v>
      </c>
      <c r="Q1126">
        <v>0</v>
      </c>
      <c r="R1126" t="s">
        <v>144</v>
      </c>
    </row>
    <row r="1127" spans="1:18" x14ac:dyDescent="0.25">
      <c r="A1127" t="s">
        <v>1566</v>
      </c>
      <c r="B1127" s="2">
        <v>45471</v>
      </c>
      <c r="C1127" t="s">
        <v>161</v>
      </c>
      <c r="D1127" t="s">
        <v>161</v>
      </c>
      <c r="E1127" t="s">
        <v>142</v>
      </c>
      <c r="F1127">
        <v>4.05</v>
      </c>
      <c r="G1127">
        <v>0</v>
      </c>
      <c r="H1127">
        <v>0</v>
      </c>
      <c r="I1127">
        <v>20</v>
      </c>
      <c r="J1127">
        <v>0</v>
      </c>
      <c r="K1127">
        <v>0</v>
      </c>
      <c r="L1127" t="s">
        <v>143</v>
      </c>
      <c r="M1127">
        <v>20</v>
      </c>
      <c r="N1127">
        <v>1</v>
      </c>
      <c r="O1127">
        <v>0.9</v>
      </c>
      <c r="P1127" t="s">
        <v>115</v>
      </c>
      <c r="Q1127">
        <v>0.9</v>
      </c>
      <c r="R1127" t="s">
        <v>144</v>
      </c>
    </row>
    <row r="1128" spans="1:18" x14ac:dyDescent="0.25">
      <c r="A1128" t="s">
        <v>1567</v>
      </c>
      <c r="B1128" s="2">
        <v>45471</v>
      </c>
      <c r="C1128" t="s">
        <v>161</v>
      </c>
      <c r="D1128" t="s">
        <v>161</v>
      </c>
      <c r="E1128" t="s">
        <v>142</v>
      </c>
      <c r="F1128">
        <v>3.9580000000000002</v>
      </c>
      <c r="G1128">
        <v>0</v>
      </c>
      <c r="H1128">
        <v>0</v>
      </c>
      <c r="I1128">
        <v>20</v>
      </c>
      <c r="J1128">
        <v>0</v>
      </c>
      <c r="K1128">
        <v>0</v>
      </c>
      <c r="L1128" t="s">
        <v>143</v>
      </c>
      <c r="M1128">
        <v>20</v>
      </c>
      <c r="N1128">
        <v>1</v>
      </c>
      <c r="O1128">
        <v>0.9</v>
      </c>
      <c r="P1128" t="s">
        <v>115</v>
      </c>
      <c r="Q1128">
        <v>0.9</v>
      </c>
      <c r="R1128" t="s">
        <v>144</v>
      </c>
    </row>
    <row r="1129" spans="1:18" x14ac:dyDescent="0.25">
      <c r="A1129" t="s">
        <v>1568</v>
      </c>
      <c r="B1129" s="2">
        <v>45471</v>
      </c>
      <c r="C1129" t="s">
        <v>161</v>
      </c>
      <c r="D1129" t="s">
        <v>161</v>
      </c>
      <c r="E1129" t="s">
        <v>142</v>
      </c>
      <c r="F1129">
        <v>0.89700000000000002</v>
      </c>
      <c r="G1129">
        <v>0</v>
      </c>
      <c r="H1129">
        <v>0</v>
      </c>
      <c r="I1129">
        <v>20</v>
      </c>
      <c r="J1129">
        <v>0</v>
      </c>
      <c r="K1129">
        <v>0</v>
      </c>
      <c r="L1129" t="s">
        <v>143</v>
      </c>
      <c r="M1129">
        <v>20</v>
      </c>
      <c r="N1129">
        <v>1</v>
      </c>
      <c r="O1129">
        <v>0.9</v>
      </c>
      <c r="P1129" t="s">
        <v>115</v>
      </c>
      <c r="Q1129">
        <v>0.9</v>
      </c>
      <c r="R1129" t="s">
        <v>144</v>
      </c>
    </row>
    <row r="1130" spans="1:18" x14ac:dyDescent="0.25">
      <c r="A1130" t="s">
        <v>1569</v>
      </c>
      <c r="B1130" s="2">
        <v>45471</v>
      </c>
      <c r="C1130" t="s">
        <v>161</v>
      </c>
      <c r="D1130" t="s">
        <v>161</v>
      </c>
      <c r="E1130" t="s">
        <v>142</v>
      </c>
      <c r="F1130">
        <v>10</v>
      </c>
      <c r="G1130">
        <v>9</v>
      </c>
      <c r="H1130">
        <v>13.5</v>
      </c>
      <c r="I1130">
        <v>20</v>
      </c>
      <c r="J1130">
        <v>0</v>
      </c>
      <c r="K1130">
        <v>0</v>
      </c>
      <c r="L1130" t="s">
        <v>143</v>
      </c>
      <c r="M1130">
        <v>33.5</v>
      </c>
      <c r="N1130">
        <v>1</v>
      </c>
      <c r="O1130">
        <v>0.9</v>
      </c>
      <c r="P1130" t="s">
        <v>115</v>
      </c>
      <c r="Q1130">
        <v>0.9</v>
      </c>
      <c r="R1130" t="s">
        <v>144</v>
      </c>
    </row>
    <row r="1131" spans="1:18" x14ac:dyDescent="0.25">
      <c r="A1131" t="s">
        <v>1570</v>
      </c>
      <c r="B1131" s="2">
        <v>45471</v>
      </c>
      <c r="C1131" t="s">
        <v>161</v>
      </c>
      <c r="D1131" t="s">
        <v>161</v>
      </c>
      <c r="E1131" t="s">
        <v>142</v>
      </c>
      <c r="F1131">
        <v>2.077</v>
      </c>
      <c r="G1131">
        <v>0</v>
      </c>
      <c r="H1131">
        <v>0</v>
      </c>
      <c r="I1131">
        <v>20</v>
      </c>
      <c r="J1131">
        <v>0</v>
      </c>
      <c r="K1131">
        <v>0</v>
      </c>
      <c r="L1131" t="s">
        <v>143</v>
      </c>
      <c r="M1131">
        <v>20</v>
      </c>
      <c r="N1131">
        <v>1</v>
      </c>
      <c r="O1131">
        <v>0.9</v>
      </c>
      <c r="P1131" t="s">
        <v>115</v>
      </c>
      <c r="Q1131">
        <v>0.9</v>
      </c>
      <c r="R1131" t="s">
        <v>144</v>
      </c>
    </row>
    <row r="1132" spans="1:18" x14ac:dyDescent="0.25">
      <c r="A1132" t="s">
        <v>1571</v>
      </c>
      <c r="B1132" s="2">
        <v>45471</v>
      </c>
      <c r="C1132" t="s">
        <v>161</v>
      </c>
      <c r="D1132" t="s">
        <v>161</v>
      </c>
      <c r="E1132" t="s">
        <v>142</v>
      </c>
      <c r="F1132">
        <v>8.1980000000000004</v>
      </c>
      <c r="G1132">
        <v>0</v>
      </c>
      <c r="H1132">
        <v>0</v>
      </c>
      <c r="I1132">
        <v>20</v>
      </c>
      <c r="J1132">
        <v>0</v>
      </c>
      <c r="K1132">
        <v>0</v>
      </c>
      <c r="L1132" t="s">
        <v>143</v>
      </c>
      <c r="M1132">
        <v>20</v>
      </c>
      <c r="N1132">
        <v>1</v>
      </c>
      <c r="O1132">
        <v>0.9</v>
      </c>
      <c r="P1132" t="s">
        <v>115</v>
      </c>
      <c r="Q1132">
        <v>0.9</v>
      </c>
      <c r="R1132" t="s">
        <v>144</v>
      </c>
    </row>
    <row r="1133" spans="1:18" x14ac:dyDescent="0.25">
      <c r="A1133" t="s">
        <v>1572</v>
      </c>
      <c r="B1133" s="2">
        <v>45471</v>
      </c>
      <c r="C1133" t="s">
        <v>161</v>
      </c>
      <c r="D1133" t="s">
        <v>161</v>
      </c>
      <c r="E1133" t="s">
        <v>142</v>
      </c>
      <c r="F1133">
        <v>8.3689999999999998</v>
      </c>
      <c r="G1133">
        <v>0</v>
      </c>
      <c r="H1133">
        <v>0</v>
      </c>
      <c r="I1133">
        <v>20</v>
      </c>
      <c r="J1133">
        <v>0</v>
      </c>
      <c r="K1133">
        <v>0</v>
      </c>
      <c r="L1133" t="s">
        <v>143</v>
      </c>
      <c r="M1133">
        <v>20</v>
      </c>
      <c r="N1133">
        <v>1</v>
      </c>
      <c r="O1133">
        <v>0.9</v>
      </c>
      <c r="P1133" t="s">
        <v>115</v>
      </c>
      <c r="Q1133">
        <v>0.9</v>
      </c>
      <c r="R1133" t="s">
        <v>144</v>
      </c>
    </row>
    <row r="1134" spans="1:18" x14ac:dyDescent="0.25">
      <c r="A1134" t="s">
        <v>1573</v>
      </c>
      <c r="B1134" s="2">
        <v>45471</v>
      </c>
      <c r="C1134" t="s">
        <v>161</v>
      </c>
      <c r="D1134" t="s">
        <v>161</v>
      </c>
      <c r="E1134" t="s">
        <v>142</v>
      </c>
      <c r="F1134">
        <v>3.24</v>
      </c>
      <c r="G1134">
        <v>0</v>
      </c>
      <c r="H1134">
        <v>0</v>
      </c>
      <c r="I1134">
        <v>20</v>
      </c>
      <c r="J1134">
        <v>0</v>
      </c>
      <c r="K1134">
        <v>0</v>
      </c>
      <c r="L1134" t="s">
        <v>143</v>
      </c>
      <c r="M1134">
        <v>20</v>
      </c>
      <c r="N1134">
        <v>1</v>
      </c>
      <c r="O1134">
        <v>0.9</v>
      </c>
      <c r="P1134" t="s">
        <v>115</v>
      </c>
      <c r="Q1134">
        <v>0.9</v>
      </c>
      <c r="R1134" t="s">
        <v>144</v>
      </c>
    </row>
    <row r="1135" spans="1:18" x14ac:dyDescent="0.25">
      <c r="A1135" t="s">
        <v>1574</v>
      </c>
      <c r="B1135" s="2">
        <v>45471</v>
      </c>
      <c r="C1135" t="s">
        <v>161</v>
      </c>
      <c r="D1135" t="s">
        <v>161</v>
      </c>
      <c r="E1135" t="s">
        <v>142</v>
      </c>
      <c r="F1135">
        <v>7.2229999999999999</v>
      </c>
      <c r="G1135">
        <v>0</v>
      </c>
      <c r="H1135">
        <v>0</v>
      </c>
      <c r="I1135">
        <v>5</v>
      </c>
      <c r="J1135">
        <v>0</v>
      </c>
      <c r="K1135">
        <v>0</v>
      </c>
      <c r="L1135" t="s">
        <v>1575</v>
      </c>
      <c r="M1135">
        <v>5</v>
      </c>
      <c r="N1135">
        <v>0</v>
      </c>
      <c r="O1135">
        <v>0.9</v>
      </c>
      <c r="P1135" t="s">
        <v>115</v>
      </c>
      <c r="Q1135">
        <v>0</v>
      </c>
      <c r="R1135" t="s">
        <v>144</v>
      </c>
    </row>
    <row r="1136" spans="1:18" x14ac:dyDescent="0.25">
      <c r="A1136" t="s">
        <v>1576</v>
      </c>
      <c r="B1136" s="2">
        <v>45471</v>
      </c>
      <c r="C1136" t="s">
        <v>161</v>
      </c>
      <c r="D1136" t="s">
        <v>161</v>
      </c>
      <c r="E1136" t="s">
        <v>142</v>
      </c>
      <c r="F1136">
        <v>0.871</v>
      </c>
      <c r="G1136">
        <v>0</v>
      </c>
      <c r="H1136">
        <v>0</v>
      </c>
      <c r="I1136">
        <v>5</v>
      </c>
      <c r="J1136">
        <v>0</v>
      </c>
      <c r="K1136">
        <v>0</v>
      </c>
      <c r="L1136" t="s">
        <v>1577</v>
      </c>
      <c r="M1136">
        <v>5</v>
      </c>
      <c r="N1136">
        <v>0</v>
      </c>
      <c r="O1136">
        <v>0.9</v>
      </c>
      <c r="P1136" t="s">
        <v>115</v>
      </c>
      <c r="Q1136">
        <v>0</v>
      </c>
      <c r="R1136" t="s">
        <v>144</v>
      </c>
    </row>
    <row r="1137" spans="1:18" x14ac:dyDescent="0.25">
      <c r="A1137" t="s">
        <v>1578</v>
      </c>
      <c r="B1137" s="2">
        <v>45471</v>
      </c>
      <c r="C1137" t="s">
        <v>161</v>
      </c>
      <c r="D1137" t="s">
        <v>161</v>
      </c>
      <c r="E1137" t="s">
        <v>142</v>
      </c>
      <c r="F1137">
        <v>1.3779999999999999</v>
      </c>
      <c r="G1137">
        <v>0</v>
      </c>
      <c r="H1137">
        <v>0</v>
      </c>
      <c r="I1137">
        <v>5</v>
      </c>
      <c r="J1137">
        <v>0</v>
      </c>
      <c r="K1137">
        <v>0</v>
      </c>
      <c r="L1137" t="s">
        <v>1579</v>
      </c>
      <c r="M1137">
        <v>5</v>
      </c>
      <c r="N1137">
        <v>0</v>
      </c>
      <c r="O1137">
        <v>0.9</v>
      </c>
      <c r="P1137" t="s">
        <v>115</v>
      </c>
      <c r="Q1137">
        <v>0</v>
      </c>
      <c r="R1137" t="s">
        <v>144</v>
      </c>
    </row>
    <row r="1138" spans="1:18" x14ac:dyDescent="0.25">
      <c r="A1138" t="s">
        <v>1580</v>
      </c>
      <c r="B1138" s="2">
        <v>45472</v>
      </c>
      <c r="C1138" t="s">
        <v>161</v>
      </c>
      <c r="D1138" t="s">
        <v>161</v>
      </c>
      <c r="E1138" t="s">
        <v>142</v>
      </c>
      <c r="F1138">
        <v>1.121</v>
      </c>
      <c r="G1138">
        <v>0</v>
      </c>
      <c r="H1138">
        <v>0</v>
      </c>
      <c r="I1138">
        <v>5</v>
      </c>
      <c r="J1138">
        <v>0</v>
      </c>
      <c r="K1138">
        <v>0</v>
      </c>
      <c r="L1138" t="s">
        <v>1581</v>
      </c>
      <c r="M1138">
        <v>5</v>
      </c>
      <c r="N1138">
        <v>0</v>
      </c>
      <c r="O1138">
        <v>0.9</v>
      </c>
      <c r="P1138" t="s">
        <v>115</v>
      </c>
      <c r="Q1138">
        <v>0</v>
      </c>
      <c r="R1138" t="s">
        <v>144</v>
      </c>
    </row>
    <row r="1139" spans="1:18" x14ac:dyDescent="0.25">
      <c r="A1139" t="s">
        <v>1582</v>
      </c>
      <c r="B1139" s="2">
        <v>45472</v>
      </c>
      <c r="C1139" t="s">
        <v>161</v>
      </c>
      <c r="D1139" t="s">
        <v>161</v>
      </c>
      <c r="E1139" t="s">
        <v>142</v>
      </c>
      <c r="F1139">
        <v>0.871</v>
      </c>
      <c r="G1139">
        <v>0</v>
      </c>
      <c r="H1139">
        <v>0</v>
      </c>
      <c r="I1139">
        <v>5</v>
      </c>
      <c r="J1139">
        <v>0</v>
      </c>
      <c r="K1139">
        <v>0</v>
      </c>
      <c r="L1139" t="s">
        <v>1583</v>
      </c>
      <c r="M1139">
        <v>5</v>
      </c>
      <c r="N1139">
        <v>0</v>
      </c>
      <c r="O1139">
        <v>0.9</v>
      </c>
      <c r="P1139" t="s">
        <v>115</v>
      </c>
      <c r="Q1139">
        <v>0</v>
      </c>
      <c r="R1139" t="s">
        <v>144</v>
      </c>
    </row>
    <row r="1140" spans="1:18" x14ac:dyDescent="0.25">
      <c r="A1140" t="s">
        <v>1584</v>
      </c>
      <c r="B1140" s="2">
        <v>45472</v>
      </c>
      <c r="C1140" t="s">
        <v>161</v>
      </c>
      <c r="D1140" t="s">
        <v>161</v>
      </c>
      <c r="E1140" t="s">
        <v>142</v>
      </c>
      <c r="F1140">
        <v>10</v>
      </c>
      <c r="G1140">
        <v>9.0289999999999999</v>
      </c>
      <c r="H1140">
        <v>13.5435</v>
      </c>
      <c r="I1140">
        <v>20</v>
      </c>
      <c r="J1140">
        <v>0</v>
      </c>
      <c r="K1140">
        <v>0</v>
      </c>
      <c r="L1140" t="s">
        <v>143</v>
      </c>
      <c r="M1140">
        <v>33.543500000000002</v>
      </c>
      <c r="N1140">
        <v>1</v>
      </c>
      <c r="O1140">
        <v>0.9</v>
      </c>
      <c r="P1140" t="s">
        <v>115</v>
      </c>
      <c r="Q1140">
        <v>0.9</v>
      </c>
      <c r="R1140" t="s">
        <v>144</v>
      </c>
    </row>
    <row r="1141" spans="1:18" x14ac:dyDescent="0.25">
      <c r="A1141" t="s">
        <v>1585</v>
      </c>
      <c r="B1141" s="2">
        <v>45472</v>
      </c>
      <c r="C1141" t="s">
        <v>161</v>
      </c>
      <c r="D1141" t="s">
        <v>161</v>
      </c>
      <c r="E1141" t="s">
        <v>142</v>
      </c>
      <c r="F1141">
        <v>2.3460000000000001</v>
      </c>
      <c r="G1141">
        <v>0</v>
      </c>
      <c r="H1141">
        <v>0</v>
      </c>
      <c r="I1141">
        <v>20</v>
      </c>
      <c r="J1141">
        <v>0</v>
      </c>
      <c r="K1141">
        <v>0</v>
      </c>
      <c r="L1141" t="s">
        <v>143</v>
      </c>
      <c r="M1141">
        <v>20</v>
      </c>
      <c r="N1141">
        <v>1</v>
      </c>
      <c r="O1141">
        <v>0.9</v>
      </c>
      <c r="P1141" t="s">
        <v>115</v>
      </c>
      <c r="Q1141">
        <v>0.9</v>
      </c>
      <c r="R1141" t="s">
        <v>144</v>
      </c>
    </row>
    <row r="1142" spans="1:18" x14ac:dyDescent="0.25">
      <c r="A1142" t="s">
        <v>1586</v>
      </c>
      <c r="B1142" s="2">
        <v>45472</v>
      </c>
      <c r="C1142" t="s">
        <v>161</v>
      </c>
      <c r="D1142" t="s">
        <v>161</v>
      </c>
      <c r="E1142" t="s">
        <v>142</v>
      </c>
      <c r="F1142">
        <v>3.7149999999999999</v>
      </c>
      <c r="G1142">
        <v>0</v>
      </c>
      <c r="H1142">
        <v>0</v>
      </c>
      <c r="I1142">
        <v>20</v>
      </c>
      <c r="J1142">
        <v>0</v>
      </c>
      <c r="K1142">
        <v>0</v>
      </c>
      <c r="L1142" t="s">
        <v>143</v>
      </c>
      <c r="M1142">
        <v>20</v>
      </c>
      <c r="N1142">
        <v>1</v>
      </c>
      <c r="O1142">
        <v>0.9</v>
      </c>
      <c r="P1142" t="s">
        <v>115</v>
      </c>
      <c r="Q1142">
        <v>0.9</v>
      </c>
      <c r="R1142" t="s">
        <v>144</v>
      </c>
    </row>
    <row r="1143" spans="1:18" x14ac:dyDescent="0.25">
      <c r="A1143" t="s">
        <v>1587</v>
      </c>
      <c r="B1143" s="2">
        <v>45472</v>
      </c>
      <c r="C1143" t="s">
        <v>161</v>
      </c>
      <c r="D1143" t="s">
        <v>161</v>
      </c>
      <c r="E1143" t="s">
        <v>142</v>
      </c>
      <c r="F1143">
        <v>2.0190000000000001</v>
      </c>
      <c r="G1143">
        <v>0</v>
      </c>
      <c r="H1143">
        <v>0</v>
      </c>
      <c r="I1143">
        <v>20</v>
      </c>
      <c r="J1143">
        <v>0</v>
      </c>
      <c r="K1143">
        <v>0</v>
      </c>
      <c r="L1143" t="s">
        <v>143</v>
      </c>
      <c r="M1143">
        <v>20</v>
      </c>
      <c r="N1143">
        <v>1</v>
      </c>
      <c r="O1143">
        <v>0.9</v>
      </c>
      <c r="P1143" t="s">
        <v>115</v>
      </c>
      <c r="Q1143">
        <v>0.9</v>
      </c>
      <c r="R1143" t="s">
        <v>144</v>
      </c>
    </row>
    <row r="1144" spans="1:18" x14ac:dyDescent="0.25">
      <c r="A1144" t="s">
        <v>1588</v>
      </c>
      <c r="B1144" s="2">
        <v>45472</v>
      </c>
      <c r="C1144" t="s">
        <v>161</v>
      </c>
      <c r="D1144" t="s">
        <v>161</v>
      </c>
      <c r="E1144" t="s">
        <v>142</v>
      </c>
      <c r="F1144">
        <v>0.81</v>
      </c>
      <c r="G1144">
        <v>0</v>
      </c>
      <c r="H1144">
        <v>0</v>
      </c>
      <c r="I1144">
        <v>20</v>
      </c>
      <c r="J1144">
        <v>0</v>
      </c>
      <c r="K1144">
        <v>0</v>
      </c>
      <c r="L1144" t="s">
        <v>143</v>
      </c>
      <c r="M1144">
        <v>20</v>
      </c>
      <c r="N1144">
        <v>1</v>
      </c>
      <c r="O1144">
        <v>0.9</v>
      </c>
      <c r="P1144" t="s">
        <v>115</v>
      </c>
      <c r="Q1144">
        <v>0.9</v>
      </c>
      <c r="R1144" t="s">
        <v>144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H174"/>
  <sheetViews>
    <sheetView workbookViewId="0"/>
  </sheetViews>
  <sheetFormatPr defaultRowHeight="15" x14ac:dyDescent="0.25"/>
  <cols>
    <col min="1" max="1" width="10.7109375" bestFit="1" customWidth="1"/>
    <col min="2" max="2" width="15" bestFit="1" customWidth="1"/>
    <col min="3" max="3" width="19.42578125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1406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" bestFit="1" customWidth="1"/>
    <col min="28" max="28" width="10.28515625" bestFit="1" customWidth="1"/>
    <col min="29" max="30" width="19.85546875" bestFit="1" customWidth="1"/>
    <col min="31" max="31" width="11.7109375" bestFit="1" customWidth="1"/>
    <col min="32" max="32" width="26.140625" bestFit="1" customWidth="1"/>
    <col min="33" max="33" width="30.5703125" bestFit="1" customWidth="1"/>
    <col min="34" max="34" width="18.7109375" bestFit="1" customWidth="1"/>
    <col min="35" max="35" width="17.5703125" bestFit="1" customWidth="1"/>
    <col min="36" max="36" width="28.7109375" bestFit="1" customWidth="1"/>
    <col min="37" max="38" width="17.5703125" bestFit="1" customWidth="1"/>
    <col min="39" max="39" width="19.28515625" bestFit="1" customWidth="1"/>
    <col min="40" max="40" width="18" bestFit="1" customWidth="1"/>
    <col min="41" max="41" width="11.28515625" bestFit="1" customWidth="1"/>
    <col min="42" max="42" width="19.28515625" bestFit="1" customWidth="1"/>
    <col min="43" max="43" width="18" bestFit="1" customWidth="1"/>
    <col min="44" max="44" width="10.7109375" bestFit="1" customWidth="1"/>
    <col min="45" max="45" width="14.7109375" bestFit="1" customWidth="1"/>
    <col min="46" max="46" width="13.7109375" bestFit="1" customWidth="1"/>
    <col min="47" max="47" width="8.85546875" bestFit="1" customWidth="1"/>
    <col min="48" max="48" width="16" bestFit="1" customWidth="1"/>
    <col min="49" max="49" width="18.140625" bestFit="1" customWidth="1"/>
    <col min="50" max="50" width="17" bestFit="1" customWidth="1"/>
    <col min="51" max="52" width="18.42578125" bestFit="1" customWidth="1"/>
    <col min="53" max="53" width="17.42578125" bestFit="1" customWidth="1"/>
    <col min="54" max="54" width="11.7109375" bestFit="1" customWidth="1"/>
    <col min="55" max="55" width="12.42578125" bestFit="1" customWidth="1"/>
    <col min="56" max="56" width="22.140625" bestFit="1" customWidth="1"/>
    <col min="57" max="57" width="18.5703125" bestFit="1" customWidth="1"/>
    <col min="58" max="58" width="11.42578125" bestFit="1" customWidth="1"/>
    <col min="59" max="59" width="15.5703125" bestFit="1" customWidth="1"/>
    <col min="60" max="60" width="14.28515625" bestFit="1" customWidth="1"/>
    <col min="61" max="61" width="10" bestFit="1" customWidth="1"/>
    <col min="62" max="62" width="18.5703125" bestFit="1" customWidth="1"/>
    <col min="63" max="63" width="18.28515625" bestFit="1" customWidth="1"/>
    <col min="64" max="64" width="11.5703125" bestFit="1" customWidth="1"/>
    <col min="65" max="65" width="10.7109375" bestFit="1" customWidth="1"/>
    <col min="66" max="66" width="22.28515625" bestFit="1" customWidth="1"/>
  </cols>
  <sheetData>
    <row r="1" spans="1:34" x14ac:dyDescent="0.25">
      <c r="A1" t="s">
        <v>35</v>
      </c>
      <c r="B1" t="s">
        <v>162</v>
      </c>
      <c r="C1" t="s">
        <v>163</v>
      </c>
      <c r="D1" t="s">
        <v>38</v>
      </c>
      <c r="E1" t="s">
        <v>164</v>
      </c>
      <c r="F1" t="s">
        <v>165</v>
      </c>
      <c r="G1" t="s">
        <v>166</v>
      </c>
      <c r="H1" t="s">
        <v>167</v>
      </c>
      <c r="I1" t="s">
        <v>39</v>
      </c>
      <c r="J1" t="s">
        <v>168</v>
      </c>
      <c r="K1" t="s">
        <v>169</v>
      </c>
      <c r="L1" t="s">
        <v>9</v>
      </c>
      <c r="M1" t="s">
        <v>170</v>
      </c>
      <c r="N1" t="s">
        <v>36</v>
      </c>
      <c r="O1" t="s">
        <v>37</v>
      </c>
      <c r="P1" t="s">
        <v>171</v>
      </c>
      <c r="Q1" t="s">
        <v>1704</v>
      </c>
      <c r="R1" t="s">
        <v>172</v>
      </c>
      <c r="S1" t="s">
        <v>173</v>
      </c>
      <c r="T1" t="s">
        <v>174</v>
      </c>
      <c r="U1" t="s">
        <v>40</v>
      </c>
      <c r="V1" t="s">
        <v>175</v>
      </c>
      <c r="W1" t="s">
        <v>176</v>
      </c>
      <c r="X1" t="s">
        <v>177</v>
      </c>
      <c r="Y1" t="s">
        <v>180</v>
      </c>
      <c r="Z1" t="s">
        <v>181</v>
      </c>
      <c r="AA1" t="s">
        <v>42</v>
      </c>
      <c r="AB1" t="s">
        <v>178</v>
      </c>
      <c r="AC1" t="s">
        <v>182</v>
      </c>
      <c r="AD1" t="s">
        <v>183</v>
      </c>
      <c r="AE1" t="s">
        <v>8</v>
      </c>
      <c r="AF1" t="s">
        <v>41</v>
      </c>
      <c r="AG1" t="s">
        <v>16</v>
      </c>
      <c r="AH1" t="s">
        <v>184</v>
      </c>
    </row>
    <row r="2" spans="1:34" x14ac:dyDescent="0.25">
      <c r="A2" s="2">
        <v>45642</v>
      </c>
      <c r="B2" t="s">
        <v>1828</v>
      </c>
      <c r="C2" t="s">
        <v>1829</v>
      </c>
      <c r="D2">
        <v>67</v>
      </c>
      <c r="E2">
        <v>0.96153846153846156</v>
      </c>
      <c r="F2">
        <v>1.3333333333333334E-2</v>
      </c>
      <c r="G2">
        <v>41.72</v>
      </c>
      <c r="H2">
        <v>0</v>
      </c>
      <c r="I2">
        <v>41.72</v>
      </c>
      <c r="J2">
        <v>817.16</v>
      </c>
      <c r="K2">
        <v>46.38</v>
      </c>
      <c r="L2">
        <v>0</v>
      </c>
      <c r="M2" t="s">
        <v>1830</v>
      </c>
      <c r="N2">
        <v>16</v>
      </c>
      <c r="O2">
        <v>51</v>
      </c>
      <c r="P2">
        <v>37.700000000000003</v>
      </c>
      <c r="Q2">
        <v>0</v>
      </c>
      <c r="R2">
        <v>4.0199999999999996</v>
      </c>
      <c r="S2">
        <v>21.59</v>
      </c>
      <c r="T2">
        <v>19.100000000000001</v>
      </c>
      <c r="U2">
        <v>1.61</v>
      </c>
      <c r="V2">
        <v>75</v>
      </c>
      <c r="W2">
        <v>3</v>
      </c>
      <c r="X2">
        <v>1</v>
      </c>
      <c r="Y2">
        <v>41.72</v>
      </c>
      <c r="Z2">
        <v>0</v>
      </c>
      <c r="AA2" t="s">
        <v>114</v>
      </c>
      <c r="AB2">
        <v>0</v>
      </c>
      <c r="AC2">
        <v>0.1</v>
      </c>
      <c r="AD2">
        <v>0.05</v>
      </c>
      <c r="AE2">
        <v>41.72</v>
      </c>
      <c r="AF2" t="s">
        <v>1725</v>
      </c>
      <c r="AG2" t="s">
        <v>1601</v>
      </c>
      <c r="AH2">
        <v>0.7</v>
      </c>
    </row>
    <row r="3" spans="1:34" x14ac:dyDescent="0.25">
      <c r="A3" s="2">
        <v>45642</v>
      </c>
      <c r="B3" t="s">
        <v>1907</v>
      </c>
      <c r="C3" t="s">
        <v>1908</v>
      </c>
      <c r="D3">
        <v>43</v>
      </c>
      <c r="E3">
        <v>1</v>
      </c>
      <c r="F3">
        <v>0</v>
      </c>
      <c r="G3">
        <v>34.65</v>
      </c>
      <c r="H3">
        <v>2.59</v>
      </c>
      <c r="I3">
        <v>32.06</v>
      </c>
      <c r="J3">
        <v>608.04</v>
      </c>
      <c r="K3">
        <v>28</v>
      </c>
      <c r="L3">
        <v>21.5</v>
      </c>
      <c r="M3" t="s">
        <v>1909</v>
      </c>
      <c r="N3">
        <v>5</v>
      </c>
      <c r="O3">
        <v>38</v>
      </c>
      <c r="P3">
        <v>29.8</v>
      </c>
      <c r="Q3">
        <v>0</v>
      </c>
      <c r="R3">
        <v>2.2599999999999998</v>
      </c>
      <c r="S3">
        <v>8.51</v>
      </c>
      <c r="T3">
        <v>7.52</v>
      </c>
      <c r="U3">
        <v>1.24</v>
      </c>
      <c r="V3">
        <v>63</v>
      </c>
      <c r="W3">
        <v>0</v>
      </c>
      <c r="X3">
        <v>0</v>
      </c>
      <c r="Y3">
        <v>32.06</v>
      </c>
      <c r="Z3">
        <v>0</v>
      </c>
      <c r="AA3" t="s">
        <v>114</v>
      </c>
      <c r="AB3">
        <v>0</v>
      </c>
      <c r="AC3">
        <v>0.1</v>
      </c>
      <c r="AD3">
        <v>0.05</v>
      </c>
      <c r="AE3">
        <v>32.06</v>
      </c>
      <c r="AF3" t="s">
        <v>1709</v>
      </c>
      <c r="AG3" t="s">
        <v>1601</v>
      </c>
      <c r="AH3">
        <v>0.7</v>
      </c>
    </row>
    <row r="4" spans="1:34" x14ac:dyDescent="0.25">
      <c r="A4" s="2">
        <v>45649</v>
      </c>
      <c r="B4" t="s">
        <v>1828</v>
      </c>
      <c r="C4" t="s">
        <v>1829</v>
      </c>
      <c r="D4">
        <v>27</v>
      </c>
      <c r="E4">
        <v>0.97222222222222221</v>
      </c>
      <c r="F4">
        <v>0</v>
      </c>
      <c r="G4">
        <v>16.68</v>
      </c>
      <c r="H4">
        <v>1.41</v>
      </c>
      <c r="I4">
        <v>15.27</v>
      </c>
      <c r="J4">
        <v>302.57</v>
      </c>
      <c r="K4">
        <v>32.9</v>
      </c>
      <c r="L4">
        <v>9.5</v>
      </c>
      <c r="M4" t="s">
        <v>1830</v>
      </c>
      <c r="N4">
        <v>0</v>
      </c>
      <c r="O4">
        <v>27</v>
      </c>
      <c r="P4">
        <v>12.54</v>
      </c>
      <c r="Q4">
        <v>0</v>
      </c>
      <c r="R4">
        <v>2.73</v>
      </c>
      <c r="S4">
        <v>7.22</v>
      </c>
      <c r="T4">
        <v>4.53</v>
      </c>
      <c r="U4">
        <v>1.62</v>
      </c>
      <c r="V4">
        <v>35</v>
      </c>
      <c r="W4">
        <v>1</v>
      </c>
      <c r="X4">
        <v>0</v>
      </c>
      <c r="Y4">
        <v>15.27</v>
      </c>
      <c r="Z4">
        <v>0</v>
      </c>
      <c r="AA4" t="s">
        <v>115</v>
      </c>
      <c r="AB4">
        <v>0</v>
      </c>
      <c r="AC4">
        <v>0.1</v>
      </c>
      <c r="AD4">
        <v>0.05</v>
      </c>
      <c r="AE4">
        <v>15.27</v>
      </c>
      <c r="AF4" t="s">
        <v>1725</v>
      </c>
      <c r="AG4" t="s">
        <v>1601</v>
      </c>
      <c r="AH4">
        <v>0.7</v>
      </c>
    </row>
    <row r="5" spans="1:34" x14ac:dyDescent="0.25">
      <c r="A5" s="2">
        <v>45649</v>
      </c>
      <c r="B5" t="s">
        <v>1907</v>
      </c>
      <c r="C5" t="s">
        <v>1908</v>
      </c>
      <c r="D5">
        <v>35</v>
      </c>
      <c r="E5">
        <v>1</v>
      </c>
      <c r="F5">
        <v>0</v>
      </c>
      <c r="G5">
        <v>36.26</v>
      </c>
      <c r="H5">
        <v>7.97</v>
      </c>
      <c r="I5">
        <v>28.29</v>
      </c>
      <c r="J5">
        <v>542.97</v>
      </c>
      <c r="K5">
        <v>60.26</v>
      </c>
      <c r="L5">
        <v>12</v>
      </c>
      <c r="M5" t="s">
        <v>1909</v>
      </c>
      <c r="N5">
        <v>4</v>
      </c>
      <c r="O5">
        <v>31</v>
      </c>
      <c r="P5">
        <v>25.15</v>
      </c>
      <c r="Q5">
        <v>0</v>
      </c>
      <c r="R5">
        <v>3.14</v>
      </c>
      <c r="S5">
        <v>8.89</v>
      </c>
      <c r="T5">
        <v>6.63</v>
      </c>
      <c r="U5">
        <v>0.97</v>
      </c>
      <c r="V5">
        <v>36</v>
      </c>
      <c r="W5">
        <v>0</v>
      </c>
      <c r="X5">
        <v>0</v>
      </c>
      <c r="Y5">
        <v>28.29</v>
      </c>
      <c r="Z5">
        <v>0</v>
      </c>
      <c r="AA5" t="s">
        <v>115</v>
      </c>
      <c r="AB5">
        <v>0</v>
      </c>
      <c r="AC5">
        <v>0.1</v>
      </c>
      <c r="AD5">
        <v>0.05</v>
      </c>
      <c r="AE5">
        <v>28.29</v>
      </c>
      <c r="AF5" t="s">
        <v>1709</v>
      </c>
      <c r="AG5" t="s">
        <v>1601</v>
      </c>
      <c r="AH5">
        <v>0.7</v>
      </c>
    </row>
    <row r="6" spans="1:34" x14ac:dyDescent="0.25">
      <c r="A6" s="2">
        <v>45642</v>
      </c>
      <c r="B6" t="s">
        <v>2001</v>
      </c>
      <c r="C6" t="s">
        <v>2002</v>
      </c>
      <c r="D6">
        <v>115</v>
      </c>
      <c r="E6">
        <v>1</v>
      </c>
      <c r="F6">
        <v>7.1942446043165471E-3</v>
      </c>
      <c r="G6">
        <v>64.88</v>
      </c>
      <c r="H6">
        <v>3.62</v>
      </c>
      <c r="I6">
        <v>61.26</v>
      </c>
      <c r="J6">
        <v>1436.22</v>
      </c>
      <c r="K6">
        <v>83.11</v>
      </c>
      <c r="L6">
        <v>15.6</v>
      </c>
      <c r="M6" t="s">
        <v>1834</v>
      </c>
      <c r="N6">
        <v>5</v>
      </c>
      <c r="O6">
        <v>110</v>
      </c>
      <c r="P6">
        <v>57.7</v>
      </c>
      <c r="Q6">
        <v>0</v>
      </c>
      <c r="R6">
        <v>3.56</v>
      </c>
      <c r="S6">
        <v>6.98</v>
      </c>
      <c r="T6">
        <v>6.77</v>
      </c>
      <c r="U6">
        <v>1.77</v>
      </c>
      <c r="V6">
        <v>139</v>
      </c>
      <c r="W6">
        <v>0</v>
      </c>
      <c r="X6">
        <v>1</v>
      </c>
      <c r="Y6">
        <v>61.26</v>
      </c>
      <c r="Z6">
        <v>0</v>
      </c>
      <c r="AA6" t="s">
        <v>114</v>
      </c>
      <c r="AB6">
        <v>0</v>
      </c>
      <c r="AC6">
        <v>0.1</v>
      </c>
      <c r="AD6">
        <v>0.05</v>
      </c>
      <c r="AE6">
        <v>61.26</v>
      </c>
      <c r="AF6" t="s">
        <v>1732</v>
      </c>
      <c r="AG6" t="s">
        <v>1600</v>
      </c>
      <c r="AH6">
        <v>0.7</v>
      </c>
    </row>
    <row r="7" spans="1:34" x14ac:dyDescent="0.25">
      <c r="A7" s="2">
        <v>45642</v>
      </c>
      <c r="B7" t="s">
        <v>1852</v>
      </c>
      <c r="C7" t="s">
        <v>1853</v>
      </c>
      <c r="D7">
        <v>30</v>
      </c>
      <c r="E7">
        <v>1</v>
      </c>
      <c r="F7">
        <v>0</v>
      </c>
      <c r="G7">
        <v>14.46</v>
      </c>
      <c r="H7">
        <v>0.01</v>
      </c>
      <c r="I7">
        <v>14.450000000000001</v>
      </c>
      <c r="J7">
        <v>335.19</v>
      </c>
      <c r="K7">
        <v>0</v>
      </c>
      <c r="L7">
        <v>6.5</v>
      </c>
      <c r="M7" t="s">
        <v>1854</v>
      </c>
      <c r="N7">
        <v>2</v>
      </c>
      <c r="O7">
        <v>28</v>
      </c>
      <c r="P7">
        <v>14.16</v>
      </c>
      <c r="Q7">
        <v>0</v>
      </c>
      <c r="R7">
        <v>0.28999999999999998</v>
      </c>
      <c r="S7">
        <v>0</v>
      </c>
      <c r="T7">
        <v>0</v>
      </c>
      <c r="U7">
        <v>2.0699999999999998</v>
      </c>
      <c r="V7">
        <v>42</v>
      </c>
      <c r="W7">
        <v>0</v>
      </c>
      <c r="X7">
        <v>0</v>
      </c>
      <c r="Y7">
        <v>14.450000000000001</v>
      </c>
      <c r="Z7">
        <v>0</v>
      </c>
      <c r="AA7" t="s">
        <v>114</v>
      </c>
      <c r="AB7">
        <v>0</v>
      </c>
      <c r="AC7">
        <v>0.1</v>
      </c>
      <c r="AD7">
        <v>0.05</v>
      </c>
      <c r="AE7">
        <v>14.450000000000001</v>
      </c>
      <c r="AF7" t="s">
        <v>1718</v>
      </c>
      <c r="AG7" t="s">
        <v>1599</v>
      </c>
      <c r="AH7">
        <v>0.7</v>
      </c>
    </row>
    <row r="8" spans="1:34" x14ac:dyDescent="0.25">
      <c r="A8" s="2">
        <v>45649</v>
      </c>
      <c r="B8" t="s">
        <v>2001</v>
      </c>
      <c r="C8" t="s">
        <v>2002</v>
      </c>
      <c r="D8">
        <v>92</v>
      </c>
      <c r="E8">
        <v>1</v>
      </c>
      <c r="F8">
        <v>0.01</v>
      </c>
      <c r="G8">
        <v>44.08</v>
      </c>
      <c r="H8">
        <v>0</v>
      </c>
      <c r="I8">
        <v>44.08</v>
      </c>
      <c r="J8">
        <v>1015.77</v>
      </c>
      <c r="K8">
        <v>95.04</v>
      </c>
      <c r="L8">
        <v>0</v>
      </c>
      <c r="M8" t="s">
        <v>1834</v>
      </c>
      <c r="N8">
        <v>4</v>
      </c>
      <c r="O8">
        <v>88</v>
      </c>
      <c r="P8">
        <v>40.53</v>
      </c>
      <c r="Q8">
        <v>0</v>
      </c>
      <c r="R8">
        <v>3.55</v>
      </c>
      <c r="S8">
        <v>7.33</v>
      </c>
      <c r="T8">
        <v>6.48</v>
      </c>
      <c r="U8">
        <v>2.09</v>
      </c>
      <c r="V8">
        <v>100</v>
      </c>
      <c r="W8">
        <v>0</v>
      </c>
      <c r="X8">
        <v>1</v>
      </c>
      <c r="Y8">
        <v>44.08</v>
      </c>
      <c r="Z8">
        <v>0</v>
      </c>
      <c r="AA8" t="s">
        <v>115</v>
      </c>
      <c r="AB8">
        <v>0</v>
      </c>
      <c r="AC8">
        <v>0.1</v>
      </c>
      <c r="AD8">
        <v>0.05</v>
      </c>
      <c r="AE8">
        <v>44.08</v>
      </c>
      <c r="AF8" t="s">
        <v>1732</v>
      </c>
      <c r="AG8" t="s">
        <v>1600</v>
      </c>
      <c r="AH8">
        <v>0.7</v>
      </c>
    </row>
    <row r="9" spans="1:34" x14ac:dyDescent="0.25">
      <c r="A9" s="2">
        <v>45642</v>
      </c>
      <c r="B9" t="s">
        <v>1883</v>
      </c>
      <c r="C9" t="s">
        <v>1884</v>
      </c>
      <c r="D9">
        <v>68</v>
      </c>
      <c r="E9">
        <v>0.99038461538461542</v>
      </c>
      <c r="F9">
        <v>4.8543689320388349E-2</v>
      </c>
      <c r="G9">
        <v>45.64</v>
      </c>
      <c r="H9">
        <v>1.04</v>
      </c>
      <c r="I9">
        <v>44.6</v>
      </c>
      <c r="J9">
        <v>822.73</v>
      </c>
      <c r="K9">
        <v>34.299999999999997</v>
      </c>
      <c r="L9">
        <v>7.6</v>
      </c>
      <c r="M9" t="s">
        <v>1885</v>
      </c>
      <c r="N9">
        <v>8</v>
      </c>
      <c r="O9">
        <v>60</v>
      </c>
      <c r="P9">
        <v>39.67</v>
      </c>
      <c r="Q9">
        <v>0</v>
      </c>
      <c r="R9">
        <v>4.92</v>
      </c>
      <c r="S9">
        <v>6.81</v>
      </c>
      <c r="T9">
        <v>6.25</v>
      </c>
      <c r="U9">
        <v>1.49</v>
      </c>
      <c r="V9">
        <v>103</v>
      </c>
      <c r="W9">
        <v>1</v>
      </c>
      <c r="X9">
        <v>5</v>
      </c>
      <c r="Y9">
        <v>0</v>
      </c>
      <c r="Z9">
        <v>0</v>
      </c>
      <c r="AA9" t="s">
        <v>114</v>
      </c>
      <c r="AB9">
        <v>44.6</v>
      </c>
      <c r="AC9">
        <v>0.1</v>
      </c>
      <c r="AD9">
        <v>0.05</v>
      </c>
      <c r="AE9">
        <v>0</v>
      </c>
      <c r="AF9" t="s">
        <v>1680</v>
      </c>
      <c r="AG9" t="s">
        <v>1600</v>
      </c>
      <c r="AH9">
        <v>0.7</v>
      </c>
    </row>
    <row r="10" spans="1:34" x14ac:dyDescent="0.25">
      <c r="A10" s="2">
        <v>45642</v>
      </c>
      <c r="B10" t="s">
        <v>2120</v>
      </c>
      <c r="C10" t="s">
        <v>2013</v>
      </c>
      <c r="D10">
        <v>0</v>
      </c>
      <c r="E10">
        <v>0.66666666666666663</v>
      </c>
      <c r="F10">
        <v>0.5</v>
      </c>
      <c r="G10">
        <v>0.3</v>
      </c>
      <c r="H10">
        <v>0.1</v>
      </c>
      <c r="I10">
        <v>0.19999999999999998</v>
      </c>
      <c r="J10">
        <v>0</v>
      </c>
      <c r="K10">
        <v>0</v>
      </c>
      <c r="L10">
        <v>0</v>
      </c>
      <c r="M10" t="s">
        <v>2121</v>
      </c>
      <c r="N10">
        <v>0</v>
      </c>
      <c r="O10">
        <v>0</v>
      </c>
      <c r="P10">
        <v>0.09</v>
      </c>
      <c r="Q10">
        <v>1</v>
      </c>
      <c r="R10">
        <v>0.11</v>
      </c>
      <c r="S10">
        <v>0.3</v>
      </c>
      <c r="T10">
        <v>0.09</v>
      </c>
      <c r="U10">
        <v>0</v>
      </c>
      <c r="V10">
        <v>2</v>
      </c>
      <c r="W10">
        <v>0</v>
      </c>
      <c r="X10">
        <v>1</v>
      </c>
      <c r="Y10">
        <v>0</v>
      </c>
      <c r="Z10">
        <v>0</v>
      </c>
      <c r="AA10" t="s">
        <v>114</v>
      </c>
      <c r="AB10">
        <v>0.19999999999999998</v>
      </c>
      <c r="AC10">
        <v>0.1</v>
      </c>
      <c r="AD10">
        <v>0.05</v>
      </c>
      <c r="AE10">
        <v>0</v>
      </c>
      <c r="AF10" t="s">
        <v>2019</v>
      </c>
      <c r="AG10" t="s">
        <v>1599</v>
      </c>
      <c r="AH10">
        <v>0.7</v>
      </c>
    </row>
    <row r="11" spans="1:34" x14ac:dyDescent="0.25">
      <c r="A11" s="2">
        <v>45649</v>
      </c>
      <c r="B11" t="s">
        <v>1883</v>
      </c>
      <c r="C11" t="s">
        <v>1884</v>
      </c>
      <c r="D11">
        <v>88</v>
      </c>
      <c r="E11">
        <v>0.97560975609756095</v>
      </c>
      <c r="F11">
        <v>3.3333333333333333E-2</v>
      </c>
      <c r="G11">
        <v>49.09</v>
      </c>
      <c r="H11">
        <v>0</v>
      </c>
      <c r="I11">
        <v>49.09</v>
      </c>
      <c r="J11">
        <v>869.89</v>
      </c>
      <c r="K11">
        <v>46.78</v>
      </c>
      <c r="L11">
        <v>12</v>
      </c>
      <c r="M11" t="s">
        <v>1885</v>
      </c>
      <c r="N11">
        <v>8</v>
      </c>
      <c r="O11">
        <v>80</v>
      </c>
      <c r="P11">
        <v>44.38</v>
      </c>
      <c r="Q11">
        <v>0</v>
      </c>
      <c r="R11">
        <v>4.71</v>
      </c>
      <c r="S11">
        <v>5.95</v>
      </c>
      <c r="T11">
        <v>5.17</v>
      </c>
      <c r="U11">
        <v>1.79</v>
      </c>
      <c r="V11">
        <v>120</v>
      </c>
      <c r="W11">
        <v>3</v>
      </c>
      <c r="X11">
        <v>4</v>
      </c>
      <c r="Y11">
        <v>49.09</v>
      </c>
      <c r="Z11">
        <v>0</v>
      </c>
      <c r="AA11" t="s">
        <v>115</v>
      </c>
      <c r="AB11">
        <v>0</v>
      </c>
      <c r="AC11">
        <v>0.1</v>
      </c>
      <c r="AD11">
        <v>0.05</v>
      </c>
      <c r="AE11">
        <v>49.09</v>
      </c>
      <c r="AF11" t="s">
        <v>1680</v>
      </c>
      <c r="AG11" t="s">
        <v>1600</v>
      </c>
      <c r="AH11">
        <v>0.7</v>
      </c>
    </row>
    <row r="12" spans="1:34" x14ac:dyDescent="0.25">
      <c r="A12" s="2">
        <v>45642</v>
      </c>
      <c r="B12" t="s">
        <v>1831</v>
      </c>
      <c r="C12" t="s">
        <v>1832</v>
      </c>
      <c r="D12">
        <v>34</v>
      </c>
      <c r="E12">
        <v>0.95121951219512191</v>
      </c>
      <c r="F12">
        <v>7.6923076923076927E-2</v>
      </c>
      <c r="G12">
        <v>18.989999999999998</v>
      </c>
      <c r="H12">
        <v>0</v>
      </c>
      <c r="I12">
        <v>18.989999999999998</v>
      </c>
      <c r="J12">
        <v>381.43</v>
      </c>
      <c r="K12">
        <v>50.69</v>
      </c>
      <c r="L12">
        <v>0</v>
      </c>
      <c r="M12" t="s">
        <v>1833</v>
      </c>
      <c r="N12">
        <v>4</v>
      </c>
      <c r="O12">
        <v>30</v>
      </c>
      <c r="P12">
        <v>16.059999999999999</v>
      </c>
      <c r="Q12">
        <v>0</v>
      </c>
      <c r="R12">
        <v>2.93</v>
      </c>
      <c r="S12">
        <v>6.04</v>
      </c>
      <c r="T12">
        <v>5.24</v>
      </c>
      <c r="U12">
        <v>1.79</v>
      </c>
      <c r="V12">
        <v>39</v>
      </c>
      <c r="W12">
        <v>2</v>
      </c>
      <c r="X12">
        <v>3</v>
      </c>
      <c r="Y12">
        <v>0</v>
      </c>
      <c r="Z12">
        <v>0</v>
      </c>
      <c r="AA12" t="s">
        <v>114</v>
      </c>
      <c r="AB12">
        <v>18.989999999999998</v>
      </c>
      <c r="AC12">
        <v>0.1</v>
      </c>
      <c r="AD12">
        <v>0.05</v>
      </c>
      <c r="AE12">
        <v>0</v>
      </c>
      <c r="AF12" t="s">
        <v>1613</v>
      </c>
      <c r="AG12" t="s">
        <v>1599</v>
      </c>
      <c r="AH12">
        <v>0.7</v>
      </c>
    </row>
    <row r="13" spans="1:34" x14ac:dyDescent="0.25">
      <c r="A13" s="2">
        <v>45649</v>
      </c>
      <c r="B13" t="s">
        <v>1845</v>
      </c>
      <c r="C13" t="s">
        <v>1846</v>
      </c>
      <c r="D13">
        <v>64</v>
      </c>
      <c r="E13">
        <v>1</v>
      </c>
      <c r="F13">
        <v>1.4492753623188406E-2</v>
      </c>
      <c r="G13">
        <v>29.68</v>
      </c>
      <c r="H13">
        <v>0.68</v>
      </c>
      <c r="I13">
        <v>29</v>
      </c>
      <c r="J13">
        <v>745.1</v>
      </c>
      <c r="K13">
        <v>22</v>
      </c>
      <c r="L13">
        <v>7.5</v>
      </c>
      <c r="M13" t="s">
        <v>1847</v>
      </c>
      <c r="N13">
        <v>7</v>
      </c>
      <c r="O13">
        <v>57</v>
      </c>
      <c r="P13">
        <v>27.75</v>
      </c>
      <c r="Q13">
        <v>0</v>
      </c>
      <c r="R13">
        <v>1.25</v>
      </c>
      <c r="S13">
        <v>3.39</v>
      </c>
      <c r="T13">
        <v>3.2</v>
      </c>
      <c r="U13">
        <v>2.16</v>
      </c>
      <c r="V13">
        <v>69</v>
      </c>
      <c r="W13">
        <v>0</v>
      </c>
      <c r="X13">
        <v>1</v>
      </c>
      <c r="Y13">
        <v>29</v>
      </c>
      <c r="Z13">
        <v>0</v>
      </c>
      <c r="AA13" t="s">
        <v>115</v>
      </c>
      <c r="AB13">
        <v>0</v>
      </c>
      <c r="AC13">
        <v>0.1</v>
      </c>
      <c r="AD13">
        <v>0.05</v>
      </c>
      <c r="AE13">
        <v>29</v>
      </c>
      <c r="AF13" t="s">
        <v>1615</v>
      </c>
      <c r="AG13" t="s">
        <v>1599</v>
      </c>
      <c r="AH13">
        <v>0.7</v>
      </c>
    </row>
    <row r="14" spans="1:34" x14ac:dyDescent="0.25">
      <c r="A14" s="2">
        <v>45649</v>
      </c>
      <c r="B14" t="s">
        <v>1831</v>
      </c>
      <c r="C14" t="s">
        <v>1832</v>
      </c>
      <c r="D14">
        <v>20</v>
      </c>
      <c r="E14">
        <v>0.82608695652173914</v>
      </c>
      <c r="F14">
        <v>0</v>
      </c>
      <c r="G14">
        <v>10.06</v>
      </c>
      <c r="H14">
        <v>0</v>
      </c>
      <c r="I14">
        <v>10.06</v>
      </c>
      <c r="J14">
        <v>240.65</v>
      </c>
      <c r="K14">
        <v>9.09</v>
      </c>
      <c r="L14">
        <v>0</v>
      </c>
      <c r="M14" t="s">
        <v>1833</v>
      </c>
      <c r="N14">
        <v>3</v>
      </c>
      <c r="O14">
        <v>17</v>
      </c>
      <c r="P14">
        <v>9.56</v>
      </c>
      <c r="Q14">
        <v>0</v>
      </c>
      <c r="R14">
        <v>0.5</v>
      </c>
      <c r="S14">
        <v>0</v>
      </c>
      <c r="T14">
        <v>0</v>
      </c>
      <c r="U14">
        <v>1.99</v>
      </c>
      <c r="V14">
        <v>19</v>
      </c>
      <c r="W14">
        <v>4</v>
      </c>
      <c r="X14">
        <v>0</v>
      </c>
      <c r="Y14">
        <v>0</v>
      </c>
      <c r="Z14">
        <v>0</v>
      </c>
      <c r="AA14" t="s">
        <v>115</v>
      </c>
      <c r="AB14">
        <v>10.06</v>
      </c>
      <c r="AC14">
        <v>0.1</v>
      </c>
      <c r="AD14">
        <v>0.05</v>
      </c>
      <c r="AE14">
        <v>0</v>
      </c>
      <c r="AF14" t="s">
        <v>1613</v>
      </c>
      <c r="AG14" t="s">
        <v>1599</v>
      </c>
      <c r="AH14">
        <v>0.7</v>
      </c>
    </row>
    <row r="15" spans="1:34" x14ac:dyDescent="0.25">
      <c r="A15" s="2">
        <v>45642</v>
      </c>
      <c r="B15" t="s">
        <v>1858</v>
      </c>
      <c r="C15" t="s">
        <v>1859</v>
      </c>
      <c r="D15">
        <v>52</v>
      </c>
      <c r="E15">
        <v>1</v>
      </c>
      <c r="F15">
        <v>4.6728971962616821E-2</v>
      </c>
      <c r="G15">
        <v>43.23</v>
      </c>
      <c r="H15">
        <v>0.73</v>
      </c>
      <c r="I15">
        <v>42.5</v>
      </c>
      <c r="J15">
        <v>530.22</v>
      </c>
      <c r="K15">
        <v>14</v>
      </c>
      <c r="L15">
        <v>6</v>
      </c>
      <c r="M15" t="s">
        <v>1860</v>
      </c>
      <c r="N15">
        <v>10</v>
      </c>
      <c r="O15">
        <v>42</v>
      </c>
      <c r="P15">
        <v>40.1</v>
      </c>
      <c r="Q15">
        <v>0</v>
      </c>
      <c r="R15">
        <v>2.4</v>
      </c>
      <c r="S15">
        <v>6.48</v>
      </c>
      <c r="T15">
        <v>6.18</v>
      </c>
      <c r="U15">
        <v>1.2</v>
      </c>
      <c r="V15">
        <v>107</v>
      </c>
      <c r="W15">
        <v>0</v>
      </c>
      <c r="X15">
        <v>5</v>
      </c>
      <c r="Y15">
        <v>0</v>
      </c>
      <c r="Z15">
        <v>0</v>
      </c>
      <c r="AA15" t="s">
        <v>114</v>
      </c>
      <c r="AB15">
        <v>42.5</v>
      </c>
      <c r="AC15">
        <v>0.1</v>
      </c>
      <c r="AD15">
        <v>0.05</v>
      </c>
      <c r="AE15">
        <v>0</v>
      </c>
      <c r="AF15" t="s">
        <v>1619</v>
      </c>
      <c r="AG15" t="s">
        <v>1599</v>
      </c>
      <c r="AH15">
        <v>0.7</v>
      </c>
    </row>
    <row r="16" spans="1:34" x14ac:dyDescent="0.25">
      <c r="A16" s="2">
        <v>45642</v>
      </c>
      <c r="B16" t="s">
        <v>1835</v>
      </c>
      <c r="C16" t="s">
        <v>1836</v>
      </c>
      <c r="D16">
        <v>59</v>
      </c>
      <c r="E16">
        <v>0.96052631578947367</v>
      </c>
      <c r="F16">
        <v>6.8493150684931503E-2</v>
      </c>
      <c r="G16">
        <v>40.49</v>
      </c>
      <c r="H16">
        <v>0</v>
      </c>
      <c r="I16">
        <v>40.49</v>
      </c>
      <c r="J16">
        <v>761.02</v>
      </c>
      <c r="K16">
        <v>40.32</v>
      </c>
      <c r="L16">
        <v>1.9</v>
      </c>
      <c r="M16" t="s">
        <v>1837</v>
      </c>
      <c r="N16">
        <v>27</v>
      </c>
      <c r="O16">
        <v>32</v>
      </c>
      <c r="P16">
        <v>35.700000000000003</v>
      </c>
      <c r="Q16">
        <v>0</v>
      </c>
      <c r="R16">
        <v>4.79</v>
      </c>
      <c r="S16">
        <v>30.28</v>
      </c>
      <c r="T16">
        <v>28.65</v>
      </c>
      <c r="U16">
        <v>1.46</v>
      </c>
      <c r="V16">
        <v>73</v>
      </c>
      <c r="W16">
        <v>3</v>
      </c>
      <c r="X16">
        <v>5</v>
      </c>
      <c r="Y16">
        <v>0</v>
      </c>
      <c r="Z16">
        <v>0</v>
      </c>
      <c r="AA16" t="s">
        <v>114</v>
      </c>
      <c r="AB16">
        <v>40.49</v>
      </c>
      <c r="AC16">
        <v>0.1</v>
      </c>
      <c r="AD16">
        <v>0.05</v>
      </c>
      <c r="AE16">
        <v>0</v>
      </c>
      <c r="AF16" t="s">
        <v>1662</v>
      </c>
      <c r="AG16" t="s">
        <v>1601</v>
      </c>
      <c r="AH16">
        <v>0.7</v>
      </c>
    </row>
    <row r="17" spans="1:34" x14ac:dyDescent="0.25">
      <c r="A17" s="2">
        <v>45649</v>
      </c>
      <c r="B17" t="s">
        <v>1858</v>
      </c>
      <c r="C17" t="s">
        <v>1859</v>
      </c>
      <c r="D17">
        <v>46</v>
      </c>
      <c r="E17">
        <v>1</v>
      </c>
      <c r="F17">
        <v>4.4642857142857144E-2</v>
      </c>
      <c r="G17">
        <v>40.4</v>
      </c>
      <c r="H17">
        <v>0.49</v>
      </c>
      <c r="I17">
        <v>39.909999999999997</v>
      </c>
      <c r="J17">
        <v>537.88</v>
      </c>
      <c r="K17">
        <v>10.99</v>
      </c>
      <c r="L17">
        <v>12</v>
      </c>
      <c r="M17" t="s">
        <v>1860</v>
      </c>
      <c r="N17">
        <v>6</v>
      </c>
      <c r="O17">
        <v>40</v>
      </c>
      <c r="P17">
        <v>38.51</v>
      </c>
      <c r="Q17">
        <v>0</v>
      </c>
      <c r="R17">
        <v>1.4</v>
      </c>
      <c r="S17">
        <v>3.76</v>
      </c>
      <c r="T17">
        <v>3.59</v>
      </c>
      <c r="U17">
        <v>1.1399999999999999</v>
      </c>
      <c r="V17">
        <v>112</v>
      </c>
      <c r="W17">
        <v>0</v>
      </c>
      <c r="X17">
        <v>5</v>
      </c>
      <c r="Y17">
        <v>0</v>
      </c>
      <c r="Z17">
        <v>0</v>
      </c>
      <c r="AA17" t="s">
        <v>115</v>
      </c>
      <c r="AB17">
        <v>39.909999999999997</v>
      </c>
      <c r="AC17">
        <v>0.1</v>
      </c>
      <c r="AD17">
        <v>0.05</v>
      </c>
      <c r="AE17">
        <v>0</v>
      </c>
      <c r="AF17" t="s">
        <v>1619</v>
      </c>
      <c r="AG17" t="s">
        <v>1599</v>
      </c>
      <c r="AH17">
        <v>0.7</v>
      </c>
    </row>
    <row r="18" spans="1:34" x14ac:dyDescent="0.25">
      <c r="A18" s="2">
        <v>45649</v>
      </c>
      <c r="B18" t="s">
        <v>1835</v>
      </c>
      <c r="C18" t="s">
        <v>1836</v>
      </c>
      <c r="D18">
        <v>43</v>
      </c>
      <c r="E18">
        <v>0.92307692307692313</v>
      </c>
      <c r="F18">
        <v>6.25E-2</v>
      </c>
      <c r="G18">
        <v>32.79</v>
      </c>
      <c r="H18">
        <v>0.28999999999999998</v>
      </c>
      <c r="I18">
        <v>32.5</v>
      </c>
      <c r="J18">
        <v>562.66</v>
      </c>
      <c r="K18">
        <v>51.76</v>
      </c>
      <c r="L18">
        <v>0</v>
      </c>
      <c r="M18" t="s">
        <v>1837</v>
      </c>
      <c r="N18">
        <v>9</v>
      </c>
      <c r="O18">
        <v>34</v>
      </c>
      <c r="P18">
        <v>22.79</v>
      </c>
      <c r="Q18">
        <v>1</v>
      </c>
      <c r="R18">
        <v>9.6999999999999993</v>
      </c>
      <c r="S18">
        <v>17.52</v>
      </c>
      <c r="T18">
        <v>16</v>
      </c>
      <c r="U18">
        <v>1.31</v>
      </c>
      <c r="V18">
        <v>48</v>
      </c>
      <c r="W18">
        <v>3</v>
      </c>
      <c r="X18">
        <v>3</v>
      </c>
      <c r="Y18">
        <v>0</v>
      </c>
      <c r="Z18">
        <v>0</v>
      </c>
      <c r="AA18" t="s">
        <v>115</v>
      </c>
      <c r="AB18">
        <v>32.5</v>
      </c>
      <c r="AC18">
        <v>0.1</v>
      </c>
      <c r="AD18">
        <v>0.05</v>
      </c>
      <c r="AE18">
        <v>0</v>
      </c>
      <c r="AF18" t="s">
        <v>1662</v>
      </c>
      <c r="AG18" t="s">
        <v>1601</v>
      </c>
      <c r="AH18">
        <v>0.7</v>
      </c>
    </row>
    <row r="19" spans="1:34" x14ac:dyDescent="0.25">
      <c r="A19" s="2">
        <v>45642</v>
      </c>
      <c r="B19" t="s">
        <v>2003</v>
      </c>
      <c r="C19" t="s">
        <v>2004</v>
      </c>
      <c r="D19">
        <v>74</v>
      </c>
      <c r="E19">
        <v>1</v>
      </c>
      <c r="F19">
        <v>0</v>
      </c>
      <c r="G19">
        <v>50.92</v>
      </c>
      <c r="H19">
        <v>0</v>
      </c>
      <c r="I19">
        <v>50.92</v>
      </c>
      <c r="J19">
        <v>897.86</v>
      </c>
      <c r="K19">
        <v>43.56</v>
      </c>
      <c r="L19">
        <v>0</v>
      </c>
      <c r="M19" t="s">
        <v>1841</v>
      </c>
      <c r="N19">
        <v>12</v>
      </c>
      <c r="O19">
        <v>62</v>
      </c>
      <c r="P19">
        <v>38.18</v>
      </c>
      <c r="Q19">
        <v>0</v>
      </c>
      <c r="R19">
        <v>12.74</v>
      </c>
      <c r="S19">
        <v>19.13</v>
      </c>
      <c r="T19">
        <v>13.7</v>
      </c>
      <c r="U19">
        <v>1.45</v>
      </c>
      <c r="V19">
        <v>71</v>
      </c>
      <c r="W19">
        <v>0</v>
      </c>
      <c r="X19">
        <v>0</v>
      </c>
      <c r="Y19">
        <v>50.92</v>
      </c>
      <c r="Z19">
        <v>0</v>
      </c>
      <c r="AA19" t="s">
        <v>114</v>
      </c>
      <c r="AB19">
        <v>0</v>
      </c>
      <c r="AC19">
        <v>0.1</v>
      </c>
      <c r="AD19">
        <v>0.05</v>
      </c>
      <c r="AE19">
        <v>50.92</v>
      </c>
      <c r="AF19" t="s">
        <v>1694</v>
      </c>
      <c r="AG19" t="s">
        <v>1748</v>
      </c>
      <c r="AH19">
        <v>0.7</v>
      </c>
    </row>
    <row r="20" spans="1:34" x14ac:dyDescent="0.25">
      <c r="A20" s="2">
        <v>45642</v>
      </c>
      <c r="B20" t="s">
        <v>1877</v>
      </c>
      <c r="C20" t="s">
        <v>1878</v>
      </c>
      <c r="D20">
        <v>51</v>
      </c>
      <c r="E20">
        <v>1</v>
      </c>
      <c r="F20">
        <v>4.2857142857142858E-2</v>
      </c>
      <c r="G20">
        <v>37.99</v>
      </c>
      <c r="H20">
        <v>1.62</v>
      </c>
      <c r="I20">
        <v>36.370000000000005</v>
      </c>
      <c r="J20">
        <v>545.94000000000005</v>
      </c>
      <c r="K20">
        <v>33</v>
      </c>
      <c r="L20">
        <v>6</v>
      </c>
      <c r="M20" t="s">
        <v>1879</v>
      </c>
      <c r="N20">
        <v>21</v>
      </c>
      <c r="O20">
        <v>30</v>
      </c>
      <c r="P20">
        <v>32.82</v>
      </c>
      <c r="Q20">
        <v>0</v>
      </c>
      <c r="R20">
        <v>3.56</v>
      </c>
      <c r="S20">
        <v>27.37</v>
      </c>
      <c r="T20">
        <v>23.85</v>
      </c>
      <c r="U20">
        <v>1.34</v>
      </c>
      <c r="V20">
        <v>70</v>
      </c>
      <c r="W20">
        <v>0</v>
      </c>
      <c r="X20">
        <v>3</v>
      </c>
      <c r="Y20">
        <v>0</v>
      </c>
      <c r="Z20">
        <v>0</v>
      </c>
      <c r="AA20" t="s">
        <v>114</v>
      </c>
      <c r="AB20">
        <v>36.370000000000005</v>
      </c>
      <c r="AC20">
        <v>0.1</v>
      </c>
      <c r="AD20">
        <v>0.05</v>
      </c>
      <c r="AE20">
        <v>0</v>
      </c>
      <c r="AF20" t="s">
        <v>1653</v>
      </c>
      <c r="AG20" t="s">
        <v>1599</v>
      </c>
      <c r="AH20">
        <v>0.7</v>
      </c>
    </row>
    <row r="21" spans="1:34" x14ac:dyDescent="0.25">
      <c r="A21" s="2">
        <v>45649</v>
      </c>
      <c r="B21" t="s">
        <v>2003</v>
      </c>
      <c r="C21" t="s">
        <v>2004</v>
      </c>
      <c r="D21">
        <v>86</v>
      </c>
      <c r="E21">
        <v>0.98888888888888893</v>
      </c>
      <c r="F21">
        <v>0</v>
      </c>
      <c r="G21">
        <v>61.13</v>
      </c>
      <c r="H21">
        <v>0</v>
      </c>
      <c r="I21">
        <v>61.13</v>
      </c>
      <c r="J21">
        <v>1029.2</v>
      </c>
      <c r="K21">
        <v>74.39</v>
      </c>
      <c r="L21">
        <v>0</v>
      </c>
      <c r="M21" t="s">
        <v>1841</v>
      </c>
      <c r="N21">
        <v>9</v>
      </c>
      <c r="O21">
        <v>77</v>
      </c>
      <c r="P21">
        <v>42.17</v>
      </c>
      <c r="Q21">
        <v>0</v>
      </c>
      <c r="R21">
        <v>18.96</v>
      </c>
      <c r="S21">
        <v>19.79</v>
      </c>
      <c r="T21">
        <v>13.77</v>
      </c>
      <c r="U21">
        <v>1.41</v>
      </c>
      <c r="V21">
        <v>89</v>
      </c>
      <c r="W21">
        <v>1</v>
      </c>
      <c r="X21">
        <v>0</v>
      </c>
      <c r="Y21">
        <v>61.13</v>
      </c>
      <c r="Z21">
        <v>0</v>
      </c>
      <c r="AA21" t="s">
        <v>115</v>
      </c>
      <c r="AB21">
        <v>0</v>
      </c>
      <c r="AC21">
        <v>0.1</v>
      </c>
      <c r="AD21">
        <v>0.05</v>
      </c>
      <c r="AE21">
        <v>61.13</v>
      </c>
      <c r="AF21" t="s">
        <v>1694</v>
      </c>
      <c r="AG21" t="s">
        <v>1748</v>
      </c>
      <c r="AH21">
        <v>0.7</v>
      </c>
    </row>
    <row r="22" spans="1:34" x14ac:dyDescent="0.25">
      <c r="A22" s="2">
        <v>45649</v>
      </c>
      <c r="B22" t="s">
        <v>1877</v>
      </c>
      <c r="C22" t="s">
        <v>1878</v>
      </c>
      <c r="D22">
        <v>92</v>
      </c>
      <c r="E22">
        <v>0.94736842105263153</v>
      </c>
      <c r="F22">
        <v>4.6296296296296294E-2</v>
      </c>
      <c r="G22">
        <v>51.01</v>
      </c>
      <c r="H22">
        <v>0.05</v>
      </c>
      <c r="I22">
        <v>50.96</v>
      </c>
      <c r="J22">
        <v>1008.5</v>
      </c>
      <c r="K22">
        <v>55.03</v>
      </c>
      <c r="L22">
        <v>1.9</v>
      </c>
      <c r="M22" t="s">
        <v>1879</v>
      </c>
      <c r="N22">
        <v>22</v>
      </c>
      <c r="O22">
        <v>70</v>
      </c>
      <c r="P22">
        <v>45.19</v>
      </c>
      <c r="Q22">
        <v>6</v>
      </c>
      <c r="R22">
        <v>5.77</v>
      </c>
      <c r="S22">
        <v>26.26</v>
      </c>
      <c r="T22">
        <v>24.12</v>
      </c>
      <c r="U22">
        <v>1.8</v>
      </c>
      <c r="V22">
        <v>108</v>
      </c>
      <c r="W22">
        <v>0</v>
      </c>
      <c r="X22">
        <v>5</v>
      </c>
      <c r="Y22">
        <v>0</v>
      </c>
      <c r="Z22">
        <v>50.96</v>
      </c>
      <c r="AA22" t="s">
        <v>115</v>
      </c>
      <c r="AB22">
        <v>0</v>
      </c>
      <c r="AC22">
        <v>0.1</v>
      </c>
      <c r="AD22">
        <v>0.05</v>
      </c>
      <c r="AE22">
        <v>50.96</v>
      </c>
      <c r="AF22" t="s">
        <v>1653</v>
      </c>
      <c r="AG22" t="s">
        <v>1599</v>
      </c>
      <c r="AH22">
        <v>0.7</v>
      </c>
    </row>
    <row r="23" spans="1:34" x14ac:dyDescent="0.25">
      <c r="A23" s="2">
        <v>45642</v>
      </c>
      <c r="B23" t="s">
        <v>1842</v>
      </c>
      <c r="C23" t="s">
        <v>1843</v>
      </c>
      <c r="D23">
        <v>81</v>
      </c>
      <c r="E23">
        <v>1</v>
      </c>
      <c r="F23">
        <v>0</v>
      </c>
      <c r="G23">
        <v>50.67</v>
      </c>
      <c r="H23">
        <v>2.82</v>
      </c>
      <c r="I23">
        <v>47.85</v>
      </c>
      <c r="J23">
        <v>838.33</v>
      </c>
      <c r="K23">
        <v>31.11</v>
      </c>
      <c r="L23">
        <v>4</v>
      </c>
      <c r="M23" t="s">
        <v>1844</v>
      </c>
      <c r="N23">
        <v>7</v>
      </c>
      <c r="O23">
        <v>74</v>
      </c>
      <c r="P23">
        <v>36.83</v>
      </c>
      <c r="Q23">
        <v>0</v>
      </c>
      <c r="R23">
        <v>11.02</v>
      </c>
      <c r="S23">
        <v>3.49</v>
      </c>
      <c r="T23">
        <v>3.17</v>
      </c>
      <c r="U23">
        <v>1.6</v>
      </c>
      <c r="V23">
        <v>87</v>
      </c>
      <c r="W23">
        <v>0</v>
      </c>
      <c r="X23">
        <v>0</v>
      </c>
      <c r="Y23">
        <v>47.85</v>
      </c>
      <c r="Z23">
        <v>0</v>
      </c>
      <c r="AA23" t="s">
        <v>114</v>
      </c>
      <c r="AB23">
        <v>0</v>
      </c>
      <c r="AC23">
        <v>0.1</v>
      </c>
      <c r="AD23">
        <v>0.05</v>
      </c>
      <c r="AE23">
        <v>47.85</v>
      </c>
      <c r="AF23" t="s">
        <v>1798</v>
      </c>
      <c r="AG23" t="s">
        <v>1812</v>
      </c>
      <c r="AH23">
        <v>0.7</v>
      </c>
    </row>
    <row r="24" spans="1:34" x14ac:dyDescent="0.25">
      <c r="A24" s="2">
        <v>45642</v>
      </c>
      <c r="B24" t="s">
        <v>1838</v>
      </c>
      <c r="C24" t="s">
        <v>1839</v>
      </c>
      <c r="D24">
        <v>48</v>
      </c>
      <c r="E24">
        <v>0.97560975609756095</v>
      </c>
      <c r="F24">
        <v>2.5000000000000001E-2</v>
      </c>
      <c r="G24">
        <v>35.25</v>
      </c>
      <c r="H24">
        <v>0.48</v>
      </c>
      <c r="I24">
        <v>34.770000000000003</v>
      </c>
      <c r="J24">
        <v>641.86</v>
      </c>
      <c r="K24">
        <v>43</v>
      </c>
      <c r="L24">
        <v>6</v>
      </c>
      <c r="M24" t="s">
        <v>1840</v>
      </c>
      <c r="N24">
        <v>7</v>
      </c>
      <c r="O24">
        <v>41</v>
      </c>
      <c r="P24">
        <v>27.68</v>
      </c>
      <c r="Q24">
        <v>1</v>
      </c>
      <c r="R24">
        <v>7.08</v>
      </c>
      <c r="S24">
        <v>10.49</v>
      </c>
      <c r="T24">
        <v>7.84</v>
      </c>
      <c r="U24">
        <v>1.36</v>
      </c>
      <c r="V24">
        <v>40</v>
      </c>
      <c r="W24">
        <v>0</v>
      </c>
      <c r="X24">
        <v>1</v>
      </c>
      <c r="Y24">
        <v>34.770000000000003</v>
      </c>
      <c r="Z24">
        <v>0</v>
      </c>
      <c r="AA24" t="s">
        <v>114</v>
      </c>
      <c r="AB24">
        <v>0</v>
      </c>
      <c r="AC24">
        <v>0.1</v>
      </c>
      <c r="AD24">
        <v>0.05</v>
      </c>
      <c r="AE24">
        <v>34.770000000000003</v>
      </c>
      <c r="AF24" t="s">
        <v>1629</v>
      </c>
      <c r="AG24" t="s">
        <v>1599</v>
      </c>
      <c r="AH24">
        <v>0.7</v>
      </c>
    </row>
    <row r="25" spans="1:34" x14ac:dyDescent="0.25">
      <c r="A25" s="2">
        <v>45649</v>
      </c>
      <c r="B25" t="s">
        <v>1842</v>
      </c>
      <c r="C25" t="s">
        <v>1843</v>
      </c>
      <c r="D25">
        <v>79</v>
      </c>
      <c r="E25">
        <v>0.97916666666666663</v>
      </c>
      <c r="F25">
        <v>1.0638297872340425E-2</v>
      </c>
      <c r="G25">
        <v>53.51</v>
      </c>
      <c r="H25">
        <v>0.28000000000000003</v>
      </c>
      <c r="I25">
        <v>53.23</v>
      </c>
      <c r="J25">
        <v>874.32</v>
      </c>
      <c r="K25">
        <v>84.74</v>
      </c>
      <c r="L25">
        <v>6</v>
      </c>
      <c r="M25" t="s">
        <v>1844</v>
      </c>
      <c r="N25">
        <v>6</v>
      </c>
      <c r="O25">
        <v>73</v>
      </c>
      <c r="P25">
        <v>37.97</v>
      </c>
      <c r="Q25">
        <v>2</v>
      </c>
      <c r="R25">
        <v>15.26</v>
      </c>
      <c r="S25">
        <v>9.24</v>
      </c>
      <c r="T25">
        <v>6.51</v>
      </c>
      <c r="U25">
        <v>1.48</v>
      </c>
      <c r="V25">
        <v>94</v>
      </c>
      <c r="W25">
        <v>0</v>
      </c>
      <c r="X25">
        <v>1</v>
      </c>
      <c r="Y25">
        <v>53.23</v>
      </c>
      <c r="Z25">
        <v>0</v>
      </c>
      <c r="AA25" t="s">
        <v>115</v>
      </c>
      <c r="AB25">
        <v>0</v>
      </c>
      <c r="AC25">
        <v>0.1</v>
      </c>
      <c r="AD25">
        <v>0.05</v>
      </c>
      <c r="AE25">
        <v>53.23</v>
      </c>
      <c r="AF25" t="s">
        <v>1798</v>
      </c>
      <c r="AG25" t="s">
        <v>1812</v>
      </c>
      <c r="AH25">
        <v>0.7</v>
      </c>
    </row>
    <row r="26" spans="1:34" x14ac:dyDescent="0.25">
      <c r="A26" s="2">
        <v>45642</v>
      </c>
      <c r="B26" t="s">
        <v>2005</v>
      </c>
      <c r="C26" t="s">
        <v>1930</v>
      </c>
      <c r="D26">
        <v>50</v>
      </c>
      <c r="E26">
        <v>0.77659574468085102</v>
      </c>
      <c r="F26">
        <v>1.3698630136986301E-2</v>
      </c>
      <c r="G26">
        <v>47.83</v>
      </c>
      <c r="H26">
        <v>0.26</v>
      </c>
      <c r="I26">
        <v>47.57</v>
      </c>
      <c r="J26">
        <v>726.3</v>
      </c>
      <c r="K26">
        <v>43.19</v>
      </c>
      <c r="L26">
        <v>0</v>
      </c>
      <c r="M26" t="s">
        <v>1848</v>
      </c>
      <c r="N26">
        <v>25</v>
      </c>
      <c r="O26">
        <v>25</v>
      </c>
      <c r="P26">
        <v>39.869999999999997</v>
      </c>
      <c r="Q26">
        <v>21</v>
      </c>
      <c r="R26">
        <v>7.7</v>
      </c>
      <c r="S26">
        <v>40.36</v>
      </c>
      <c r="T26">
        <v>34.58</v>
      </c>
      <c r="U26">
        <v>1.05</v>
      </c>
      <c r="V26">
        <v>73</v>
      </c>
      <c r="W26">
        <v>0</v>
      </c>
      <c r="X26">
        <v>1</v>
      </c>
      <c r="Y26">
        <v>0</v>
      </c>
      <c r="Z26">
        <v>0</v>
      </c>
      <c r="AA26" t="s">
        <v>114</v>
      </c>
      <c r="AB26">
        <v>47.57</v>
      </c>
      <c r="AC26">
        <v>0.1</v>
      </c>
      <c r="AD26">
        <v>0.05</v>
      </c>
      <c r="AE26">
        <v>0</v>
      </c>
      <c r="AF26" t="s">
        <v>1639</v>
      </c>
      <c r="AG26" t="s">
        <v>1601</v>
      </c>
      <c r="AH26">
        <v>0.7</v>
      </c>
    </row>
    <row r="27" spans="1:34" x14ac:dyDescent="0.25">
      <c r="A27" s="2">
        <v>45649</v>
      </c>
      <c r="B27" t="s">
        <v>2005</v>
      </c>
      <c r="C27" t="s">
        <v>1930</v>
      </c>
      <c r="D27">
        <v>70</v>
      </c>
      <c r="E27">
        <v>0.98809523809523814</v>
      </c>
      <c r="F27">
        <v>1.2048192771084338E-2</v>
      </c>
      <c r="G27">
        <v>54.17</v>
      </c>
      <c r="H27">
        <v>0.16</v>
      </c>
      <c r="I27">
        <v>54.010000000000005</v>
      </c>
      <c r="J27">
        <v>726.6</v>
      </c>
      <c r="K27">
        <v>36.299999999999997</v>
      </c>
      <c r="L27">
        <v>1.5</v>
      </c>
      <c r="M27" t="s">
        <v>1848</v>
      </c>
      <c r="N27">
        <v>9</v>
      </c>
      <c r="O27">
        <v>61</v>
      </c>
      <c r="P27">
        <v>34.21</v>
      </c>
      <c r="Q27">
        <v>1</v>
      </c>
      <c r="R27">
        <v>19.8</v>
      </c>
      <c r="S27">
        <v>40.51</v>
      </c>
      <c r="T27">
        <v>25.95</v>
      </c>
      <c r="U27">
        <v>1.29</v>
      </c>
      <c r="V27">
        <v>83</v>
      </c>
      <c r="W27">
        <v>0</v>
      </c>
      <c r="X27">
        <v>1</v>
      </c>
      <c r="Y27">
        <v>54.010000000000005</v>
      </c>
      <c r="Z27">
        <v>0</v>
      </c>
      <c r="AA27" t="s">
        <v>115</v>
      </c>
      <c r="AB27">
        <v>0</v>
      </c>
      <c r="AC27">
        <v>0.1</v>
      </c>
      <c r="AD27">
        <v>0.05</v>
      </c>
      <c r="AE27">
        <v>54.010000000000005</v>
      </c>
      <c r="AF27" t="s">
        <v>1639</v>
      </c>
      <c r="AG27" t="s">
        <v>1601</v>
      </c>
      <c r="AH27">
        <v>0.7</v>
      </c>
    </row>
    <row r="28" spans="1:34" x14ac:dyDescent="0.25">
      <c r="A28" s="2">
        <v>45642</v>
      </c>
      <c r="B28" t="s">
        <v>1889</v>
      </c>
      <c r="C28" t="s">
        <v>1890</v>
      </c>
      <c r="D28">
        <v>78</v>
      </c>
      <c r="E28">
        <v>0.93388429752066116</v>
      </c>
      <c r="F28">
        <v>7.9646017699115043E-2</v>
      </c>
      <c r="G28">
        <v>47.28</v>
      </c>
      <c r="H28">
        <v>0.46</v>
      </c>
      <c r="I28">
        <v>46.82</v>
      </c>
      <c r="J28">
        <v>806.84</v>
      </c>
      <c r="K28">
        <v>24</v>
      </c>
      <c r="L28">
        <v>6</v>
      </c>
      <c r="M28" t="s">
        <v>1891</v>
      </c>
      <c r="N28">
        <v>32</v>
      </c>
      <c r="O28">
        <v>46</v>
      </c>
      <c r="P28">
        <v>45.59</v>
      </c>
      <c r="Q28">
        <v>1</v>
      </c>
      <c r="R28">
        <v>1.23</v>
      </c>
      <c r="S28">
        <v>27.1</v>
      </c>
      <c r="T28">
        <v>26.97</v>
      </c>
      <c r="U28">
        <v>1.65</v>
      </c>
      <c r="V28">
        <v>113</v>
      </c>
      <c r="W28">
        <v>7</v>
      </c>
      <c r="X28">
        <v>9</v>
      </c>
      <c r="Y28">
        <v>0</v>
      </c>
      <c r="Z28">
        <v>0</v>
      </c>
      <c r="AA28" t="s">
        <v>114</v>
      </c>
      <c r="AB28">
        <v>46.82</v>
      </c>
      <c r="AC28">
        <v>0.1</v>
      </c>
      <c r="AD28">
        <v>0.05</v>
      </c>
      <c r="AE28">
        <v>0</v>
      </c>
      <c r="AF28" t="s">
        <v>1655</v>
      </c>
      <c r="AG28" t="s">
        <v>1599</v>
      </c>
      <c r="AH28">
        <v>0.7</v>
      </c>
    </row>
    <row r="29" spans="1:34" x14ac:dyDescent="0.25">
      <c r="A29" s="2">
        <v>45642</v>
      </c>
      <c r="B29" t="s">
        <v>1845</v>
      </c>
      <c r="C29" t="s">
        <v>1846</v>
      </c>
      <c r="D29">
        <v>62</v>
      </c>
      <c r="E29">
        <v>0.98701298701298701</v>
      </c>
      <c r="F29">
        <v>2.6315789473684209E-2</v>
      </c>
      <c r="G29">
        <v>30.28</v>
      </c>
      <c r="H29">
        <v>0</v>
      </c>
      <c r="I29">
        <v>30.28</v>
      </c>
      <c r="J29">
        <v>666.44</v>
      </c>
      <c r="K29">
        <v>20</v>
      </c>
      <c r="L29">
        <v>0</v>
      </c>
      <c r="M29" t="s">
        <v>1847</v>
      </c>
      <c r="N29">
        <v>13</v>
      </c>
      <c r="O29">
        <v>49</v>
      </c>
      <c r="P29">
        <v>29.48</v>
      </c>
      <c r="Q29">
        <v>0</v>
      </c>
      <c r="R29">
        <v>0.79</v>
      </c>
      <c r="S29">
        <v>9.76</v>
      </c>
      <c r="T29">
        <v>9.5299999999999994</v>
      </c>
      <c r="U29">
        <v>2.0499999999999998</v>
      </c>
      <c r="V29">
        <v>76</v>
      </c>
      <c r="W29">
        <v>1</v>
      </c>
      <c r="X29">
        <v>2</v>
      </c>
      <c r="Y29">
        <v>30.28</v>
      </c>
      <c r="Z29">
        <v>0</v>
      </c>
      <c r="AA29" t="s">
        <v>114</v>
      </c>
      <c r="AB29">
        <v>0</v>
      </c>
      <c r="AC29">
        <v>0.1</v>
      </c>
      <c r="AD29">
        <v>0.05</v>
      </c>
      <c r="AE29">
        <v>30.28</v>
      </c>
      <c r="AF29" t="s">
        <v>1615</v>
      </c>
      <c r="AG29" t="s">
        <v>1599</v>
      </c>
      <c r="AH29">
        <v>0.7</v>
      </c>
    </row>
    <row r="30" spans="1:34" x14ac:dyDescent="0.25">
      <c r="A30" s="2">
        <v>45649</v>
      </c>
      <c r="B30" t="s">
        <v>1889</v>
      </c>
      <c r="C30" t="s">
        <v>1890</v>
      </c>
      <c r="D30">
        <v>54</v>
      </c>
      <c r="E30">
        <v>0.94047619047619047</v>
      </c>
      <c r="F30">
        <v>7.5949367088607597E-2</v>
      </c>
      <c r="G30">
        <v>38.130000000000003</v>
      </c>
      <c r="H30">
        <v>0</v>
      </c>
      <c r="I30">
        <v>38.130000000000003</v>
      </c>
      <c r="J30">
        <v>665.67</v>
      </c>
      <c r="K30">
        <v>23.39</v>
      </c>
      <c r="L30">
        <v>3.3</v>
      </c>
      <c r="M30" t="s">
        <v>1891</v>
      </c>
      <c r="N30">
        <v>14</v>
      </c>
      <c r="O30">
        <v>40</v>
      </c>
      <c r="P30">
        <v>35.35</v>
      </c>
      <c r="Q30">
        <v>0</v>
      </c>
      <c r="R30">
        <v>2.78</v>
      </c>
      <c r="S30">
        <v>23.09</v>
      </c>
      <c r="T30">
        <v>20.87</v>
      </c>
      <c r="U30">
        <v>1.42</v>
      </c>
      <c r="V30">
        <v>79</v>
      </c>
      <c r="W30">
        <v>5</v>
      </c>
      <c r="X30">
        <v>6</v>
      </c>
      <c r="Y30">
        <v>0</v>
      </c>
      <c r="Z30">
        <v>0</v>
      </c>
      <c r="AA30" t="s">
        <v>115</v>
      </c>
      <c r="AB30">
        <v>38.130000000000003</v>
      </c>
      <c r="AC30">
        <v>0.1</v>
      </c>
      <c r="AD30">
        <v>0.05</v>
      </c>
      <c r="AE30">
        <v>0</v>
      </c>
      <c r="AF30" t="s">
        <v>1655</v>
      </c>
      <c r="AG30" t="s">
        <v>1599</v>
      </c>
      <c r="AH30">
        <v>0.7</v>
      </c>
    </row>
    <row r="31" spans="1:34" x14ac:dyDescent="0.25">
      <c r="A31" s="2">
        <v>45642</v>
      </c>
      <c r="B31" t="s">
        <v>1904</v>
      </c>
      <c r="C31" t="s">
        <v>1905</v>
      </c>
      <c r="D31">
        <v>8</v>
      </c>
      <c r="E31">
        <v>0.81818181818181823</v>
      </c>
      <c r="F31">
        <v>0.1111111111111111</v>
      </c>
      <c r="G31">
        <v>6.09</v>
      </c>
      <c r="H31">
        <v>1.22</v>
      </c>
      <c r="I31">
        <v>4.87</v>
      </c>
      <c r="J31">
        <v>93.26</v>
      </c>
      <c r="K31">
        <v>1</v>
      </c>
      <c r="L31">
        <v>6</v>
      </c>
      <c r="M31" t="s">
        <v>1906</v>
      </c>
      <c r="N31">
        <v>3</v>
      </c>
      <c r="O31">
        <v>5</v>
      </c>
      <c r="P31">
        <v>4.6500000000000004</v>
      </c>
      <c r="Q31">
        <v>2</v>
      </c>
      <c r="R31">
        <v>0.23</v>
      </c>
      <c r="S31">
        <v>0</v>
      </c>
      <c r="T31">
        <v>0</v>
      </c>
      <c r="U31">
        <v>1.31</v>
      </c>
      <c r="V31">
        <v>9</v>
      </c>
      <c r="W31">
        <v>0</v>
      </c>
      <c r="X31">
        <v>1</v>
      </c>
      <c r="Y31">
        <v>0</v>
      </c>
      <c r="Z31">
        <v>0</v>
      </c>
      <c r="AA31" t="s">
        <v>114</v>
      </c>
      <c r="AB31">
        <v>4.87</v>
      </c>
      <c r="AC31">
        <v>0.1</v>
      </c>
      <c r="AD31">
        <v>0.05</v>
      </c>
      <c r="AE31">
        <v>0</v>
      </c>
      <c r="AF31" t="s">
        <v>1685</v>
      </c>
      <c r="AG31" t="s">
        <v>1599</v>
      </c>
      <c r="AH31">
        <v>0.7</v>
      </c>
    </row>
    <row r="32" spans="1:34" x14ac:dyDescent="0.25">
      <c r="A32" s="2">
        <v>45642</v>
      </c>
      <c r="B32" t="s">
        <v>2040</v>
      </c>
      <c r="C32" t="s">
        <v>2002</v>
      </c>
      <c r="D32">
        <v>55</v>
      </c>
      <c r="E32">
        <v>1</v>
      </c>
      <c r="F32">
        <v>3.0769230769230771E-2</v>
      </c>
      <c r="G32">
        <v>27.86</v>
      </c>
      <c r="H32">
        <v>0</v>
      </c>
      <c r="I32">
        <v>27.86</v>
      </c>
      <c r="J32">
        <v>619.91999999999996</v>
      </c>
      <c r="K32">
        <v>50.5</v>
      </c>
      <c r="L32">
        <v>0</v>
      </c>
      <c r="M32" t="s">
        <v>2041</v>
      </c>
      <c r="N32">
        <v>17</v>
      </c>
      <c r="O32">
        <v>38</v>
      </c>
      <c r="P32">
        <v>27.17</v>
      </c>
      <c r="Q32">
        <v>0</v>
      </c>
      <c r="R32">
        <v>0.68</v>
      </c>
      <c r="S32">
        <v>15.81</v>
      </c>
      <c r="T32">
        <v>15.4</v>
      </c>
      <c r="U32">
        <v>1.97</v>
      </c>
      <c r="V32">
        <v>65</v>
      </c>
      <c r="W32">
        <v>0</v>
      </c>
      <c r="X32">
        <v>2</v>
      </c>
      <c r="Y32">
        <v>27.86</v>
      </c>
      <c r="Z32">
        <v>0</v>
      </c>
      <c r="AA32" t="s">
        <v>114</v>
      </c>
      <c r="AB32">
        <v>0</v>
      </c>
      <c r="AC32">
        <v>0.1</v>
      </c>
      <c r="AD32">
        <v>0.05</v>
      </c>
      <c r="AE32">
        <v>27.86</v>
      </c>
      <c r="AF32" t="s">
        <v>2026</v>
      </c>
      <c r="AG32" t="s">
        <v>1599</v>
      </c>
      <c r="AH32">
        <v>0.7</v>
      </c>
    </row>
    <row r="33" spans="1:34" x14ac:dyDescent="0.25">
      <c r="A33" s="2">
        <v>45649</v>
      </c>
      <c r="B33" t="s">
        <v>1895</v>
      </c>
      <c r="C33" t="s">
        <v>1896</v>
      </c>
      <c r="D33">
        <v>33</v>
      </c>
      <c r="E33">
        <v>0.86956521739130432</v>
      </c>
      <c r="F33">
        <v>7.4999999999999997E-2</v>
      </c>
      <c r="G33">
        <v>18.55</v>
      </c>
      <c r="H33">
        <v>0</v>
      </c>
      <c r="I33">
        <v>18.55</v>
      </c>
      <c r="J33">
        <v>422.29</v>
      </c>
      <c r="K33">
        <v>34.700000000000003</v>
      </c>
      <c r="L33">
        <v>2.7</v>
      </c>
      <c r="M33" t="s">
        <v>1897</v>
      </c>
      <c r="N33">
        <v>11</v>
      </c>
      <c r="O33">
        <v>22</v>
      </c>
      <c r="P33">
        <v>17.649999999999999</v>
      </c>
      <c r="Q33">
        <v>0</v>
      </c>
      <c r="R33">
        <v>0.9</v>
      </c>
      <c r="S33">
        <v>6.53</v>
      </c>
      <c r="T33">
        <v>6.16</v>
      </c>
      <c r="U33">
        <v>1.78</v>
      </c>
      <c r="V33">
        <v>40</v>
      </c>
      <c r="W33">
        <v>6</v>
      </c>
      <c r="X33">
        <v>3</v>
      </c>
      <c r="Y33">
        <v>0</v>
      </c>
      <c r="Z33">
        <v>0</v>
      </c>
      <c r="AA33" t="s">
        <v>115</v>
      </c>
      <c r="AB33">
        <v>18.55</v>
      </c>
      <c r="AC33">
        <v>0.1</v>
      </c>
      <c r="AD33">
        <v>0.05</v>
      </c>
      <c r="AE33">
        <v>0</v>
      </c>
      <c r="AF33" t="s">
        <v>1675</v>
      </c>
      <c r="AG33" t="s">
        <v>1599</v>
      </c>
      <c r="AH33">
        <v>0.7</v>
      </c>
    </row>
    <row r="34" spans="1:34" x14ac:dyDescent="0.25">
      <c r="A34" s="2">
        <v>45649</v>
      </c>
      <c r="B34" t="s">
        <v>2040</v>
      </c>
      <c r="C34" t="s">
        <v>2002</v>
      </c>
      <c r="D34">
        <v>79</v>
      </c>
      <c r="E34">
        <v>0.95833333333333337</v>
      </c>
      <c r="F34">
        <v>2.1739130434782608E-2</v>
      </c>
      <c r="G34">
        <v>39.75</v>
      </c>
      <c r="H34">
        <v>0.2</v>
      </c>
      <c r="I34">
        <v>39.549999999999997</v>
      </c>
      <c r="J34">
        <v>856.68</v>
      </c>
      <c r="K34">
        <v>51.98</v>
      </c>
      <c r="L34">
        <v>7.9</v>
      </c>
      <c r="M34" t="s">
        <v>2041</v>
      </c>
      <c r="N34">
        <v>23</v>
      </c>
      <c r="O34">
        <v>56</v>
      </c>
      <c r="P34">
        <v>37.5</v>
      </c>
      <c r="Q34">
        <v>4</v>
      </c>
      <c r="R34">
        <v>2.04</v>
      </c>
      <c r="S34">
        <v>26.37</v>
      </c>
      <c r="T34">
        <v>24.92</v>
      </c>
      <c r="U34">
        <v>1.99</v>
      </c>
      <c r="V34">
        <v>92</v>
      </c>
      <c r="W34">
        <v>0</v>
      </c>
      <c r="X34">
        <v>2</v>
      </c>
      <c r="Y34">
        <v>39.549999999999997</v>
      </c>
      <c r="Z34">
        <v>0</v>
      </c>
      <c r="AA34" t="s">
        <v>115</v>
      </c>
      <c r="AB34">
        <v>0</v>
      </c>
      <c r="AC34">
        <v>0.1</v>
      </c>
      <c r="AD34">
        <v>0.05</v>
      </c>
      <c r="AE34">
        <v>39.549999999999997</v>
      </c>
      <c r="AF34" t="s">
        <v>2026</v>
      </c>
      <c r="AG34" t="s">
        <v>1599</v>
      </c>
      <c r="AH34">
        <v>0.7</v>
      </c>
    </row>
    <row r="35" spans="1:34" x14ac:dyDescent="0.25">
      <c r="A35" s="2">
        <v>45642</v>
      </c>
      <c r="B35" t="s">
        <v>1871</v>
      </c>
      <c r="C35" t="s">
        <v>1872</v>
      </c>
      <c r="D35">
        <v>50</v>
      </c>
      <c r="E35">
        <v>0.95081967213114749</v>
      </c>
      <c r="F35">
        <v>0</v>
      </c>
      <c r="G35">
        <v>39.549999999999997</v>
      </c>
      <c r="H35">
        <v>0.01</v>
      </c>
      <c r="I35">
        <v>39.54</v>
      </c>
      <c r="J35">
        <v>759.08</v>
      </c>
      <c r="K35">
        <v>61.85</v>
      </c>
      <c r="L35">
        <v>4.34</v>
      </c>
      <c r="M35" t="s">
        <v>1873</v>
      </c>
      <c r="N35">
        <v>21</v>
      </c>
      <c r="O35">
        <v>29</v>
      </c>
      <c r="P35">
        <v>37.25</v>
      </c>
      <c r="Q35">
        <v>2</v>
      </c>
      <c r="R35">
        <v>2.29</v>
      </c>
      <c r="S35">
        <v>36.869999999999997</v>
      </c>
      <c r="T35">
        <v>34.630000000000003</v>
      </c>
      <c r="U35">
        <v>1.26</v>
      </c>
      <c r="V35">
        <v>58</v>
      </c>
      <c r="W35">
        <v>1</v>
      </c>
      <c r="X35">
        <v>0</v>
      </c>
      <c r="Y35">
        <v>39.54</v>
      </c>
      <c r="Z35">
        <v>0</v>
      </c>
      <c r="AA35" t="s">
        <v>114</v>
      </c>
      <c r="AB35">
        <v>0</v>
      </c>
      <c r="AC35">
        <v>0.1</v>
      </c>
      <c r="AD35">
        <v>0.05</v>
      </c>
      <c r="AE35">
        <v>39.54</v>
      </c>
      <c r="AF35" t="s">
        <v>1602</v>
      </c>
      <c r="AG35" t="s">
        <v>1601</v>
      </c>
      <c r="AH35">
        <v>0.7</v>
      </c>
    </row>
    <row r="36" spans="1:34" x14ac:dyDescent="0.25">
      <c r="A36" s="2">
        <v>45642</v>
      </c>
      <c r="B36" t="s">
        <v>1898</v>
      </c>
      <c r="C36" t="s">
        <v>1899</v>
      </c>
      <c r="D36">
        <v>95</v>
      </c>
      <c r="E36">
        <v>0.99212598425196852</v>
      </c>
      <c r="F36">
        <v>1.5873015873015872E-2</v>
      </c>
      <c r="G36">
        <v>58.88</v>
      </c>
      <c r="H36">
        <v>4.25</v>
      </c>
      <c r="I36">
        <v>54.63</v>
      </c>
      <c r="J36">
        <v>1080.8699999999999</v>
      </c>
      <c r="K36">
        <v>33.54</v>
      </c>
      <c r="L36">
        <v>6</v>
      </c>
      <c r="M36" t="s">
        <v>1900</v>
      </c>
      <c r="N36">
        <v>15</v>
      </c>
      <c r="O36">
        <v>80</v>
      </c>
      <c r="P36">
        <v>50.98</v>
      </c>
      <c r="Q36">
        <v>1</v>
      </c>
      <c r="R36">
        <v>3.65</v>
      </c>
      <c r="S36">
        <v>18.57</v>
      </c>
      <c r="T36">
        <v>16.71</v>
      </c>
      <c r="U36">
        <v>1.61</v>
      </c>
      <c r="V36">
        <v>126</v>
      </c>
      <c r="W36">
        <v>0</v>
      </c>
      <c r="X36">
        <v>2</v>
      </c>
      <c r="Y36">
        <v>54.63</v>
      </c>
      <c r="Z36">
        <v>0</v>
      </c>
      <c r="AA36" t="s">
        <v>114</v>
      </c>
      <c r="AB36">
        <v>0</v>
      </c>
      <c r="AC36">
        <v>0.1</v>
      </c>
      <c r="AD36">
        <v>0.05</v>
      </c>
      <c r="AE36">
        <v>54.63</v>
      </c>
      <c r="AF36" t="s">
        <v>1661</v>
      </c>
      <c r="AG36" t="s">
        <v>1601</v>
      </c>
      <c r="AH36">
        <v>0.7</v>
      </c>
    </row>
    <row r="37" spans="1:34" x14ac:dyDescent="0.25">
      <c r="A37" s="2">
        <v>45649</v>
      </c>
      <c r="B37" t="s">
        <v>1852</v>
      </c>
      <c r="C37" t="s">
        <v>1853</v>
      </c>
      <c r="D37">
        <v>39</v>
      </c>
      <c r="E37">
        <v>0.92727272727272725</v>
      </c>
      <c r="F37">
        <v>1.9607843137254902E-2</v>
      </c>
      <c r="G37">
        <v>27.45</v>
      </c>
      <c r="H37">
        <v>0.01</v>
      </c>
      <c r="I37">
        <v>27.439999999999998</v>
      </c>
      <c r="J37">
        <v>492.06</v>
      </c>
      <c r="K37">
        <v>31</v>
      </c>
      <c r="L37">
        <v>0</v>
      </c>
      <c r="M37" t="s">
        <v>1854</v>
      </c>
      <c r="N37">
        <v>10</v>
      </c>
      <c r="O37">
        <v>29</v>
      </c>
      <c r="P37">
        <v>26.27</v>
      </c>
      <c r="Q37">
        <v>4</v>
      </c>
      <c r="R37">
        <v>1.1599999999999999</v>
      </c>
      <c r="S37">
        <v>8.16</v>
      </c>
      <c r="T37">
        <v>7.82</v>
      </c>
      <c r="U37">
        <v>1.42</v>
      </c>
      <c r="V37">
        <v>51</v>
      </c>
      <c r="W37">
        <v>0</v>
      </c>
      <c r="X37">
        <v>1</v>
      </c>
      <c r="Y37">
        <v>0</v>
      </c>
      <c r="Z37">
        <v>0</v>
      </c>
      <c r="AA37" t="s">
        <v>115</v>
      </c>
      <c r="AB37">
        <v>27.439999999999998</v>
      </c>
      <c r="AC37">
        <v>0.1</v>
      </c>
      <c r="AD37">
        <v>0.05</v>
      </c>
      <c r="AE37">
        <v>0</v>
      </c>
      <c r="AF37" t="s">
        <v>1718</v>
      </c>
      <c r="AG37" t="s">
        <v>1599</v>
      </c>
      <c r="AH37">
        <v>0.7</v>
      </c>
    </row>
    <row r="38" spans="1:34" x14ac:dyDescent="0.25">
      <c r="A38" s="2">
        <v>45649</v>
      </c>
      <c r="B38" t="s">
        <v>1898</v>
      </c>
      <c r="C38" t="s">
        <v>1899</v>
      </c>
      <c r="D38">
        <v>5</v>
      </c>
      <c r="E38">
        <v>1</v>
      </c>
      <c r="F38">
        <v>0.14285714285714285</v>
      </c>
      <c r="G38">
        <v>8.5500000000000007</v>
      </c>
      <c r="H38">
        <v>3.42</v>
      </c>
      <c r="I38">
        <v>5.1300000000000008</v>
      </c>
      <c r="J38">
        <v>91.51</v>
      </c>
      <c r="K38">
        <v>4</v>
      </c>
      <c r="L38">
        <v>6</v>
      </c>
      <c r="M38" t="s">
        <v>1900</v>
      </c>
      <c r="N38">
        <v>2</v>
      </c>
      <c r="O38">
        <v>3</v>
      </c>
      <c r="P38">
        <v>4.1100000000000003</v>
      </c>
      <c r="Q38">
        <v>0</v>
      </c>
      <c r="R38">
        <v>1.02</v>
      </c>
      <c r="S38">
        <v>4.28</v>
      </c>
      <c r="T38">
        <v>3.26</v>
      </c>
      <c r="U38">
        <v>0.57999999999999996</v>
      </c>
      <c r="V38">
        <v>7</v>
      </c>
      <c r="W38">
        <v>0</v>
      </c>
      <c r="X38">
        <v>1</v>
      </c>
      <c r="Y38">
        <v>0</v>
      </c>
      <c r="Z38">
        <v>0</v>
      </c>
      <c r="AA38" t="s">
        <v>115</v>
      </c>
      <c r="AB38">
        <v>5.1300000000000008</v>
      </c>
      <c r="AC38">
        <v>0.1</v>
      </c>
      <c r="AD38">
        <v>0.05</v>
      </c>
      <c r="AE38">
        <v>0</v>
      </c>
      <c r="AF38" t="s">
        <v>1661</v>
      </c>
      <c r="AG38" t="s">
        <v>1601</v>
      </c>
      <c r="AH38">
        <v>0.7</v>
      </c>
    </row>
    <row r="39" spans="1:34" x14ac:dyDescent="0.25">
      <c r="A39" s="2">
        <v>45642</v>
      </c>
      <c r="B39" t="s">
        <v>1984</v>
      </c>
      <c r="C39" t="s">
        <v>1985</v>
      </c>
      <c r="D39">
        <v>67</v>
      </c>
      <c r="E39">
        <v>1</v>
      </c>
      <c r="F39">
        <v>2.247191011235955E-2</v>
      </c>
      <c r="G39">
        <v>50.48</v>
      </c>
      <c r="H39">
        <v>0.02</v>
      </c>
      <c r="I39">
        <v>50.459999999999994</v>
      </c>
      <c r="J39">
        <v>855.94</v>
      </c>
      <c r="K39">
        <v>32.25</v>
      </c>
      <c r="L39">
        <v>6</v>
      </c>
      <c r="M39" t="s">
        <v>1986</v>
      </c>
      <c r="N39">
        <v>28</v>
      </c>
      <c r="O39">
        <v>39</v>
      </c>
      <c r="P39">
        <v>47.19</v>
      </c>
      <c r="Q39">
        <v>0</v>
      </c>
      <c r="R39">
        <v>3.27</v>
      </c>
      <c r="S39">
        <v>28.6</v>
      </c>
      <c r="T39">
        <v>26.69</v>
      </c>
      <c r="U39">
        <v>1.33</v>
      </c>
      <c r="V39">
        <v>89</v>
      </c>
      <c r="W39">
        <v>0</v>
      </c>
      <c r="X39">
        <v>2</v>
      </c>
      <c r="Y39">
        <v>50.459999999999994</v>
      </c>
      <c r="Z39">
        <v>0</v>
      </c>
      <c r="AA39" t="s">
        <v>114</v>
      </c>
      <c r="AB39">
        <v>0</v>
      </c>
      <c r="AC39">
        <v>0.1</v>
      </c>
      <c r="AD39">
        <v>0.05</v>
      </c>
      <c r="AE39">
        <v>50.459999999999994</v>
      </c>
      <c r="AF39" t="s">
        <v>1826</v>
      </c>
      <c r="AG39" t="s">
        <v>1670</v>
      </c>
      <c r="AH39">
        <v>0.7</v>
      </c>
    </row>
    <row r="40" spans="1:34" x14ac:dyDescent="0.25">
      <c r="A40" s="2">
        <v>45642</v>
      </c>
      <c r="B40" t="s">
        <v>2013</v>
      </c>
      <c r="C40" t="s">
        <v>2014</v>
      </c>
      <c r="D40">
        <v>91</v>
      </c>
      <c r="E40">
        <v>0.93495934959349591</v>
      </c>
      <c r="F40">
        <v>3.4782608695652174E-2</v>
      </c>
      <c r="G40">
        <v>57.53</v>
      </c>
      <c r="H40">
        <v>1.58</v>
      </c>
      <c r="I40">
        <v>55.95</v>
      </c>
      <c r="J40">
        <v>1145.51</v>
      </c>
      <c r="K40">
        <v>84.51</v>
      </c>
      <c r="L40">
        <v>13.3</v>
      </c>
      <c r="M40" t="s">
        <v>1921</v>
      </c>
      <c r="N40">
        <v>28</v>
      </c>
      <c r="O40">
        <v>63</v>
      </c>
      <c r="P40">
        <v>52.14</v>
      </c>
      <c r="Q40">
        <v>8</v>
      </c>
      <c r="R40">
        <v>3.8</v>
      </c>
      <c r="S40">
        <v>35.75</v>
      </c>
      <c r="T40">
        <v>32.630000000000003</v>
      </c>
      <c r="U40">
        <v>1.58</v>
      </c>
      <c r="V40">
        <v>115</v>
      </c>
      <c r="W40">
        <v>0</v>
      </c>
      <c r="X40">
        <v>4</v>
      </c>
      <c r="Y40">
        <v>0</v>
      </c>
      <c r="Z40">
        <v>0</v>
      </c>
      <c r="AA40" t="s">
        <v>114</v>
      </c>
      <c r="AB40">
        <v>55.95</v>
      </c>
      <c r="AC40">
        <v>0.1</v>
      </c>
      <c r="AD40">
        <v>0.05</v>
      </c>
      <c r="AE40">
        <v>0</v>
      </c>
      <c r="AF40" t="s">
        <v>1711</v>
      </c>
      <c r="AG40" t="s">
        <v>1601</v>
      </c>
      <c r="AH40">
        <v>0.7</v>
      </c>
    </row>
    <row r="41" spans="1:34" x14ac:dyDescent="0.25">
      <c r="A41" s="2">
        <v>45649</v>
      </c>
      <c r="B41" t="s">
        <v>1984</v>
      </c>
      <c r="C41" t="s">
        <v>1985</v>
      </c>
      <c r="D41">
        <v>66</v>
      </c>
      <c r="E41">
        <v>0.98837209302325579</v>
      </c>
      <c r="F41">
        <v>8.2352941176470587E-2</v>
      </c>
      <c r="G41">
        <v>50.3</v>
      </c>
      <c r="H41">
        <v>0.03</v>
      </c>
      <c r="I41">
        <v>50.269999999999996</v>
      </c>
      <c r="J41">
        <v>734.17</v>
      </c>
      <c r="K41">
        <v>53</v>
      </c>
      <c r="L41">
        <v>5.7</v>
      </c>
      <c r="M41" t="s">
        <v>1986</v>
      </c>
      <c r="N41">
        <v>17</v>
      </c>
      <c r="O41">
        <v>49</v>
      </c>
      <c r="P41">
        <v>41.15</v>
      </c>
      <c r="Q41">
        <v>1</v>
      </c>
      <c r="R41">
        <v>9.1300000000000008</v>
      </c>
      <c r="S41">
        <v>31.57</v>
      </c>
      <c r="T41">
        <v>26.94</v>
      </c>
      <c r="U41">
        <v>1.31</v>
      </c>
      <c r="V41">
        <v>85</v>
      </c>
      <c r="W41">
        <v>0</v>
      </c>
      <c r="X41">
        <v>7</v>
      </c>
      <c r="Y41">
        <v>0</v>
      </c>
      <c r="Z41">
        <v>0</v>
      </c>
      <c r="AA41" t="s">
        <v>115</v>
      </c>
      <c r="AB41">
        <v>50.269999999999996</v>
      </c>
      <c r="AC41">
        <v>0.1</v>
      </c>
      <c r="AD41">
        <v>0.05</v>
      </c>
      <c r="AE41">
        <v>0</v>
      </c>
      <c r="AF41" t="s">
        <v>1826</v>
      </c>
      <c r="AG41" t="s">
        <v>1670</v>
      </c>
      <c r="AH41">
        <v>0.7</v>
      </c>
    </row>
    <row r="42" spans="1:34" x14ac:dyDescent="0.25">
      <c r="A42" s="2">
        <v>45649</v>
      </c>
      <c r="B42" t="s">
        <v>2013</v>
      </c>
      <c r="C42" t="s">
        <v>2014</v>
      </c>
      <c r="D42">
        <v>85</v>
      </c>
      <c r="E42">
        <v>0.91818181818181821</v>
      </c>
      <c r="F42">
        <v>4.9504950495049507E-2</v>
      </c>
      <c r="G42">
        <v>59.13</v>
      </c>
      <c r="H42">
        <v>3.46</v>
      </c>
      <c r="I42">
        <v>55.67</v>
      </c>
      <c r="J42">
        <v>1173.52</v>
      </c>
      <c r="K42">
        <v>72.290000000000006</v>
      </c>
      <c r="L42">
        <v>24.83</v>
      </c>
      <c r="M42" t="s">
        <v>1921</v>
      </c>
      <c r="N42">
        <v>21</v>
      </c>
      <c r="O42">
        <v>64</v>
      </c>
      <c r="P42">
        <v>51.11</v>
      </c>
      <c r="Q42">
        <v>9</v>
      </c>
      <c r="R42">
        <v>4.55</v>
      </c>
      <c r="S42">
        <v>28.18</v>
      </c>
      <c r="T42">
        <v>25.78</v>
      </c>
      <c r="U42">
        <v>1.44</v>
      </c>
      <c r="V42">
        <v>101</v>
      </c>
      <c r="W42">
        <v>0</v>
      </c>
      <c r="X42">
        <v>5</v>
      </c>
      <c r="Y42">
        <v>0</v>
      </c>
      <c r="Z42">
        <v>0</v>
      </c>
      <c r="AA42" t="s">
        <v>115</v>
      </c>
      <c r="AB42">
        <v>55.67</v>
      </c>
      <c r="AC42">
        <v>0.1</v>
      </c>
      <c r="AD42">
        <v>0.05</v>
      </c>
      <c r="AE42">
        <v>0</v>
      </c>
      <c r="AF42" t="s">
        <v>1711</v>
      </c>
      <c r="AG42" t="s">
        <v>1601</v>
      </c>
      <c r="AH42">
        <v>0.7</v>
      </c>
    </row>
    <row r="43" spans="1:34" x14ac:dyDescent="0.25">
      <c r="A43" s="2">
        <v>45642</v>
      </c>
      <c r="B43" t="s">
        <v>1855</v>
      </c>
      <c r="C43" t="s">
        <v>1856</v>
      </c>
      <c r="D43">
        <v>86</v>
      </c>
      <c r="E43">
        <v>1</v>
      </c>
      <c r="F43">
        <v>2.8846153846153848E-2</v>
      </c>
      <c r="G43">
        <v>39.659999999999997</v>
      </c>
      <c r="H43">
        <v>0.97</v>
      </c>
      <c r="I43">
        <v>38.69</v>
      </c>
      <c r="J43">
        <v>958.01</v>
      </c>
      <c r="K43">
        <v>121.13</v>
      </c>
      <c r="L43">
        <v>7.8</v>
      </c>
      <c r="M43" t="s">
        <v>1857</v>
      </c>
      <c r="N43">
        <v>6</v>
      </c>
      <c r="O43">
        <v>80</v>
      </c>
      <c r="P43">
        <v>36.049999999999997</v>
      </c>
      <c r="Q43">
        <v>0</v>
      </c>
      <c r="R43">
        <v>2.64</v>
      </c>
      <c r="S43">
        <v>8.2799999999999994</v>
      </c>
      <c r="T43">
        <v>6.98</v>
      </c>
      <c r="U43">
        <v>2.17</v>
      </c>
      <c r="V43">
        <v>104</v>
      </c>
      <c r="W43">
        <v>0</v>
      </c>
      <c r="X43">
        <v>3</v>
      </c>
      <c r="Y43">
        <v>38.69</v>
      </c>
      <c r="Z43">
        <v>0</v>
      </c>
      <c r="AA43" t="s">
        <v>114</v>
      </c>
      <c r="AB43">
        <v>0</v>
      </c>
      <c r="AC43">
        <v>0.1</v>
      </c>
      <c r="AD43">
        <v>0.05</v>
      </c>
      <c r="AE43">
        <v>38.69</v>
      </c>
      <c r="AF43" t="s">
        <v>1771</v>
      </c>
      <c r="AG43" t="s">
        <v>1601</v>
      </c>
      <c r="AH43">
        <v>0.7</v>
      </c>
    </row>
    <row r="44" spans="1:34" x14ac:dyDescent="0.25">
      <c r="A44" s="2">
        <v>45642</v>
      </c>
      <c r="B44" t="s">
        <v>1849</v>
      </c>
      <c r="C44" t="s">
        <v>1850</v>
      </c>
      <c r="D44">
        <v>67</v>
      </c>
      <c r="E44">
        <v>1</v>
      </c>
      <c r="F44">
        <v>4.1095890410958902E-2</v>
      </c>
      <c r="G44">
        <v>50.22</v>
      </c>
      <c r="H44">
        <v>0.43</v>
      </c>
      <c r="I44">
        <v>49.79</v>
      </c>
      <c r="J44">
        <v>1067.81</v>
      </c>
      <c r="K44">
        <v>43.73</v>
      </c>
      <c r="L44">
        <v>9.3000000000000007</v>
      </c>
      <c r="M44" t="s">
        <v>1851</v>
      </c>
      <c r="N44">
        <v>2</v>
      </c>
      <c r="O44">
        <v>65</v>
      </c>
      <c r="P44">
        <v>44.8</v>
      </c>
      <c r="Q44">
        <v>0</v>
      </c>
      <c r="R44">
        <v>4.99</v>
      </c>
      <c r="S44">
        <v>4.78</v>
      </c>
      <c r="T44">
        <v>3.77</v>
      </c>
      <c r="U44">
        <v>1.33</v>
      </c>
      <c r="V44">
        <v>73</v>
      </c>
      <c r="W44">
        <v>0</v>
      </c>
      <c r="X44">
        <v>3</v>
      </c>
      <c r="Y44">
        <v>0</v>
      </c>
      <c r="Z44">
        <v>0</v>
      </c>
      <c r="AA44" t="s">
        <v>114</v>
      </c>
      <c r="AB44">
        <v>49.79</v>
      </c>
      <c r="AC44">
        <v>0.1</v>
      </c>
      <c r="AD44">
        <v>0.05</v>
      </c>
      <c r="AE44">
        <v>0</v>
      </c>
      <c r="AF44" t="s">
        <v>1722</v>
      </c>
      <c r="AG44" t="s">
        <v>1600</v>
      </c>
      <c r="AH44">
        <v>0.7</v>
      </c>
    </row>
    <row r="45" spans="1:34" x14ac:dyDescent="0.25">
      <c r="A45" s="2">
        <v>45649</v>
      </c>
      <c r="B45" t="s">
        <v>1855</v>
      </c>
      <c r="C45" t="s">
        <v>1856</v>
      </c>
      <c r="D45">
        <v>39</v>
      </c>
      <c r="E45">
        <v>0.98</v>
      </c>
      <c r="F45">
        <v>4.0816326530612242E-2</v>
      </c>
      <c r="G45">
        <v>19.100000000000001</v>
      </c>
      <c r="H45">
        <v>0</v>
      </c>
      <c r="I45">
        <v>19.100000000000001</v>
      </c>
      <c r="J45">
        <v>417.11</v>
      </c>
      <c r="K45">
        <v>13</v>
      </c>
      <c r="L45">
        <v>0</v>
      </c>
      <c r="M45" t="s">
        <v>1857</v>
      </c>
      <c r="N45">
        <v>2</v>
      </c>
      <c r="O45">
        <v>37</v>
      </c>
      <c r="P45">
        <v>17.78</v>
      </c>
      <c r="Q45">
        <v>1</v>
      </c>
      <c r="R45">
        <v>1.32</v>
      </c>
      <c r="S45">
        <v>4.13</v>
      </c>
      <c r="T45">
        <v>3.21</v>
      </c>
      <c r="U45">
        <v>2.04</v>
      </c>
      <c r="V45">
        <v>49</v>
      </c>
      <c r="W45">
        <v>0</v>
      </c>
      <c r="X45">
        <v>2</v>
      </c>
      <c r="Y45">
        <v>0</v>
      </c>
      <c r="Z45">
        <v>0</v>
      </c>
      <c r="AA45" t="s">
        <v>115</v>
      </c>
      <c r="AB45">
        <v>19.100000000000001</v>
      </c>
      <c r="AC45">
        <v>0.1</v>
      </c>
      <c r="AD45">
        <v>0.05</v>
      </c>
      <c r="AE45">
        <v>0</v>
      </c>
      <c r="AF45" t="s">
        <v>1771</v>
      </c>
      <c r="AG45" t="s">
        <v>1601</v>
      </c>
      <c r="AH45">
        <v>0.7</v>
      </c>
    </row>
    <row r="46" spans="1:34" x14ac:dyDescent="0.25">
      <c r="A46" s="2">
        <v>45649</v>
      </c>
      <c r="B46" t="s">
        <v>1849</v>
      </c>
      <c r="C46" t="s">
        <v>1850</v>
      </c>
      <c r="D46">
        <v>76</v>
      </c>
      <c r="E46">
        <v>1</v>
      </c>
      <c r="F46">
        <v>0</v>
      </c>
      <c r="G46">
        <v>50.33</v>
      </c>
      <c r="H46">
        <v>0.9</v>
      </c>
      <c r="I46">
        <v>49.43</v>
      </c>
      <c r="J46">
        <v>1073.6400000000001</v>
      </c>
      <c r="K46">
        <v>123.21</v>
      </c>
      <c r="L46">
        <v>3</v>
      </c>
      <c r="M46" t="s">
        <v>1851</v>
      </c>
      <c r="N46">
        <v>3</v>
      </c>
      <c r="O46">
        <v>73</v>
      </c>
      <c r="P46">
        <v>44.44</v>
      </c>
      <c r="Q46">
        <v>0</v>
      </c>
      <c r="R46">
        <v>4.99</v>
      </c>
      <c r="S46">
        <v>9.39</v>
      </c>
      <c r="T46">
        <v>7.37</v>
      </c>
      <c r="U46">
        <v>1.51</v>
      </c>
      <c r="V46">
        <v>84</v>
      </c>
      <c r="W46">
        <v>0</v>
      </c>
      <c r="X46">
        <v>0</v>
      </c>
      <c r="Y46">
        <v>49.43</v>
      </c>
      <c r="Z46">
        <v>0</v>
      </c>
      <c r="AA46" t="s">
        <v>115</v>
      </c>
      <c r="AB46">
        <v>0</v>
      </c>
      <c r="AC46">
        <v>0.1</v>
      </c>
      <c r="AD46">
        <v>0.05</v>
      </c>
      <c r="AE46">
        <v>49.43</v>
      </c>
      <c r="AF46" t="s">
        <v>1722</v>
      </c>
      <c r="AG46" t="s">
        <v>1600</v>
      </c>
      <c r="AH46">
        <v>0.7</v>
      </c>
    </row>
    <row r="47" spans="1:34" x14ac:dyDescent="0.25">
      <c r="A47" s="2">
        <v>45649</v>
      </c>
      <c r="B47" t="s">
        <v>1910</v>
      </c>
      <c r="C47" t="s">
        <v>1911</v>
      </c>
      <c r="D47">
        <v>43</v>
      </c>
      <c r="E47">
        <v>1</v>
      </c>
      <c r="F47">
        <v>0</v>
      </c>
      <c r="G47">
        <v>21.69</v>
      </c>
      <c r="H47">
        <v>0.26</v>
      </c>
      <c r="I47">
        <v>21.43</v>
      </c>
      <c r="J47">
        <v>543.58000000000004</v>
      </c>
      <c r="K47">
        <v>59.67</v>
      </c>
      <c r="L47">
        <v>6</v>
      </c>
      <c r="M47" t="s">
        <v>1912</v>
      </c>
      <c r="N47">
        <v>4</v>
      </c>
      <c r="O47">
        <v>39</v>
      </c>
      <c r="P47">
        <v>19.73</v>
      </c>
      <c r="Q47">
        <v>0</v>
      </c>
      <c r="R47">
        <v>1.7</v>
      </c>
      <c r="S47">
        <v>0.89</v>
      </c>
      <c r="T47">
        <v>0.8</v>
      </c>
      <c r="U47">
        <v>1.98</v>
      </c>
      <c r="V47">
        <v>47</v>
      </c>
      <c r="W47">
        <v>0</v>
      </c>
      <c r="X47">
        <v>0</v>
      </c>
      <c r="Y47">
        <v>21.43</v>
      </c>
      <c r="Z47">
        <v>0</v>
      </c>
      <c r="AA47" t="s">
        <v>115</v>
      </c>
      <c r="AB47">
        <v>0</v>
      </c>
      <c r="AC47">
        <v>0.1</v>
      </c>
      <c r="AD47">
        <v>0.05</v>
      </c>
      <c r="AE47">
        <v>21.43</v>
      </c>
      <c r="AF47" t="s">
        <v>1686</v>
      </c>
      <c r="AG47" t="s">
        <v>1599</v>
      </c>
      <c r="AH47">
        <v>0.7</v>
      </c>
    </row>
    <row r="48" spans="1:34" x14ac:dyDescent="0.25">
      <c r="A48" s="2">
        <v>45642</v>
      </c>
      <c r="B48" t="s">
        <v>1868</v>
      </c>
      <c r="C48" t="s">
        <v>1869</v>
      </c>
      <c r="D48">
        <v>52</v>
      </c>
      <c r="E48">
        <v>1</v>
      </c>
      <c r="F48">
        <v>0</v>
      </c>
      <c r="G48">
        <v>39.340000000000003</v>
      </c>
      <c r="H48">
        <v>6.78</v>
      </c>
      <c r="I48">
        <v>32.56</v>
      </c>
      <c r="J48">
        <v>648.21</v>
      </c>
      <c r="K48">
        <v>108.99</v>
      </c>
      <c r="L48">
        <v>24</v>
      </c>
      <c r="M48" t="s">
        <v>1870</v>
      </c>
      <c r="N48">
        <v>24</v>
      </c>
      <c r="O48">
        <v>28</v>
      </c>
      <c r="P48">
        <v>30.32</v>
      </c>
      <c r="Q48">
        <v>0</v>
      </c>
      <c r="R48">
        <v>2.2400000000000002</v>
      </c>
      <c r="S48">
        <v>21.68</v>
      </c>
      <c r="T48">
        <v>17.32</v>
      </c>
      <c r="U48">
        <v>1.32</v>
      </c>
      <c r="V48">
        <v>58</v>
      </c>
      <c r="W48">
        <v>0</v>
      </c>
      <c r="X48">
        <v>0</v>
      </c>
      <c r="Y48">
        <v>32.56</v>
      </c>
      <c r="Z48">
        <v>0</v>
      </c>
      <c r="AA48" t="s">
        <v>114</v>
      </c>
      <c r="AB48">
        <v>0</v>
      </c>
      <c r="AC48">
        <v>0.1</v>
      </c>
      <c r="AD48">
        <v>0.05</v>
      </c>
      <c r="AE48">
        <v>32.56</v>
      </c>
      <c r="AF48" t="s">
        <v>1641</v>
      </c>
      <c r="AG48" t="s">
        <v>1667</v>
      </c>
      <c r="AH48">
        <v>0.7</v>
      </c>
    </row>
    <row r="49" spans="1:34" x14ac:dyDescent="0.25">
      <c r="A49" s="2">
        <v>45649</v>
      </c>
      <c r="B49" t="s">
        <v>1868</v>
      </c>
      <c r="C49" t="s">
        <v>1869</v>
      </c>
      <c r="D49">
        <v>70</v>
      </c>
      <c r="E49">
        <v>0.9838709677419355</v>
      </c>
      <c r="F49">
        <v>0</v>
      </c>
      <c r="G49">
        <v>48.92</v>
      </c>
      <c r="H49">
        <v>4.41</v>
      </c>
      <c r="I49">
        <v>44.510000000000005</v>
      </c>
      <c r="J49">
        <v>1084.3499999999999</v>
      </c>
      <c r="K49">
        <v>124.74</v>
      </c>
      <c r="L49">
        <v>6</v>
      </c>
      <c r="M49" t="s">
        <v>1870</v>
      </c>
      <c r="N49">
        <v>17</v>
      </c>
      <c r="O49">
        <v>53</v>
      </c>
      <c r="P49">
        <v>37.130000000000003</v>
      </c>
      <c r="Q49">
        <v>1</v>
      </c>
      <c r="R49">
        <v>7.37</v>
      </c>
      <c r="S49">
        <v>20.76</v>
      </c>
      <c r="T49">
        <v>14.29</v>
      </c>
      <c r="U49">
        <v>1.43</v>
      </c>
      <c r="V49">
        <v>61</v>
      </c>
      <c r="W49">
        <v>0</v>
      </c>
      <c r="X49">
        <v>0</v>
      </c>
      <c r="Y49">
        <v>44.510000000000005</v>
      </c>
      <c r="Z49">
        <v>0</v>
      </c>
      <c r="AA49" t="s">
        <v>115</v>
      </c>
      <c r="AB49">
        <v>0</v>
      </c>
      <c r="AC49">
        <v>0.1</v>
      </c>
      <c r="AD49">
        <v>0.05</v>
      </c>
      <c r="AE49">
        <v>44.510000000000005</v>
      </c>
      <c r="AF49" t="s">
        <v>1641</v>
      </c>
      <c r="AG49" t="s">
        <v>1667</v>
      </c>
      <c r="AH49">
        <v>0.7</v>
      </c>
    </row>
    <row r="50" spans="1:34" x14ac:dyDescent="0.25">
      <c r="A50" s="2">
        <v>45642</v>
      </c>
      <c r="B50" t="s">
        <v>2006</v>
      </c>
      <c r="C50" t="s">
        <v>2007</v>
      </c>
      <c r="D50">
        <v>65</v>
      </c>
      <c r="E50">
        <v>1</v>
      </c>
      <c r="F50">
        <v>0</v>
      </c>
      <c r="G50">
        <v>50.19</v>
      </c>
      <c r="H50">
        <v>2.44</v>
      </c>
      <c r="I50">
        <v>47.75</v>
      </c>
      <c r="J50">
        <v>707.05</v>
      </c>
      <c r="K50">
        <v>12</v>
      </c>
      <c r="L50">
        <v>1.5</v>
      </c>
      <c r="M50" t="s">
        <v>1861</v>
      </c>
      <c r="N50">
        <v>5</v>
      </c>
      <c r="O50">
        <v>60</v>
      </c>
      <c r="P50">
        <v>27.87</v>
      </c>
      <c r="Q50">
        <v>0</v>
      </c>
      <c r="R50">
        <v>19.87</v>
      </c>
      <c r="S50">
        <v>11.07</v>
      </c>
      <c r="T50">
        <v>7.87</v>
      </c>
      <c r="U50">
        <v>1.3</v>
      </c>
      <c r="V50">
        <v>72</v>
      </c>
      <c r="W50">
        <v>0</v>
      </c>
      <c r="X50">
        <v>0</v>
      </c>
      <c r="Y50">
        <v>47.75</v>
      </c>
      <c r="Z50">
        <v>0</v>
      </c>
      <c r="AA50" t="s">
        <v>114</v>
      </c>
      <c r="AB50">
        <v>0</v>
      </c>
      <c r="AC50">
        <v>0.1</v>
      </c>
      <c r="AD50">
        <v>0.05</v>
      </c>
      <c r="AE50">
        <v>47.75</v>
      </c>
      <c r="AF50" t="s">
        <v>1693</v>
      </c>
      <c r="AG50" t="s">
        <v>1745</v>
      </c>
      <c r="AH50">
        <v>0.7</v>
      </c>
    </row>
    <row r="51" spans="1:34" x14ac:dyDescent="0.25">
      <c r="A51" s="2">
        <v>45649</v>
      </c>
      <c r="B51" t="s">
        <v>2006</v>
      </c>
      <c r="C51" t="s">
        <v>2007</v>
      </c>
      <c r="D51">
        <v>94</v>
      </c>
      <c r="E51">
        <v>0.89380530973451322</v>
      </c>
      <c r="F51">
        <v>2.9702970297029702E-2</v>
      </c>
      <c r="G51">
        <v>60</v>
      </c>
      <c r="H51">
        <v>0.1</v>
      </c>
      <c r="I51">
        <v>59.9</v>
      </c>
      <c r="J51">
        <v>1050.47</v>
      </c>
      <c r="K51">
        <v>73.8</v>
      </c>
      <c r="L51">
        <v>6</v>
      </c>
      <c r="M51" t="s">
        <v>1861</v>
      </c>
      <c r="N51">
        <v>10</v>
      </c>
      <c r="O51">
        <v>84</v>
      </c>
      <c r="P51">
        <v>40.43</v>
      </c>
      <c r="Q51">
        <v>12</v>
      </c>
      <c r="R51">
        <v>19.46</v>
      </c>
      <c r="S51">
        <v>16.78</v>
      </c>
      <c r="T51">
        <v>13.18</v>
      </c>
      <c r="U51">
        <v>1.57</v>
      </c>
      <c r="V51">
        <v>101</v>
      </c>
      <c r="W51">
        <v>0</v>
      </c>
      <c r="X51">
        <v>3</v>
      </c>
      <c r="Y51">
        <v>0</v>
      </c>
      <c r="Z51">
        <v>0</v>
      </c>
      <c r="AA51" t="s">
        <v>115</v>
      </c>
      <c r="AB51">
        <v>59.9</v>
      </c>
      <c r="AC51">
        <v>0.1</v>
      </c>
      <c r="AD51">
        <v>0.05</v>
      </c>
      <c r="AE51">
        <v>0</v>
      </c>
      <c r="AF51" t="s">
        <v>1693</v>
      </c>
      <c r="AG51" t="s">
        <v>1745</v>
      </c>
      <c r="AH51">
        <v>0.7</v>
      </c>
    </row>
    <row r="52" spans="1:34" x14ac:dyDescent="0.25">
      <c r="A52" s="2">
        <v>45642</v>
      </c>
      <c r="B52" t="s">
        <v>1975</v>
      </c>
      <c r="C52" t="s">
        <v>1976</v>
      </c>
      <c r="D52">
        <v>77</v>
      </c>
      <c r="E52">
        <v>0.83908045977011492</v>
      </c>
      <c r="F52">
        <v>0</v>
      </c>
      <c r="G52">
        <v>60.04</v>
      </c>
      <c r="H52">
        <v>0.5</v>
      </c>
      <c r="I52">
        <v>59.54</v>
      </c>
      <c r="J52">
        <v>999.1</v>
      </c>
      <c r="K52">
        <v>54.2</v>
      </c>
      <c r="L52">
        <v>0</v>
      </c>
      <c r="M52" t="s">
        <v>1977</v>
      </c>
      <c r="N52">
        <v>27</v>
      </c>
      <c r="O52">
        <v>50</v>
      </c>
      <c r="P52">
        <v>43.27</v>
      </c>
      <c r="Q52">
        <v>14</v>
      </c>
      <c r="R52">
        <v>16.27</v>
      </c>
      <c r="S52">
        <v>35.56</v>
      </c>
      <c r="T52">
        <v>31.29</v>
      </c>
      <c r="U52">
        <v>1.28</v>
      </c>
      <c r="V52">
        <v>73</v>
      </c>
      <c r="W52">
        <v>0</v>
      </c>
      <c r="X52">
        <v>0</v>
      </c>
      <c r="Y52">
        <v>0</v>
      </c>
      <c r="Z52">
        <v>0</v>
      </c>
      <c r="AA52" t="s">
        <v>114</v>
      </c>
      <c r="AB52">
        <v>59.54</v>
      </c>
      <c r="AC52">
        <v>0.1</v>
      </c>
      <c r="AD52">
        <v>0.05</v>
      </c>
      <c r="AE52">
        <v>0</v>
      </c>
      <c r="AF52" t="s">
        <v>1962</v>
      </c>
      <c r="AG52" t="s">
        <v>1670</v>
      </c>
      <c r="AH52">
        <v>0.7</v>
      </c>
    </row>
    <row r="53" spans="1:34" x14ac:dyDescent="0.25">
      <c r="A53" s="2">
        <v>45642</v>
      </c>
      <c r="B53" t="s">
        <v>1892</v>
      </c>
      <c r="C53" t="s">
        <v>2007</v>
      </c>
      <c r="D53">
        <v>58</v>
      </c>
      <c r="E53">
        <v>1</v>
      </c>
      <c r="F53">
        <v>4.6511627906976744E-2</v>
      </c>
      <c r="G53">
        <v>50.02</v>
      </c>
      <c r="H53">
        <v>1.73</v>
      </c>
      <c r="I53">
        <v>48.290000000000006</v>
      </c>
      <c r="J53">
        <v>681.96</v>
      </c>
      <c r="K53">
        <v>42</v>
      </c>
      <c r="L53">
        <v>7.06</v>
      </c>
      <c r="M53" t="s">
        <v>1918</v>
      </c>
      <c r="N53">
        <v>8</v>
      </c>
      <c r="O53">
        <v>50</v>
      </c>
      <c r="P53">
        <v>32.57</v>
      </c>
      <c r="Q53">
        <v>0</v>
      </c>
      <c r="R53">
        <v>15.73</v>
      </c>
      <c r="S53">
        <v>12.7</v>
      </c>
      <c r="T53">
        <v>8.6199999999999992</v>
      </c>
      <c r="U53">
        <v>1.1599999999999999</v>
      </c>
      <c r="V53">
        <v>86</v>
      </c>
      <c r="W53">
        <v>0</v>
      </c>
      <c r="X53">
        <v>4</v>
      </c>
      <c r="Y53">
        <v>0</v>
      </c>
      <c r="Z53">
        <v>0</v>
      </c>
      <c r="AA53" t="s">
        <v>114</v>
      </c>
      <c r="AB53">
        <v>48.290000000000006</v>
      </c>
      <c r="AC53">
        <v>0.1</v>
      </c>
      <c r="AD53">
        <v>0.05</v>
      </c>
      <c r="AE53">
        <v>0</v>
      </c>
      <c r="AF53" t="s">
        <v>1712</v>
      </c>
      <c r="AG53" t="s">
        <v>1699</v>
      </c>
      <c r="AH53">
        <v>0.7</v>
      </c>
    </row>
    <row r="54" spans="1:34" x14ac:dyDescent="0.25">
      <c r="A54" s="2">
        <v>45649</v>
      </c>
      <c r="B54" t="s">
        <v>1975</v>
      </c>
      <c r="C54" t="s">
        <v>1976</v>
      </c>
      <c r="D54">
        <v>67</v>
      </c>
      <c r="E54">
        <v>0.76543209876543206</v>
      </c>
      <c r="F54">
        <v>0</v>
      </c>
      <c r="G54">
        <v>55.1</v>
      </c>
      <c r="H54">
        <v>0.69</v>
      </c>
      <c r="I54">
        <v>54.410000000000004</v>
      </c>
      <c r="J54">
        <v>792.97</v>
      </c>
      <c r="K54">
        <v>74.3</v>
      </c>
      <c r="L54">
        <v>0</v>
      </c>
      <c r="M54" t="s">
        <v>1977</v>
      </c>
      <c r="N54">
        <v>12</v>
      </c>
      <c r="O54">
        <v>55</v>
      </c>
      <c r="P54">
        <v>32.76</v>
      </c>
      <c r="Q54">
        <v>19</v>
      </c>
      <c r="R54">
        <v>21.65</v>
      </c>
      <c r="S54">
        <v>34.18</v>
      </c>
      <c r="T54">
        <v>23.48</v>
      </c>
      <c r="U54">
        <v>1.22</v>
      </c>
      <c r="V54">
        <v>62</v>
      </c>
      <c r="W54">
        <v>0</v>
      </c>
      <c r="X54">
        <v>0</v>
      </c>
      <c r="Y54">
        <v>0</v>
      </c>
      <c r="Z54">
        <v>0</v>
      </c>
      <c r="AA54" t="s">
        <v>115</v>
      </c>
      <c r="AB54">
        <v>54.410000000000004</v>
      </c>
      <c r="AC54">
        <v>0.1</v>
      </c>
      <c r="AD54">
        <v>0.05</v>
      </c>
      <c r="AE54">
        <v>0</v>
      </c>
      <c r="AF54" t="s">
        <v>1962</v>
      </c>
      <c r="AG54" t="s">
        <v>1670</v>
      </c>
      <c r="AH54">
        <v>0.7</v>
      </c>
    </row>
    <row r="55" spans="1:34" x14ac:dyDescent="0.25">
      <c r="A55" s="2">
        <v>45649</v>
      </c>
      <c r="B55" t="s">
        <v>1892</v>
      </c>
      <c r="C55" t="s">
        <v>2007</v>
      </c>
      <c r="D55">
        <v>70</v>
      </c>
      <c r="E55">
        <v>1</v>
      </c>
      <c r="F55">
        <v>7.1428571428571425E-2</v>
      </c>
      <c r="G55">
        <v>50.07</v>
      </c>
      <c r="H55">
        <v>0.01</v>
      </c>
      <c r="I55">
        <v>50.06</v>
      </c>
      <c r="J55">
        <v>816.34</v>
      </c>
      <c r="K55">
        <v>60.36</v>
      </c>
      <c r="L55">
        <v>3.8</v>
      </c>
      <c r="M55" t="s">
        <v>1918</v>
      </c>
      <c r="N55">
        <v>10</v>
      </c>
      <c r="O55">
        <v>60</v>
      </c>
      <c r="P55">
        <v>33.51</v>
      </c>
      <c r="Q55">
        <v>0</v>
      </c>
      <c r="R55">
        <v>16.54</v>
      </c>
      <c r="S55">
        <v>15.75</v>
      </c>
      <c r="T55">
        <v>11.36</v>
      </c>
      <c r="U55">
        <v>1.4</v>
      </c>
      <c r="V55">
        <v>84</v>
      </c>
      <c r="W55">
        <v>0</v>
      </c>
      <c r="X55">
        <v>6</v>
      </c>
      <c r="Y55">
        <v>0</v>
      </c>
      <c r="Z55">
        <v>0</v>
      </c>
      <c r="AA55" t="s">
        <v>115</v>
      </c>
      <c r="AB55">
        <v>50.06</v>
      </c>
      <c r="AC55">
        <v>0.1</v>
      </c>
      <c r="AD55">
        <v>0.05</v>
      </c>
      <c r="AE55">
        <v>0</v>
      </c>
      <c r="AF55" t="s">
        <v>1712</v>
      </c>
      <c r="AG55" t="s">
        <v>1699</v>
      </c>
      <c r="AH55">
        <v>0.7</v>
      </c>
    </row>
    <row r="56" spans="1:34" x14ac:dyDescent="0.25">
      <c r="A56" s="2">
        <v>45649</v>
      </c>
      <c r="B56" t="s">
        <v>1838</v>
      </c>
      <c r="C56" t="s">
        <v>1839</v>
      </c>
      <c r="D56">
        <v>27</v>
      </c>
      <c r="E56">
        <v>1</v>
      </c>
      <c r="F56">
        <v>0</v>
      </c>
      <c r="G56">
        <v>15.36</v>
      </c>
      <c r="H56">
        <v>0</v>
      </c>
      <c r="I56">
        <v>15.36</v>
      </c>
      <c r="J56">
        <v>329.22</v>
      </c>
      <c r="K56">
        <v>31</v>
      </c>
      <c r="L56">
        <v>0</v>
      </c>
      <c r="M56" t="s">
        <v>1840</v>
      </c>
      <c r="N56">
        <v>2</v>
      </c>
      <c r="O56">
        <v>25</v>
      </c>
      <c r="P56">
        <v>12.43</v>
      </c>
      <c r="Q56">
        <v>0</v>
      </c>
      <c r="R56">
        <v>2.94</v>
      </c>
      <c r="S56">
        <v>0</v>
      </c>
      <c r="T56">
        <v>0</v>
      </c>
      <c r="U56">
        <v>1.76</v>
      </c>
      <c r="V56">
        <v>23</v>
      </c>
      <c r="W56">
        <v>0</v>
      </c>
      <c r="X56">
        <v>0</v>
      </c>
      <c r="Y56">
        <v>15.36</v>
      </c>
      <c r="Z56">
        <v>0</v>
      </c>
      <c r="AA56" t="s">
        <v>115</v>
      </c>
      <c r="AB56">
        <v>0</v>
      </c>
      <c r="AC56">
        <v>0.1</v>
      </c>
      <c r="AD56">
        <v>0.05</v>
      </c>
      <c r="AE56">
        <v>15.36</v>
      </c>
      <c r="AF56" t="s">
        <v>1629</v>
      </c>
      <c r="AG56" t="s">
        <v>1599</v>
      </c>
      <c r="AH56">
        <v>0.7</v>
      </c>
    </row>
    <row r="57" spans="1:34" x14ac:dyDescent="0.25">
      <c r="A57" s="2">
        <v>45642</v>
      </c>
      <c r="B57" t="s">
        <v>2034</v>
      </c>
      <c r="C57" t="s">
        <v>1883</v>
      </c>
      <c r="D57">
        <v>16</v>
      </c>
      <c r="E57">
        <v>1</v>
      </c>
      <c r="F57">
        <v>4.7619047619047616E-2</v>
      </c>
      <c r="G57">
        <v>19.510000000000002</v>
      </c>
      <c r="H57">
        <v>0.05</v>
      </c>
      <c r="I57">
        <v>19.46</v>
      </c>
      <c r="J57">
        <v>189.3</v>
      </c>
      <c r="K57">
        <v>9</v>
      </c>
      <c r="L57">
        <v>0</v>
      </c>
      <c r="M57" t="s">
        <v>2035</v>
      </c>
      <c r="N57">
        <v>0</v>
      </c>
      <c r="O57">
        <v>16</v>
      </c>
      <c r="P57">
        <v>8.08</v>
      </c>
      <c r="Q57">
        <v>0</v>
      </c>
      <c r="R57">
        <v>11.38</v>
      </c>
      <c r="S57">
        <v>3.74</v>
      </c>
      <c r="T57">
        <v>1.18</v>
      </c>
      <c r="U57">
        <v>0.82</v>
      </c>
      <c r="V57">
        <v>21</v>
      </c>
      <c r="W57">
        <v>0</v>
      </c>
      <c r="X57">
        <v>1</v>
      </c>
      <c r="Y57">
        <v>0</v>
      </c>
      <c r="Z57">
        <v>0</v>
      </c>
      <c r="AA57" t="s">
        <v>114</v>
      </c>
      <c r="AB57">
        <v>19.46</v>
      </c>
      <c r="AC57">
        <v>0.1</v>
      </c>
      <c r="AD57">
        <v>0.05</v>
      </c>
      <c r="AE57">
        <v>0</v>
      </c>
      <c r="AF57" t="s">
        <v>1966</v>
      </c>
      <c r="AG57" t="s">
        <v>1814</v>
      </c>
      <c r="AH57">
        <v>0.7</v>
      </c>
    </row>
    <row r="58" spans="1:34" x14ac:dyDescent="0.25">
      <c r="A58" s="2">
        <v>45642</v>
      </c>
      <c r="B58" t="s">
        <v>1862</v>
      </c>
      <c r="C58" t="s">
        <v>1863</v>
      </c>
      <c r="D58">
        <v>38</v>
      </c>
      <c r="E58">
        <v>1</v>
      </c>
      <c r="F58">
        <v>7.1428571428571425E-2</v>
      </c>
      <c r="G58">
        <v>30.11</v>
      </c>
      <c r="H58">
        <v>0</v>
      </c>
      <c r="I58">
        <v>30.11</v>
      </c>
      <c r="J58">
        <v>467.28</v>
      </c>
      <c r="K58">
        <v>21</v>
      </c>
      <c r="L58">
        <v>0</v>
      </c>
      <c r="M58" t="s">
        <v>1864</v>
      </c>
      <c r="N58">
        <v>23</v>
      </c>
      <c r="O58">
        <v>15</v>
      </c>
      <c r="P58">
        <v>29.34</v>
      </c>
      <c r="Q58">
        <v>0</v>
      </c>
      <c r="R58">
        <v>0.76</v>
      </c>
      <c r="S58">
        <v>25.61</v>
      </c>
      <c r="T58">
        <v>24.88</v>
      </c>
      <c r="U58">
        <v>1.26</v>
      </c>
      <c r="V58">
        <v>56</v>
      </c>
      <c r="W58">
        <v>0</v>
      </c>
      <c r="X58">
        <v>4</v>
      </c>
      <c r="Y58">
        <v>0</v>
      </c>
      <c r="Z58">
        <v>0</v>
      </c>
      <c r="AA58" t="s">
        <v>114</v>
      </c>
      <c r="AB58">
        <v>30.11</v>
      </c>
      <c r="AC58">
        <v>0.1</v>
      </c>
      <c r="AD58">
        <v>0.05</v>
      </c>
      <c r="AE58">
        <v>0</v>
      </c>
      <c r="AF58" t="s">
        <v>1604</v>
      </c>
      <c r="AG58" t="s">
        <v>1599</v>
      </c>
      <c r="AH58">
        <v>0.7</v>
      </c>
    </row>
    <row r="59" spans="1:34" x14ac:dyDescent="0.25">
      <c r="A59" s="2">
        <v>45649</v>
      </c>
      <c r="B59" t="s">
        <v>1862</v>
      </c>
      <c r="C59" t="s">
        <v>1863</v>
      </c>
      <c r="D59">
        <v>32</v>
      </c>
      <c r="E59">
        <v>0.95121951219512191</v>
      </c>
      <c r="F59">
        <v>2.564102564102564E-2</v>
      </c>
      <c r="G59">
        <v>18.760000000000002</v>
      </c>
      <c r="H59">
        <v>0</v>
      </c>
      <c r="I59">
        <v>18.760000000000002</v>
      </c>
      <c r="J59">
        <v>419.26</v>
      </c>
      <c r="K59">
        <v>18</v>
      </c>
      <c r="L59">
        <v>0</v>
      </c>
      <c r="M59" t="s">
        <v>1864</v>
      </c>
      <c r="N59">
        <v>9</v>
      </c>
      <c r="O59">
        <v>23</v>
      </c>
      <c r="P59">
        <v>16.93</v>
      </c>
      <c r="Q59">
        <v>1</v>
      </c>
      <c r="R59">
        <v>1.83</v>
      </c>
      <c r="S59">
        <v>0</v>
      </c>
      <c r="T59">
        <v>0</v>
      </c>
      <c r="U59">
        <v>1.71</v>
      </c>
      <c r="V59">
        <v>39</v>
      </c>
      <c r="W59">
        <v>1</v>
      </c>
      <c r="X59">
        <v>1</v>
      </c>
      <c r="Y59">
        <v>18.760000000000002</v>
      </c>
      <c r="Z59">
        <v>0</v>
      </c>
      <c r="AA59" t="s">
        <v>115</v>
      </c>
      <c r="AB59">
        <v>0</v>
      </c>
      <c r="AC59">
        <v>0.1</v>
      </c>
      <c r="AD59">
        <v>0.05</v>
      </c>
      <c r="AE59">
        <v>18.760000000000002</v>
      </c>
      <c r="AF59" t="s">
        <v>1604</v>
      </c>
      <c r="AG59" t="s">
        <v>1599</v>
      </c>
      <c r="AH59">
        <v>0.7</v>
      </c>
    </row>
    <row r="60" spans="1:34" x14ac:dyDescent="0.25">
      <c r="A60" s="2">
        <v>45642</v>
      </c>
      <c r="B60" t="s">
        <v>2008</v>
      </c>
      <c r="C60" t="s">
        <v>2009</v>
      </c>
      <c r="D60">
        <v>150</v>
      </c>
      <c r="E60">
        <v>0.98795180722891562</v>
      </c>
      <c r="F60">
        <v>1.8292682926829267E-2</v>
      </c>
      <c r="G60">
        <v>83.88</v>
      </c>
      <c r="H60">
        <v>0.65</v>
      </c>
      <c r="I60">
        <v>83.22999999999999</v>
      </c>
      <c r="J60">
        <v>1797.35</v>
      </c>
      <c r="K60">
        <v>100.21</v>
      </c>
      <c r="L60">
        <v>8.1999999999999993</v>
      </c>
      <c r="M60" t="s">
        <v>1914</v>
      </c>
      <c r="N60">
        <v>17</v>
      </c>
      <c r="O60">
        <v>133</v>
      </c>
      <c r="P60">
        <v>74.59</v>
      </c>
      <c r="Q60">
        <v>2</v>
      </c>
      <c r="R60">
        <v>8.64</v>
      </c>
      <c r="S60">
        <v>15.33</v>
      </c>
      <c r="T60">
        <v>14.15</v>
      </c>
      <c r="U60">
        <v>1.79</v>
      </c>
      <c r="V60">
        <v>164</v>
      </c>
      <c r="W60">
        <v>0</v>
      </c>
      <c r="X60">
        <v>3</v>
      </c>
      <c r="Y60">
        <v>83.22999999999999</v>
      </c>
      <c r="Z60">
        <v>0</v>
      </c>
      <c r="AA60" t="s">
        <v>114</v>
      </c>
      <c r="AB60">
        <v>0</v>
      </c>
      <c r="AC60">
        <v>0.1</v>
      </c>
      <c r="AD60">
        <v>0.05</v>
      </c>
      <c r="AE60">
        <v>83.22999999999999</v>
      </c>
      <c r="AF60" t="s">
        <v>1706</v>
      </c>
      <c r="AG60" t="s">
        <v>1716</v>
      </c>
      <c r="AH60">
        <v>0.7</v>
      </c>
    </row>
    <row r="61" spans="1:34" x14ac:dyDescent="0.25">
      <c r="A61" s="2">
        <v>45642</v>
      </c>
      <c r="B61" t="s">
        <v>2042</v>
      </c>
      <c r="C61" t="s">
        <v>1863</v>
      </c>
      <c r="D61">
        <v>21</v>
      </c>
      <c r="E61">
        <v>1</v>
      </c>
      <c r="F61">
        <v>4.3478260869565216E-2</v>
      </c>
      <c r="G61">
        <v>13.94</v>
      </c>
      <c r="H61">
        <v>0</v>
      </c>
      <c r="I61">
        <v>13.94</v>
      </c>
      <c r="J61">
        <v>331.54</v>
      </c>
      <c r="K61">
        <v>23.39</v>
      </c>
      <c r="L61">
        <v>13.9</v>
      </c>
      <c r="M61" t="s">
        <v>2043</v>
      </c>
      <c r="N61">
        <v>4</v>
      </c>
      <c r="O61">
        <v>17</v>
      </c>
      <c r="P61">
        <v>13.57</v>
      </c>
      <c r="Q61">
        <v>0</v>
      </c>
      <c r="R61">
        <v>0.37</v>
      </c>
      <c r="S61">
        <v>2.82</v>
      </c>
      <c r="T61">
        <v>2.73</v>
      </c>
      <c r="U61">
        <v>1.51</v>
      </c>
      <c r="V61">
        <v>23</v>
      </c>
      <c r="W61">
        <v>0</v>
      </c>
      <c r="X61">
        <v>1</v>
      </c>
      <c r="Y61">
        <v>0</v>
      </c>
      <c r="Z61">
        <v>0</v>
      </c>
      <c r="AA61" t="s">
        <v>114</v>
      </c>
      <c r="AB61">
        <v>13.94</v>
      </c>
      <c r="AC61">
        <v>0.1</v>
      </c>
      <c r="AD61">
        <v>0.05</v>
      </c>
      <c r="AE61">
        <v>0</v>
      </c>
      <c r="AF61" t="s">
        <v>2027</v>
      </c>
      <c r="AG61" t="s">
        <v>1601</v>
      </c>
      <c r="AH61">
        <v>0.7</v>
      </c>
    </row>
    <row r="62" spans="1:34" x14ac:dyDescent="0.25">
      <c r="A62" s="2">
        <v>45649</v>
      </c>
      <c r="B62" t="s">
        <v>2008</v>
      </c>
      <c r="C62" t="s">
        <v>2009</v>
      </c>
      <c r="D62">
        <v>157</v>
      </c>
      <c r="E62">
        <v>1</v>
      </c>
      <c r="F62">
        <v>5.9171597633136093E-3</v>
      </c>
      <c r="G62">
        <v>84.84</v>
      </c>
      <c r="H62">
        <v>3.48</v>
      </c>
      <c r="I62">
        <v>81.36</v>
      </c>
      <c r="J62">
        <v>1806.49</v>
      </c>
      <c r="K62">
        <v>98.93</v>
      </c>
      <c r="L62">
        <v>5.5</v>
      </c>
      <c r="M62" t="s">
        <v>1914</v>
      </c>
      <c r="N62">
        <v>10</v>
      </c>
      <c r="O62">
        <v>147</v>
      </c>
      <c r="P62">
        <v>69.69</v>
      </c>
      <c r="Q62">
        <v>0</v>
      </c>
      <c r="R62">
        <v>11.67</v>
      </c>
      <c r="S62">
        <v>11.68</v>
      </c>
      <c r="T62">
        <v>6.92</v>
      </c>
      <c r="U62">
        <v>1.85</v>
      </c>
      <c r="V62">
        <v>169</v>
      </c>
      <c r="W62">
        <v>0</v>
      </c>
      <c r="X62">
        <v>1</v>
      </c>
      <c r="Y62">
        <v>81.36</v>
      </c>
      <c r="Z62">
        <v>0</v>
      </c>
      <c r="AA62" t="s">
        <v>115</v>
      </c>
      <c r="AB62">
        <v>0</v>
      </c>
      <c r="AC62">
        <v>0.1</v>
      </c>
      <c r="AD62">
        <v>0.05</v>
      </c>
      <c r="AE62">
        <v>81.36</v>
      </c>
      <c r="AF62" t="s">
        <v>1706</v>
      </c>
      <c r="AG62" t="s">
        <v>1716</v>
      </c>
      <c r="AH62">
        <v>0.7</v>
      </c>
    </row>
    <row r="63" spans="1:34" x14ac:dyDescent="0.25">
      <c r="A63" s="2">
        <v>45649</v>
      </c>
      <c r="B63" t="s">
        <v>2042</v>
      </c>
      <c r="C63" t="s">
        <v>1863</v>
      </c>
      <c r="D63">
        <v>56</v>
      </c>
      <c r="E63">
        <v>1</v>
      </c>
      <c r="F63">
        <v>0</v>
      </c>
      <c r="G63">
        <v>26.44</v>
      </c>
      <c r="H63">
        <v>0.4</v>
      </c>
      <c r="I63">
        <v>26.040000000000003</v>
      </c>
      <c r="J63">
        <v>670.12</v>
      </c>
      <c r="K63">
        <v>89.19</v>
      </c>
      <c r="L63">
        <v>9</v>
      </c>
      <c r="M63" t="s">
        <v>2043</v>
      </c>
      <c r="N63">
        <v>2</v>
      </c>
      <c r="O63">
        <v>54</v>
      </c>
      <c r="P63">
        <v>23.61</v>
      </c>
      <c r="Q63">
        <v>0</v>
      </c>
      <c r="R63">
        <v>2.4300000000000002</v>
      </c>
      <c r="S63">
        <v>5.78</v>
      </c>
      <c r="T63">
        <v>5.32</v>
      </c>
      <c r="U63">
        <v>2.12</v>
      </c>
      <c r="V63">
        <v>56</v>
      </c>
      <c r="W63">
        <v>0</v>
      </c>
      <c r="X63">
        <v>0</v>
      </c>
      <c r="Y63">
        <v>26.040000000000003</v>
      </c>
      <c r="Z63">
        <v>0</v>
      </c>
      <c r="AA63" t="s">
        <v>115</v>
      </c>
      <c r="AB63">
        <v>0</v>
      </c>
      <c r="AC63">
        <v>0.1</v>
      </c>
      <c r="AD63">
        <v>0.05</v>
      </c>
      <c r="AE63">
        <v>26.040000000000003</v>
      </c>
      <c r="AF63" t="s">
        <v>2027</v>
      </c>
      <c r="AG63" t="s">
        <v>1601</v>
      </c>
      <c r="AH63">
        <v>0.7</v>
      </c>
    </row>
    <row r="64" spans="1:34" x14ac:dyDescent="0.25">
      <c r="A64" s="2">
        <v>45649</v>
      </c>
      <c r="B64" t="s">
        <v>1880</v>
      </c>
      <c r="C64" t="s">
        <v>1881</v>
      </c>
      <c r="D64">
        <v>44</v>
      </c>
      <c r="E64">
        <v>0.98076923076923073</v>
      </c>
      <c r="F64">
        <v>5.8823529411764705E-2</v>
      </c>
      <c r="G64">
        <v>22</v>
      </c>
      <c r="H64">
        <v>0.5</v>
      </c>
      <c r="I64">
        <v>21.5</v>
      </c>
      <c r="J64">
        <v>513.34</v>
      </c>
      <c r="K64">
        <v>19.510000000000002</v>
      </c>
      <c r="L64">
        <v>6</v>
      </c>
      <c r="M64" t="s">
        <v>1882</v>
      </c>
      <c r="N64">
        <v>4</v>
      </c>
      <c r="O64">
        <v>40</v>
      </c>
      <c r="P64">
        <v>18.3</v>
      </c>
      <c r="Q64">
        <v>0</v>
      </c>
      <c r="R64">
        <v>3.19</v>
      </c>
      <c r="S64">
        <v>3.6</v>
      </c>
      <c r="T64">
        <v>2.42</v>
      </c>
      <c r="U64">
        <v>2</v>
      </c>
      <c r="V64">
        <v>51</v>
      </c>
      <c r="W64">
        <v>1</v>
      </c>
      <c r="X64">
        <v>3</v>
      </c>
      <c r="Y64">
        <v>0</v>
      </c>
      <c r="Z64">
        <v>0</v>
      </c>
      <c r="AA64" t="s">
        <v>115</v>
      </c>
      <c r="AB64">
        <v>21.5</v>
      </c>
      <c r="AC64">
        <v>0.1</v>
      </c>
      <c r="AD64">
        <v>0.05</v>
      </c>
      <c r="AE64">
        <v>0</v>
      </c>
      <c r="AF64" t="s">
        <v>1735</v>
      </c>
      <c r="AG64" t="s">
        <v>1599</v>
      </c>
      <c r="AH64">
        <v>0.7</v>
      </c>
    </row>
    <row r="65" spans="1:34" x14ac:dyDescent="0.25">
      <c r="A65" s="2">
        <v>45642</v>
      </c>
      <c r="B65" t="s">
        <v>1865</v>
      </c>
      <c r="C65" t="s">
        <v>1866</v>
      </c>
      <c r="D65">
        <v>80</v>
      </c>
      <c r="E65">
        <v>1</v>
      </c>
      <c r="F65">
        <v>1.0526315789473684E-2</v>
      </c>
      <c r="G65">
        <v>50.21</v>
      </c>
      <c r="H65">
        <v>0.28999999999999998</v>
      </c>
      <c r="I65">
        <v>49.92</v>
      </c>
      <c r="J65">
        <v>954.42</v>
      </c>
      <c r="K65">
        <v>35.03</v>
      </c>
      <c r="L65">
        <v>12</v>
      </c>
      <c r="M65" t="s">
        <v>1867</v>
      </c>
      <c r="N65">
        <v>42</v>
      </c>
      <c r="O65">
        <v>38</v>
      </c>
      <c r="P65">
        <v>48.86</v>
      </c>
      <c r="Q65">
        <v>0</v>
      </c>
      <c r="R65">
        <v>1.06</v>
      </c>
      <c r="S65">
        <v>44.31</v>
      </c>
      <c r="T65">
        <v>43.1</v>
      </c>
      <c r="U65">
        <v>1.59</v>
      </c>
      <c r="V65">
        <v>95</v>
      </c>
      <c r="W65">
        <v>0</v>
      </c>
      <c r="X65">
        <v>1</v>
      </c>
      <c r="Y65">
        <v>49.92</v>
      </c>
      <c r="Z65">
        <v>0</v>
      </c>
      <c r="AA65" t="s">
        <v>114</v>
      </c>
      <c r="AB65">
        <v>0</v>
      </c>
      <c r="AC65">
        <v>0.1</v>
      </c>
      <c r="AD65">
        <v>0.05</v>
      </c>
      <c r="AE65">
        <v>49.92</v>
      </c>
      <c r="AF65" t="s">
        <v>1733</v>
      </c>
      <c r="AG65" t="s">
        <v>1600</v>
      </c>
      <c r="AH65">
        <v>0.7</v>
      </c>
    </row>
    <row r="66" spans="1:34" x14ac:dyDescent="0.25">
      <c r="A66" s="2">
        <v>45649</v>
      </c>
      <c r="B66" t="s">
        <v>1865</v>
      </c>
      <c r="C66" t="s">
        <v>1866</v>
      </c>
      <c r="D66">
        <v>60</v>
      </c>
      <c r="E66">
        <v>0.94805194805194803</v>
      </c>
      <c r="F66">
        <v>4.1095890410958902E-2</v>
      </c>
      <c r="G66">
        <v>34.979999999999997</v>
      </c>
      <c r="H66">
        <v>0</v>
      </c>
      <c r="I66">
        <v>34.979999999999997</v>
      </c>
      <c r="J66">
        <v>622.57000000000005</v>
      </c>
      <c r="K66">
        <v>14</v>
      </c>
      <c r="L66">
        <v>0</v>
      </c>
      <c r="M66" t="s">
        <v>1867</v>
      </c>
      <c r="N66">
        <v>18</v>
      </c>
      <c r="O66">
        <v>42</v>
      </c>
      <c r="P66">
        <v>29.75</v>
      </c>
      <c r="Q66">
        <v>0</v>
      </c>
      <c r="R66">
        <v>5.23</v>
      </c>
      <c r="S66">
        <v>28.45</v>
      </c>
      <c r="T66">
        <v>23.8</v>
      </c>
      <c r="U66">
        <v>1.72</v>
      </c>
      <c r="V66">
        <v>73</v>
      </c>
      <c r="W66">
        <v>4</v>
      </c>
      <c r="X66">
        <v>3</v>
      </c>
      <c r="Y66">
        <v>0</v>
      </c>
      <c r="Z66">
        <v>34.979999999999997</v>
      </c>
      <c r="AA66" t="s">
        <v>115</v>
      </c>
      <c r="AB66">
        <v>0</v>
      </c>
      <c r="AC66">
        <v>0.1</v>
      </c>
      <c r="AD66">
        <v>0.05</v>
      </c>
      <c r="AE66">
        <v>34.979999999999997</v>
      </c>
      <c r="AF66" t="s">
        <v>1733</v>
      </c>
      <c r="AG66" t="s">
        <v>1600</v>
      </c>
      <c r="AH66">
        <v>0.7</v>
      </c>
    </row>
    <row r="67" spans="1:34" x14ac:dyDescent="0.25">
      <c r="A67" s="2">
        <v>45649</v>
      </c>
      <c r="B67" t="s">
        <v>1871</v>
      </c>
      <c r="C67" t="s">
        <v>1872</v>
      </c>
      <c r="D67">
        <v>29</v>
      </c>
      <c r="E67">
        <v>1</v>
      </c>
      <c r="F67">
        <v>0</v>
      </c>
      <c r="G67">
        <v>15.93</v>
      </c>
      <c r="H67">
        <v>0</v>
      </c>
      <c r="I67">
        <v>15.93</v>
      </c>
      <c r="J67">
        <v>343.85</v>
      </c>
      <c r="K67">
        <v>62.9</v>
      </c>
      <c r="L67">
        <v>0</v>
      </c>
      <c r="M67" t="s">
        <v>1873</v>
      </c>
      <c r="N67">
        <v>6</v>
      </c>
      <c r="O67">
        <v>23</v>
      </c>
      <c r="P67">
        <v>14.38</v>
      </c>
      <c r="Q67">
        <v>0</v>
      </c>
      <c r="R67">
        <v>1.55</v>
      </c>
      <c r="S67">
        <v>10.210000000000001</v>
      </c>
      <c r="T67">
        <v>9.6199999999999992</v>
      </c>
      <c r="U67">
        <v>1.82</v>
      </c>
      <c r="V67">
        <v>27</v>
      </c>
      <c r="W67">
        <v>0</v>
      </c>
      <c r="X67">
        <v>0</v>
      </c>
      <c r="Y67">
        <v>15.93</v>
      </c>
      <c r="Z67">
        <v>0</v>
      </c>
      <c r="AA67" t="s">
        <v>115</v>
      </c>
      <c r="AB67">
        <v>0</v>
      </c>
      <c r="AC67">
        <v>0.1</v>
      </c>
      <c r="AD67">
        <v>0.05</v>
      </c>
      <c r="AE67">
        <v>15.93</v>
      </c>
      <c r="AF67" t="s">
        <v>1602</v>
      </c>
      <c r="AG67" t="s">
        <v>1601</v>
      </c>
      <c r="AH67">
        <v>0.7</v>
      </c>
    </row>
    <row r="68" spans="1:34" x14ac:dyDescent="0.25">
      <c r="A68" s="2">
        <v>45649</v>
      </c>
      <c r="B68" t="s">
        <v>1901</v>
      </c>
      <c r="C68" t="s">
        <v>1902</v>
      </c>
      <c r="D68">
        <v>97</v>
      </c>
      <c r="E68">
        <v>1</v>
      </c>
      <c r="F68">
        <v>9.2592592592592587E-3</v>
      </c>
      <c r="G68">
        <v>61.18</v>
      </c>
      <c r="H68">
        <v>1.18</v>
      </c>
      <c r="I68">
        <v>60</v>
      </c>
      <c r="J68">
        <v>1157.27</v>
      </c>
      <c r="K68">
        <v>65.37</v>
      </c>
      <c r="L68">
        <v>8.9</v>
      </c>
      <c r="M68" t="s">
        <v>1903</v>
      </c>
      <c r="N68">
        <v>25</v>
      </c>
      <c r="O68">
        <v>72</v>
      </c>
      <c r="P68">
        <v>52.04</v>
      </c>
      <c r="Q68">
        <v>0</v>
      </c>
      <c r="R68">
        <v>7.97</v>
      </c>
      <c r="S68">
        <v>35.409999999999997</v>
      </c>
      <c r="T68">
        <v>31.22</v>
      </c>
      <c r="U68">
        <v>1.59</v>
      </c>
      <c r="V68">
        <v>108</v>
      </c>
      <c r="W68">
        <v>0</v>
      </c>
      <c r="X68">
        <v>1</v>
      </c>
      <c r="Y68">
        <v>60</v>
      </c>
      <c r="Z68">
        <v>0</v>
      </c>
      <c r="AA68" t="s">
        <v>115</v>
      </c>
      <c r="AB68">
        <v>0</v>
      </c>
      <c r="AC68">
        <v>0.1</v>
      </c>
      <c r="AD68">
        <v>0.05</v>
      </c>
      <c r="AE68">
        <v>60</v>
      </c>
      <c r="AF68" t="s">
        <v>1736</v>
      </c>
      <c r="AG68" t="s">
        <v>1670</v>
      </c>
      <c r="AH68">
        <v>0.7</v>
      </c>
    </row>
    <row r="69" spans="1:34" x14ac:dyDescent="0.25">
      <c r="A69" s="2">
        <v>45642</v>
      </c>
      <c r="B69" t="s">
        <v>1874</v>
      </c>
      <c r="C69" t="s">
        <v>1875</v>
      </c>
      <c r="D69">
        <v>19</v>
      </c>
      <c r="E69">
        <v>0.96</v>
      </c>
      <c r="F69">
        <v>0</v>
      </c>
      <c r="G69">
        <v>11.1</v>
      </c>
      <c r="H69">
        <v>0.1</v>
      </c>
      <c r="I69">
        <v>11</v>
      </c>
      <c r="J69">
        <v>242.25</v>
      </c>
      <c r="K69">
        <v>14.26</v>
      </c>
      <c r="L69">
        <v>0</v>
      </c>
      <c r="M69" t="s">
        <v>1876</v>
      </c>
      <c r="N69">
        <v>1</v>
      </c>
      <c r="O69">
        <v>18</v>
      </c>
      <c r="P69">
        <v>10.39</v>
      </c>
      <c r="Q69">
        <v>0</v>
      </c>
      <c r="R69">
        <v>0.61</v>
      </c>
      <c r="S69">
        <v>0</v>
      </c>
      <c r="T69">
        <v>0</v>
      </c>
      <c r="U69">
        <v>1.71</v>
      </c>
      <c r="V69">
        <v>24</v>
      </c>
      <c r="W69">
        <v>1</v>
      </c>
      <c r="X69">
        <v>0</v>
      </c>
      <c r="Y69">
        <v>11</v>
      </c>
      <c r="Z69">
        <v>0</v>
      </c>
      <c r="AA69" t="s">
        <v>114</v>
      </c>
      <c r="AB69">
        <v>0</v>
      </c>
      <c r="AC69">
        <v>0.1</v>
      </c>
      <c r="AD69">
        <v>0.05</v>
      </c>
      <c r="AE69">
        <v>11</v>
      </c>
      <c r="AF69" t="s">
        <v>1734</v>
      </c>
      <c r="AG69" t="s">
        <v>1599</v>
      </c>
      <c r="AH69">
        <v>0.7</v>
      </c>
    </row>
    <row r="70" spans="1:34" x14ac:dyDescent="0.25">
      <c r="A70" s="2">
        <v>45649</v>
      </c>
      <c r="B70" t="s">
        <v>1874</v>
      </c>
      <c r="C70" t="s">
        <v>1875</v>
      </c>
      <c r="D70">
        <v>23</v>
      </c>
      <c r="E70">
        <v>1</v>
      </c>
      <c r="F70">
        <v>0</v>
      </c>
      <c r="G70">
        <v>10.15</v>
      </c>
      <c r="H70">
        <v>0</v>
      </c>
      <c r="I70">
        <v>10.15</v>
      </c>
      <c r="J70">
        <v>240.23</v>
      </c>
      <c r="K70">
        <v>8</v>
      </c>
      <c r="L70">
        <v>0</v>
      </c>
      <c r="M70" t="s">
        <v>1876</v>
      </c>
      <c r="N70">
        <v>0</v>
      </c>
      <c r="O70">
        <v>23</v>
      </c>
      <c r="P70">
        <v>9.5500000000000007</v>
      </c>
      <c r="Q70">
        <v>0</v>
      </c>
      <c r="R70">
        <v>0.59</v>
      </c>
      <c r="S70">
        <v>0</v>
      </c>
      <c r="T70">
        <v>0</v>
      </c>
      <c r="U70">
        <v>2.27</v>
      </c>
      <c r="V70">
        <v>23</v>
      </c>
      <c r="W70">
        <v>0</v>
      </c>
      <c r="X70">
        <v>0</v>
      </c>
      <c r="Y70">
        <v>10.15</v>
      </c>
      <c r="Z70">
        <v>0</v>
      </c>
      <c r="AA70" t="s">
        <v>115</v>
      </c>
      <c r="AB70">
        <v>0</v>
      </c>
      <c r="AC70">
        <v>0.1</v>
      </c>
      <c r="AD70">
        <v>0.05</v>
      </c>
      <c r="AE70">
        <v>10.15</v>
      </c>
      <c r="AF70" t="s">
        <v>1734</v>
      </c>
      <c r="AG70" t="s">
        <v>1599</v>
      </c>
      <c r="AH70">
        <v>0.7</v>
      </c>
    </row>
    <row r="71" spans="1:34" x14ac:dyDescent="0.25">
      <c r="A71" s="2">
        <v>45642</v>
      </c>
      <c r="B71" t="s">
        <v>1880</v>
      </c>
      <c r="C71" t="s">
        <v>1881</v>
      </c>
      <c r="D71">
        <v>39</v>
      </c>
      <c r="E71">
        <v>0.96363636363636362</v>
      </c>
      <c r="F71">
        <v>3.7735849056603772E-2</v>
      </c>
      <c r="G71">
        <v>22.53</v>
      </c>
      <c r="H71">
        <v>0.01</v>
      </c>
      <c r="I71">
        <v>22.52</v>
      </c>
      <c r="J71">
        <v>562.16</v>
      </c>
      <c r="K71">
        <v>11</v>
      </c>
      <c r="L71">
        <v>0</v>
      </c>
      <c r="M71" t="s">
        <v>1882</v>
      </c>
      <c r="N71">
        <v>2</v>
      </c>
      <c r="O71">
        <v>37</v>
      </c>
      <c r="P71">
        <v>19.79</v>
      </c>
      <c r="Q71">
        <v>0</v>
      </c>
      <c r="R71">
        <v>2.74</v>
      </c>
      <c r="S71">
        <v>6.75</v>
      </c>
      <c r="T71">
        <v>4.6100000000000003</v>
      </c>
      <c r="U71">
        <v>1.73</v>
      </c>
      <c r="V71">
        <v>53</v>
      </c>
      <c r="W71">
        <v>2</v>
      </c>
      <c r="X71">
        <v>2</v>
      </c>
      <c r="Y71">
        <v>22.52</v>
      </c>
      <c r="Z71">
        <v>0</v>
      </c>
      <c r="AA71" t="s">
        <v>114</v>
      </c>
      <c r="AB71">
        <v>0</v>
      </c>
      <c r="AC71">
        <v>0.1</v>
      </c>
      <c r="AD71">
        <v>0.05</v>
      </c>
      <c r="AE71">
        <v>22.52</v>
      </c>
      <c r="AF71" t="s">
        <v>1735</v>
      </c>
      <c r="AG71" t="s">
        <v>1599</v>
      </c>
      <c r="AH71">
        <v>0.7</v>
      </c>
    </row>
    <row r="72" spans="1:34" x14ac:dyDescent="0.25">
      <c r="A72" s="2">
        <v>45642</v>
      </c>
      <c r="B72" t="s">
        <v>2023</v>
      </c>
      <c r="C72" t="s">
        <v>1895</v>
      </c>
      <c r="D72">
        <v>9</v>
      </c>
      <c r="E72">
        <v>1</v>
      </c>
      <c r="F72">
        <v>0</v>
      </c>
      <c r="G72">
        <v>4.95</v>
      </c>
      <c r="H72">
        <v>0</v>
      </c>
      <c r="I72">
        <v>4.95</v>
      </c>
      <c r="J72">
        <v>106.93</v>
      </c>
      <c r="K72">
        <v>7</v>
      </c>
      <c r="L72">
        <v>0</v>
      </c>
      <c r="M72" t="s">
        <v>2024</v>
      </c>
      <c r="N72">
        <v>0</v>
      </c>
      <c r="O72">
        <v>9</v>
      </c>
      <c r="P72">
        <v>4.87</v>
      </c>
      <c r="Q72">
        <v>0</v>
      </c>
      <c r="R72">
        <v>7.0000000000000007E-2</v>
      </c>
      <c r="S72">
        <v>0</v>
      </c>
      <c r="T72">
        <v>0</v>
      </c>
      <c r="U72">
        <v>1.82</v>
      </c>
      <c r="V72">
        <v>12</v>
      </c>
      <c r="W72">
        <v>0</v>
      </c>
      <c r="X72">
        <v>0</v>
      </c>
      <c r="Y72">
        <v>4.95</v>
      </c>
      <c r="Z72">
        <v>0</v>
      </c>
      <c r="AA72" t="s">
        <v>114</v>
      </c>
      <c r="AB72">
        <v>0</v>
      </c>
      <c r="AC72">
        <v>0.1</v>
      </c>
      <c r="AD72">
        <v>0.05</v>
      </c>
      <c r="AE72">
        <v>4.95</v>
      </c>
      <c r="AF72" t="s">
        <v>2021</v>
      </c>
      <c r="AG72" t="s">
        <v>1600</v>
      </c>
      <c r="AH72">
        <v>0.7</v>
      </c>
    </row>
    <row r="73" spans="1:34" x14ac:dyDescent="0.25">
      <c r="A73" s="2">
        <v>45642</v>
      </c>
      <c r="B73" t="s">
        <v>2010</v>
      </c>
      <c r="C73" t="s">
        <v>2011</v>
      </c>
      <c r="D73">
        <v>34</v>
      </c>
      <c r="E73">
        <v>0.88235294117647056</v>
      </c>
      <c r="F73">
        <v>0</v>
      </c>
      <c r="G73">
        <v>19.239999999999998</v>
      </c>
      <c r="H73">
        <v>0</v>
      </c>
      <c r="I73">
        <v>19.239999999999998</v>
      </c>
      <c r="J73">
        <v>417.11</v>
      </c>
      <c r="K73">
        <v>18.32</v>
      </c>
      <c r="L73">
        <v>1.5</v>
      </c>
      <c r="M73" t="s">
        <v>1919</v>
      </c>
      <c r="N73">
        <v>1</v>
      </c>
      <c r="O73">
        <v>33</v>
      </c>
      <c r="P73">
        <v>16.079999999999998</v>
      </c>
      <c r="Q73">
        <v>1</v>
      </c>
      <c r="R73">
        <v>3.16</v>
      </c>
      <c r="S73">
        <v>0</v>
      </c>
      <c r="T73">
        <v>0</v>
      </c>
      <c r="U73">
        <v>1.77</v>
      </c>
      <c r="V73">
        <v>45</v>
      </c>
      <c r="W73">
        <v>5</v>
      </c>
      <c r="X73">
        <v>0</v>
      </c>
      <c r="Y73">
        <v>0</v>
      </c>
      <c r="Z73">
        <v>0</v>
      </c>
      <c r="AA73" t="s">
        <v>114</v>
      </c>
      <c r="AB73">
        <v>19.239999999999998</v>
      </c>
      <c r="AC73">
        <v>0.1</v>
      </c>
      <c r="AD73">
        <v>0.05</v>
      </c>
      <c r="AE73">
        <v>0</v>
      </c>
      <c r="AF73" t="s">
        <v>1802</v>
      </c>
      <c r="AG73" t="s">
        <v>1599</v>
      </c>
      <c r="AH73">
        <v>0.7</v>
      </c>
    </row>
    <row r="74" spans="1:34" x14ac:dyDescent="0.25">
      <c r="A74" s="2">
        <v>45642</v>
      </c>
      <c r="B74" t="s">
        <v>1886</v>
      </c>
      <c r="C74" t="s">
        <v>1887</v>
      </c>
      <c r="D74">
        <v>73</v>
      </c>
      <c r="E74">
        <v>0.98765432098765427</v>
      </c>
      <c r="F74">
        <v>0</v>
      </c>
      <c r="G74">
        <v>31.91</v>
      </c>
      <c r="H74">
        <v>0.54</v>
      </c>
      <c r="I74">
        <v>31.37</v>
      </c>
      <c r="J74">
        <v>875.88</v>
      </c>
      <c r="K74">
        <v>96.08</v>
      </c>
      <c r="L74">
        <v>11.4</v>
      </c>
      <c r="M74" t="s">
        <v>1888</v>
      </c>
      <c r="N74">
        <v>4</v>
      </c>
      <c r="O74">
        <v>69</v>
      </c>
      <c r="P74">
        <v>30.35</v>
      </c>
      <c r="Q74">
        <v>0</v>
      </c>
      <c r="R74">
        <v>1.02</v>
      </c>
      <c r="S74">
        <v>0</v>
      </c>
      <c r="T74">
        <v>0</v>
      </c>
      <c r="U74">
        <v>2.29</v>
      </c>
      <c r="V74">
        <v>80</v>
      </c>
      <c r="W74">
        <v>1</v>
      </c>
      <c r="X74">
        <v>0</v>
      </c>
      <c r="Y74">
        <v>31.37</v>
      </c>
      <c r="Z74">
        <v>0</v>
      </c>
      <c r="AA74" t="s">
        <v>114</v>
      </c>
      <c r="AB74">
        <v>0</v>
      </c>
      <c r="AC74">
        <v>0.1</v>
      </c>
      <c r="AD74">
        <v>0.05</v>
      </c>
      <c r="AE74">
        <v>31.37</v>
      </c>
      <c r="AF74" t="s">
        <v>1818</v>
      </c>
      <c r="AG74" t="s">
        <v>1600</v>
      </c>
      <c r="AH74">
        <v>0.7</v>
      </c>
    </row>
    <row r="75" spans="1:34" x14ac:dyDescent="0.25">
      <c r="A75" s="2">
        <v>45649</v>
      </c>
      <c r="B75" t="s">
        <v>1886</v>
      </c>
      <c r="C75" t="s">
        <v>1887</v>
      </c>
      <c r="D75">
        <v>93</v>
      </c>
      <c r="E75">
        <v>0.99047619047619051</v>
      </c>
      <c r="F75">
        <v>1.9230769230769232E-2</v>
      </c>
      <c r="G75">
        <v>41.66</v>
      </c>
      <c r="H75">
        <v>0.13</v>
      </c>
      <c r="I75">
        <v>41.529999999999994</v>
      </c>
      <c r="J75">
        <v>1200.1500000000001</v>
      </c>
      <c r="K75">
        <v>57.42</v>
      </c>
      <c r="L75">
        <v>7.2</v>
      </c>
      <c r="M75" t="s">
        <v>1888</v>
      </c>
      <c r="N75">
        <v>3</v>
      </c>
      <c r="O75">
        <v>90</v>
      </c>
      <c r="P75">
        <v>40.049999999999997</v>
      </c>
      <c r="Q75">
        <v>0</v>
      </c>
      <c r="R75">
        <v>1.48</v>
      </c>
      <c r="S75">
        <v>1.25</v>
      </c>
      <c r="T75">
        <v>0.97</v>
      </c>
      <c r="U75">
        <v>2.23</v>
      </c>
      <c r="V75">
        <v>104</v>
      </c>
      <c r="W75">
        <v>1</v>
      </c>
      <c r="X75">
        <v>2</v>
      </c>
      <c r="Y75">
        <v>41.529999999999994</v>
      </c>
      <c r="Z75">
        <v>0</v>
      </c>
      <c r="AA75" t="s">
        <v>115</v>
      </c>
      <c r="AB75">
        <v>0</v>
      </c>
      <c r="AC75">
        <v>0.1</v>
      </c>
      <c r="AD75">
        <v>0.05</v>
      </c>
      <c r="AE75">
        <v>41.529999999999994</v>
      </c>
      <c r="AF75" t="s">
        <v>1818</v>
      </c>
      <c r="AG75" t="s">
        <v>1600</v>
      </c>
      <c r="AH75">
        <v>0.7</v>
      </c>
    </row>
    <row r="76" spans="1:34" x14ac:dyDescent="0.25">
      <c r="A76" s="2">
        <v>45642</v>
      </c>
      <c r="B76" t="s">
        <v>2044</v>
      </c>
      <c r="C76" t="s">
        <v>2045</v>
      </c>
      <c r="D76">
        <v>71</v>
      </c>
      <c r="E76">
        <v>0.8571428571428571</v>
      </c>
      <c r="F76">
        <v>8.3333333333333329E-2</v>
      </c>
      <c r="G76">
        <v>42.56</v>
      </c>
      <c r="H76">
        <v>0.09</v>
      </c>
      <c r="I76">
        <v>42.47</v>
      </c>
      <c r="J76">
        <v>728.17</v>
      </c>
      <c r="K76">
        <v>34.31</v>
      </c>
      <c r="L76">
        <v>0</v>
      </c>
      <c r="M76" t="s">
        <v>2046</v>
      </c>
      <c r="N76">
        <v>9</v>
      </c>
      <c r="O76">
        <v>62</v>
      </c>
      <c r="P76">
        <v>38.840000000000003</v>
      </c>
      <c r="Q76">
        <v>18</v>
      </c>
      <c r="R76">
        <v>3.63</v>
      </c>
      <c r="S76">
        <v>12</v>
      </c>
      <c r="T76">
        <v>11.06</v>
      </c>
      <c r="U76">
        <v>1.67</v>
      </c>
      <c r="V76">
        <v>120</v>
      </c>
      <c r="W76">
        <v>2</v>
      </c>
      <c r="X76">
        <v>10</v>
      </c>
      <c r="Y76">
        <v>0</v>
      </c>
      <c r="Z76">
        <v>0</v>
      </c>
      <c r="AA76" t="s">
        <v>114</v>
      </c>
      <c r="AB76">
        <v>42.47</v>
      </c>
      <c r="AC76">
        <v>0.1</v>
      </c>
      <c r="AD76">
        <v>0.05</v>
      </c>
      <c r="AE76">
        <v>0</v>
      </c>
      <c r="AF76" t="s">
        <v>2029</v>
      </c>
      <c r="AG76" t="s">
        <v>1599</v>
      </c>
      <c r="AH76">
        <v>0.7</v>
      </c>
    </row>
    <row r="77" spans="1:34" x14ac:dyDescent="0.25">
      <c r="A77" s="2">
        <v>45649</v>
      </c>
      <c r="B77" t="s">
        <v>2044</v>
      </c>
      <c r="C77" t="s">
        <v>2045</v>
      </c>
      <c r="D77">
        <v>36</v>
      </c>
      <c r="E77">
        <v>0.70833333333333337</v>
      </c>
      <c r="F77">
        <v>0.14705882352941177</v>
      </c>
      <c r="G77">
        <v>29.51</v>
      </c>
      <c r="H77">
        <v>1.1399999999999999</v>
      </c>
      <c r="I77">
        <v>28.37</v>
      </c>
      <c r="J77">
        <v>417.42</v>
      </c>
      <c r="K77">
        <v>17</v>
      </c>
      <c r="L77">
        <v>24</v>
      </c>
      <c r="M77" t="s">
        <v>2046</v>
      </c>
      <c r="N77">
        <v>2</v>
      </c>
      <c r="O77">
        <v>34</v>
      </c>
      <c r="P77">
        <v>26.09</v>
      </c>
      <c r="Q77">
        <v>25</v>
      </c>
      <c r="R77">
        <v>2.2799999999999998</v>
      </c>
      <c r="S77">
        <v>6.81</v>
      </c>
      <c r="T77">
        <v>6.25</v>
      </c>
      <c r="U77">
        <v>1.22</v>
      </c>
      <c r="V77">
        <v>68</v>
      </c>
      <c r="W77">
        <v>3</v>
      </c>
      <c r="X77">
        <v>10</v>
      </c>
      <c r="Y77">
        <v>0</v>
      </c>
      <c r="Z77">
        <v>0</v>
      </c>
      <c r="AA77" t="s">
        <v>115</v>
      </c>
      <c r="AB77">
        <v>28.37</v>
      </c>
      <c r="AC77">
        <v>0.1</v>
      </c>
      <c r="AD77">
        <v>0.05</v>
      </c>
      <c r="AE77">
        <v>0</v>
      </c>
      <c r="AF77" t="s">
        <v>2029</v>
      </c>
      <c r="AG77" t="s">
        <v>1599</v>
      </c>
      <c r="AH77">
        <v>0.7</v>
      </c>
    </row>
    <row r="78" spans="1:34" x14ac:dyDescent="0.25">
      <c r="A78" s="2">
        <v>45642</v>
      </c>
      <c r="B78" t="s">
        <v>1895</v>
      </c>
      <c r="C78" t="s">
        <v>1896</v>
      </c>
      <c r="D78">
        <v>29</v>
      </c>
      <c r="E78">
        <v>0.81818181818181823</v>
      </c>
      <c r="F78">
        <v>5.5555555555555552E-2</v>
      </c>
      <c r="G78">
        <v>18.39</v>
      </c>
      <c r="H78">
        <v>0</v>
      </c>
      <c r="I78">
        <v>18.39</v>
      </c>
      <c r="J78">
        <v>420.08</v>
      </c>
      <c r="K78">
        <v>23.52</v>
      </c>
      <c r="L78">
        <v>0</v>
      </c>
      <c r="M78" t="s">
        <v>1897</v>
      </c>
      <c r="N78">
        <v>7</v>
      </c>
      <c r="O78">
        <v>22</v>
      </c>
      <c r="P78">
        <v>16.649999999999999</v>
      </c>
      <c r="Q78">
        <v>1</v>
      </c>
      <c r="R78">
        <v>1.73</v>
      </c>
      <c r="S78">
        <v>6.65</v>
      </c>
      <c r="T78">
        <v>6.27</v>
      </c>
      <c r="U78">
        <v>1.58</v>
      </c>
      <c r="V78">
        <v>36</v>
      </c>
      <c r="W78">
        <v>7</v>
      </c>
      <c r="X78">
        <v>2</v>
      </c>
      <c r="Y78">
        <v>0</v>
      </c>
      <c r="Z78">
        <v>0</v>
      </c>
      <c r="AA78" t="s">
        <v>114</v>
      </c>
      <c r="AB78">
        <v>18.39</v>
      </c>
      <c r="AC78">
        <v>0.1</v>
      </c>
      <c r="AD78">
        <v>0.05</v>
      </c>
      <c r="AE78">
        <v>0</v>
      </c>
      <c r="AF78" t="s">
        <v>1675</v>
      </c>
      <c r="AG78" t="s">
        <v>1599</v>
      </c>
      <c r="AH78">
        <v>0.7</v>
      </c>
    </row>
    <row r="79" spans="1:34" x14ac:dyDescent="0.25">
      <c r="A79" s="2">
        <v>45642</v>
      </c>
      <c r="B79" t="s">
        <v>1892</v>
      </c>
      <c r="C79" t="s">
        <v>1893</v>
      </c>
      <c r="D79">
        <v>72</v>
      </c>
      <c r="E79">
        <v>1</v>
      </c>
      <c r="F79">
        <v>2.1505376344086023E-2</v>
      </c>
      <c r="G79">
        <v>51.21</v>
      </c>
      <c r="H79">
        <v>0</v>
      </c>
      <c r="I79">
        <v>51.21</v>
      </c>
      <c r="J79">
        <v>928.16</v>
      </c>
      <c r="K79">
        <v>109.67</v>
      </c>
      <c r="L79">
        <v>0</v>
      </c>
      <c r="M79" t="s">
        <v>1894</v>
      </c>
      <c r="N79">
        <v>12</v>
      </c>
      <c r="O79">
        <v>60</v>
      </c>
      <c r="P79">
        <v>40.520000000000003</v>
      </c>
      <c r="Q79">
        <v>0</v>
      </c>
      <c r="R79">
        <v>10.68</v>
      </c>
      <c r="S79">
        <v>13.44</v>
      </c>
      <c r="T79">
        <v>12.82</v>
      </c>
      <c r="U79">
        <v>1.41</v>
      </c>
      <c r="V79">
        <v>93</v>
      </c>
      <c r="W79">
        <v>0</v>
      </c>
      <c r="X79">
        <v>2</v>
      </c>
      <c r="Y79">
        <v>51.21</v>
      </c>
      <c r="Z79">
        <v>0</v>
      </c>
      <c r="AA79" t="s">
        <v>114</v>
      </c>
      <c r="AB79">
        <v>0</v>
      </c>
      <c r="AC79">
        <v>0.1</v>
      </c>
      <c r="AD79">
        <v>0.05</v>
      </c>
      <c r="AE79">
        <v>51.21</v>
      </c>
      <c r="AF79" t="s">
        <v>1730</v>
      </c>
      <c r="AG79" t="s">
        <v>1787</v>
      </c>
      <c r="AH79">
        <v>0.7</v>
      </c>
    </row>
    <row r="80" spans="1:34" x14ac:dyDescent="0.25">
      <c r="A80" s="2">
        <v>45649</v>
      </c>
      <c r="B80" t="s">
        <v>1892</v>
      </c>
      <c r="C80" t="s">
        <v>1893</v>
      </c>
      <c r="D80">
        <v>77</v>
      </c>
      <c r="E80">
        <v>1</v>
      </c>
      <c r="F80">
        <v>0</v>
      </c>
      <c r="G80">
        <v>50.38</v>
      </c>
      <c r="H80">
        <v>0.01</v>
      </c>
      <c r="I80">
        <v>50.370000000000005</v>
      </c>
      <c r="J80">
        <v>814.29</v>
      </c>
      <c r="K80">
        <v>75.58</v>
      </c>
      <c r="L80">
        <v>0</v>
      </c>
      <c r="M80" t="s">
        <v>1894</v>
      </c>
      <c r="N80">
        <v>14</v>
      </c>
      <c r="O80">
        <v>63</v>
      </c>
      <c r="P80">
        <v>36.409999999999997</v>
      </c>
      <c r="Q80">
        <v>0</v>
      </c>
      <c r="R80">
        <v>13.95</v>
      </c>
      <c r="S80">
        <v>17.329999999999998</v>
      </c>
      <c r="T80">
        <v>12.92</v>
      </c>
      <c r="U80">
        <v>1.53</v>
      </c>
      <c r="V80">
        <v>91</v>
      </c>
      <c r="W80">
        <v>0</v>
      </c>
      <c r="X80">
        <v>0</v>
      </c>
      <c r="Y80">
        <v>50.370000000000005</v>
      </c>
      <c r="Z80">
        <v>0</v>
      </c>
      <c r="AA80" t="s">
        <v>115</v>
      </c>
      <c r="AB80">
        <v>0</v>
      </c>
      <c r="AC80">
        <v>0.1</v>
      </c>
      <c r="AD80">
        <v>0.05</v>
      </c>
      <c r="AE80">
        <v>50.370000000000005</v>
      </c>
      <c r="AF80" t="s">
        <v>1730</v>
      </c>
      <c r="AG80" t="s">
        <v>1787</v>
      </c>
      <c r="AH80">
        <v>0.7</v>
      </c>
    </row>
    <row r="81" spans="1:34" x14ac:dyDescent="0.25">
      <c r="A81" s="2">
        <v>45642</v>
      </c>
      <c r="B81" t="s">
        <v>1987</v>
      </c>
      <c r="C81" t="s">
        <v>1988</v>
      </c>
      <c r="D81">
        <v>78</v>
      </c>
      <c r="E81">
        <v>0.96721311475409832</v>
      </c>
      <c r="F81">
        <v>3.3898305084745763E-2</v>
      </c>
      <c r="G81">
        <v>48.67</v>
      </c>
      <c r="H81">
        <v>7.0000000000000007E-2</v>
      </c>
      <c r="I81">
        <v>48.6</v>
      </c>
      <c r="J81">
        <v>964.51</v>
      </c>
      <c r="K81">
        <v>70.19</v>
      </c>
      <c r="L81">
        <v>6</v>
      </c>
      <c r="M81" t="s">
        <v>1989</v>
      </c>
      <c r="N81">
        <v>10</v>
      </c>
      <c r="O81">
        <v>68</v>
      </c>
      <c r="P81">
        <v>44.22</v>
      </c>
      <c r="Q81">
        <v>2</v>
      </c>
      <c r="R81">
        <v>4.37</v>
      </c>
      <c r="S81">
        <v>27.23</v>
      </c>
      <c r="T81">
        <v>24.16</v>
      </c>
      <c r="U81">
        <v>1.6</v>
      </c>
      <c r="V81">
        <v>59</v>
      </c>
      <c r="W81">
        <v>0</v>
      </c>
      <c r="X81">
        <v>2</v>
      </c>
      <c r="Y81">
        <v>48.6</v>
      </c>
      <c r="Z81">
        <v>0</v>
      </c>
      <c r="AA81" t="s">
        <v>114</v>
      </c>
      <c r="AB81">
        <v>0</v>
      </c>
      <c r="AC81">
        <v>0.1</v>
      </c>
      <c r="AD81">
        <v>0.05</v>
      </c>
      <c r="AE81">
        <v>48.6</v>
      </c>
      <c r="AF81" t="s">
        <v>1968</v>
      </c>
      <c r="AG81" t="s">
        <v>1599</v>
      </c>
      <c r="AH81">
        <v>0.7</v>
      </c>
    </row>
    <row r="82" spans="1:34" x14ac:dyDescent="0.25">
      <c r="A82" s="2">
        <v>45649</v>
      </c>
      <c r="B82" t="s">
        <v>1987</v>
      </c>
      <c r="C82" t="s">
        <v>1988</v>
      </c>
      <c r="D82">
        <v>121</v>
      </c>
      <c r="E82">
        <v>0.98837209302325579</v>
      </c>
      <c r="F82">
        <v>0</v>
      </c>
      <c r="G82">
        <v>71.5</v>
      </c>
      <c r="H82">
        <v>0.11</v>
      </c>
      <c r="I82">
        <v>71.39</v>
      </c>
      <c r="J82">
        <v>1700.42</v>
      </c>
      <c r="K82">
        <v>148.84</v>
      </c>
      <c r="L82">
        <v>13.9</v>
      </c>
      <c r="M82" t="s">
        <v>1989</v>
      </c>
      <c r="N82">
        <v>13</v>
      </c>
      <c r="O82">
        <v>108</v>
      </c>
      <c r="P82">
        <v>61.98</v>
      </c>
      <c r="Q82">
        <v>0</v>
      </c>
      <c r="R82">
        <v>9.41</v>
      </c>
      <c r="S82">
        <v>29.51</v>
      </c>
      <c r="T82">
        <v>25.35</v>
      </c>
      <c r="U82">
        <v>1.69</v>
      </c>
      <c r="V82">
        <v>85</v>
      </c>
      <c r="W82">
        <v>1</v>
      </c>
      <c r="X82">
        <v>0</v>
      </c>
      <c r="Y82">
        <v>71.39</v>
      </c>
      <c r="Z82">
        <v>0</v>
      </c>
      <c r="AA82" t="s">
        <v>115</v>
      </c>
      <c r="AB82">
        <v>0</v>
      </c>
      <c r="AC82">
        <v>0.1</v>
      </c>
      <c r="AD82">
        <v>0.05</v>
      </c>
      <c r="AE82">
        <v>71.39</v>
      </c>
      <c r="AF82" t="s">
        <v>1968</v>
      </c>
      <c r="AG82" t="s">
        <v>1599</v>
      </c>
      <c r="AH82">
        <v>0.7</v>
      </c>
    </row>
    <row r="83" spans="1:34" x14ac:dyDescent="0.25">
      <c r="A83" s="2">
        <v>45642</v>
      </c>
      <c r="B83" t="s">
        <v>1901</v>
      </c>
      <c r="C83" t="s">
        <v>1902</v>
      </c>
      <c r="D83">
        <v>92</v>
      </c>
      <c r="E83">
        <v>0.98181818181818181</v>
      </c>
      <c r="F83">
        <v>1.8518518518518517E-2</v>
      </c>
      <c r="G83">
        <v>59.06</v>
      </c>
      <c r="H83">
        <v>0.01</v>
      </c>
      <c r="I83">
        <v>59.050000000000004</v>
      </c>
      <c r="J83">
        <v>1101.05</v>
      </c>
      <c r="K83">
        <v>81.540000000000006</v>
      </c>
      <c r="L83">
        <v>0</v>
      </c>
      <c r="M83" t="s">
        <v>1903</v>
      </c>
      <c r="N83">
        <v>42</v>
      </c>
      <c r="O83">
        <v>50</v>
      </c>
      <c r="P83">
        <v>54.4</v>
      </c>
      <c r="Q83">
        <v>0</v>
      </c>
      <c r="R83">
        <v>4.6500000000000004</v>
      </c>
      <c r="S83">
        <v>33.9</v>
      </c>
      <c r="T83">
        <v>32.94</v>
      </c>
      <c r="U83">
        <v>1.56</v>
      </c>
      <c r="V83">
        <v>108</v>
      </c>
      <c r="W83">
        <v>2</v>
      </c>
      <c r="X83">
        <v>2</v>
      </c>
      <c r="Y83">
        <v>59.050000000000004</v>
      </c>
      <c r="Z83">
        <v>0</v>
      </c>
      <c r="AA83" t="s">
        <v>114</v>
      </c>
      <c r="AB83">
        <v>0</v>
      </c>
      <c r="AC83">
        <v>0.1</v>
      </c>
      <c r="AD83">
        <v>0.05</v>
      </c>
      <c r="AE83">
        <v>59.050000000000004</v>
      </c>
      <c r="AF83" t="s">
        <v>1736</v>
      </c>
      <c r="AG83" t="s">
        <v>1670</v>
      </c>
      <c r="AH83">
        <v>0.7</v>
      </c>
    </row>
    <row r="84" spans="1:34" x14ac:dyDescent="0.25">
      <c r="A84" s="2">
        <v>45649</v>
      </c>
      <c r="B84" t="s">
        <v>1904</v>
      </c>
      <c r="C84" t="s">
        <v>1905</v>
      </c>
      <c r="D84">
        <v>17</v>
      </c>
      <c r="E84">
        <v>1</v>
      </c>
      <c r="F84">
        <v>8.6956521739130432E-2</v>
      </c>
      <c r="G84">
        <v>12.24</v>
      </c>
      <c r="H84">
        <v>0</v>
      </c>
      <c r="I84">
        <v>12.24</v>
      </c>
      <c r="J84">
        <v>214.53</v>
      </c>
      <c r="K84">
        <v>24.63</v>
      </c>
      <c r="L84">
        <v>0</v>
      </c>
      <c r="M84" t="s">
        <v>1906</v>
      </c>
      <c r="N84">
        <v>0</v>
      </c>
      <c r="O84">
        <v>17</v>
      </c>
      <c r="P84">
        <v>11.02</v>
      </c>
      <c r="Q84">
        <v>0</v>
      </c>
      <c r="R84">
        <v>1.21</v>
      </c>
      <c r="S84">
        <v>7.04</v>
      </c>
      <c r="T84">
        <v>6.34</v>
      </c>
      <c r="U84">
        <v>1.39</v>
      </c>
      <c r="V84">
        <v>23</v>
      </c>
      <c r="W84">
        <v>0</v>
      </c>
      <c r="X84">
        <v>2</v>
      </c>
      <c r="Y84">
        <v>0</v>
      </c>
      <c r="Z84">
        <v>0</v>
      </c>
      <c r="AA84" t="s">
        <v>115</v>
      </c>
      <c r="AB84">
        <v>12.24</v>
      </c>
      <c r="AC84">
        <v>0.1</v>
      </c>
      <c r="AD84">
        <v>0.05</v>
      </c>
      <c r="AE84">
        <v>0</v>
      </c>
      <c r="AF84" t="s">
        <v>1685</v>
      </c>
      <c r="AG84" t="s">
        <v>1599</v>
      </c>
      <c r="AH84">
        <v>0.7</v>
      </c>
    </row>
    <row r="85" spans="1:34" x14ac:dyDescent="0.25">
      <c r="A85" s="2">
        <v>45642</v>
      </c>
      <c r="B85" t="s">
        <v>1910</v>
      </c>
      <c r="C85" t="s">
        <v>1911</v>
      </c>
      <c r="D85">
        <v>36</v>
      </c>
      <c r="E85">
        <v>0.92063492063492058</v>
      </c>
      <c r="F85">
        <v>0</v>
      </c>
      <c r="G85">
        <v>23.1</v>
      </c>
      <c r="H85">
        <v>0</v>
      </c>
      <c r="I85">
        <v>23.1</v>
      </c>
      <c r="J85">
        <v>384.89</v>
      </c>
      <c r="K85">
        <v>38.85</v>
      </c>
      <c r="L85">
        <v>0</v>
      </c>
      <c r="M85" t="s">
        <v>1912</v>
      </c>
      <c r="N85">
        <v>0</v>
      </c>
      <c r="O85">
        <v>36</v>
      </c>
      <c r="P85">
        <v>19.38</v>
      </c>
      <c r="Q85">
        <v>5</v>
      </c>
      <c r="R85">
        <v>3.73</v>
      </c>
      <c r="S85">
        <v>0.53</v>
      </c>
      <c r="T85">
        <v>0.46</v>
      </c>
      <c r="U85">
        <v>1.56</v>
      </c>
      <c r="V85">
        <v>58</v>
      </c>
      <c r="W85">
        <v>0</v>
      </c>
      <c r="X85">
        <v>0</v>
      </c>
      <c r="Y85">
        <v>0</v>
      </c>
      <c r="Z85">
        <v>0</v>
      </c>
      <c r="AA85" t="s">
        <v>114</v>
      </c>
      <c r="AB85">
        <v>23.1</v>
      </c>
      <c r="AC85">
        <v>0.1</v>
      </c>
      <c r="AD85">
        <v>0.05</v>
      </c>
      <c r="AE85">
        <v>0</v>
      </c>
      <c r="AF85" t="s">
        <v>1686</v>
      </c>
      <c r="AG85" t="s">
        <v>1599</v>
      </c>
      <c r="AH85">
        <v>0.7</v>
      </c>
    </row>
    <row r="86" spans="1:34" x14ac:dyDescent="0.25">
      <c r="A86" s="2">
        <v>45642</v>
      </c>
      <c r="B86" t="s">
        <v>2047</v>
      </c>
      <c r="C86" t="s">
        <v>2048</v>
      </c>
      <c r="D86">
        <v>68</v>
      </c>
      <c r="E86">
        <v>0.91176470588235292</v>
      </c>
      <c r="F86">
        <v>3.2258064516129031E-2</v>
      </c>
      <c r="G86">
        <v>54.06</v>
      </c>
      <c r="H86">
        <v>0.08</v>
      </c>
      <c r="I86">
        <v>53.980000000000004</v>
      </c>
      <c r="J86">
        <v>878.51</v>
      </c>
      <c r="K86">
        <v>19</v>
      </c>
      <c r="L86">
        <v>1.9</v>
      </c>
      <c r="M86" t="s">
        <v>2049</v>
      </c>
      <c r="N86">
        <v>35</v>
      </c>
      <c r="O86">
        <v>33</v>
      </c>
      <c r="P86">
        <v>47.15</v>
      </c>
      <c r="Q86">
        <v>7</v>
      </c>
      <c r="R86">
        <v>6.83</v>
      </c>
      <c r="S86">
        <v>48.38</v>
      </c>
      <c r="T86">
        <v>41.95</v>
      </c>
      <c r="U86">
        <v>1.26</v>
      </c>
      <c r="V86">
        <v>93</v>
      </c>
      <c r="W86">
        <v>2</v>
      </c>
      <c r="X86">
        <v>3</v>
      </c>
      <c r="Y86">
        <v>0</v>
      </c>
      <c r="Z86">
        <v>0</v>
      </c>
      <c r="AA86" t="s">
        <v>114</v>
      </c>
      <c r="AB86">
        <v>53.980000000000004</v>
      </c>
      <c r="AC86">
        <v>0.1</v>
      </c>
      <c r="AD86">
        <v>0.05</v>
      </c>
      <c r="AE86">
        <v>0</v>
      </c>
      <c r="AF86" t="s">
        <v>2030</v>
      </c>
      <c r="AG86" t="s">
        <v>1747</v>
      </c>
      <c r="AH86">
        <v>0.7</v>
      </c>
    </row>
    <row r="87" spans="1:34" x14ac:dyDescent="0.25">
      <c r="A87" s="2">
        <v>45649</v>
      </c>
      <c r="B87" t="s">
        <v>2047</v>
      </c>
      <c r="C87" t="s">
        <v>2048</v>
      </c>
      <c r="D87">
        <v>74</v>
      </c>
      <c r="E87">
        <v>0.65354330708661412</v>
      </c>
      <c r="F87">
        <v>2.4096385542168676E-2</v>
      </c>
      <c r="G87">
        <v>51.86</v>
      </c>
      <c r="H87">
        <v>0.06</v>
      </c>
      <c r="I87">
        <v>51.8</v>
      </c>
      <c r="J87">
        <v>887.9</v>
      </c>
      <c r="K87">
        <v>56.95</v>
      </c>
      <c r="L87">
        <v>2.7</v>
      </c>
      <c r="M87" t="s">
        <v>2049</v>
      </c>
      <c r="N87">
        <v>22</v>
      </c>
      <c r="O87">
        <v>52</v>
      </c>
      <c r="P87">
        <v>39.92</v>
      </c>
      <c r="Q87">
        <v>42</v>
      </c>
      <c r="R87">
        <v>11.88</v>
      </c>
      <c r="S87">
        <v>44.27</v>
      </c>
      <c r="T87">
        <v>34.729999999999997</v>
      </c>
      <c r="U87">
        <v>1.43</v>
      </c>
      <c r="V87">
        <v>83</v>
      </c>
      <c r="W87">
        <v>2</v>
      </c>
      <c r="X87">
        <v>2</v>
      </c>
      <c r="Y87">
        <v>0</v>
      </c>
      <c r="Z87">
        <v>0</v>
      </c>
      <c r="AA87" t="s">
        <v>115</v>
      </c>
      <c r="AB87">
        <v>51.8</v>
      </c>
      <c r="AC87">
        <v>0.1</v>
      </c>
      <c r="AD87">
        <v>0.05</v>
      </c>
      <c r="AE87">
        <v>0</v>
      </c>
      <c r="AF87" t="s">
        <v>2030</v>
      </c>
      <c r="AG87" t="s">
        <v>1747</v>
      </c>
      <c r="AH87">
        <v>0.7</v>
      </c>
    </row>
    <row r="88" spans="1:34" x14ac:dyDescent="0.25">
      <c r="A88" s="2">
        <v>45642</v>
      </c>
      <c r="B88" t="s">
        <v>2056</v>
      </c>
      <c r="C88" t="s">
        <v>2057</v>
      </c>
      <c r="D88">
        <v>27</v>
      </c>
      <c r="E88">
        <v>1</v>
      </c>
      <c r="F88">
        <v>0</v>
      </c>
      <c r="G88">
        <v>18.010000000000002</v>
      </c>
      <c r="H88">
        <v>0</v>
      </c>
      <c r="I88">
        <v>18.010000000000002</v>
      </c>
      <c r="J88">
        <v>344.02</v>
      </c>
      <c r="K88">
        <v>17</v>
      </c>
      <c r="L88">
        <v>0</v>
      </c>
      <c r="M88" t="s">
        <v>2058</v>
      </c>
      <c r="N88">
        <v>15</v>
      </c>
      <c r="O88">
        <v>12</v>
      </c>
      <c r="P88">
        <v>17.899999999999999</v>
      </c>
      <c r="Q88">
        <v>0</v>
      </c>
      <c r="R88">
        <v>0.11</v>
      </c>
      <c r="S88">
        <v>14.74</v>
      </c>
      <c r="T88">
        <v>14.74</v>
      </c>
      <c r="U88">
        <v>1.5</v>
      </c>
      <c r="V88">
        <v>33</v>
      </c>
      <c r="W88">
        <v>0</v>
      </c>
      <c r="X88">
        <v>0</v>
      </c>
      <c r="Y88">
        <v>18.010000000000002</v>
      </c>
      <c r="Z88">
        <v>0</v>
      </c>
      <c r="AA88" t="s">
        <v>114</v>
      </c>
      <c r="AB88">
        <v>0</v>
      </c>
      <c r="AC88">
        <v>0.1</v>
      </c>
      <c r="AD88">
        <v>0.05</v>
      </c>
      <c r="AE88">
        <v>18.010000000000002</v>
      </c>
      <c r="AF88" t="s">
        <v>1969</v>
      </c>
      <c r="AG88" t="s">
        <v>1599</v>
      </c>
      <c r="AH88">
        <v>0.7</v>
      </c>
    </row>
    <row r="89" spans="1:34" x14ac:dyDescent="0.25">
      <c r="A89" s="2">
        <v>45649</v>
      </c>
      <c r="B89" t="s">
        <v>2010</v>
      </c>
      <c r="C89" t="s">
        <v>2011</v>
      </c>
      <c r="D89">
        <v>48</v>
      </c>
      <c r="E89">
        <v>0.87878787878787878</v>
      </c>
      <c r="F89">
        <v>3.4482758620689655E-2</v>
      </c>
      <c r="G89">
        <v>20.86</v>
      </c>
      <c r="H89">
        <v>0</v>
      </c>
      <c r="I89">
        <v>20.86</v>
      </c>
      <c r="J89">
        <v>525.57000000000005</v>
      </c>
      <c r="K89">
        <v>45.24</v>
      </c>
      <c r="L89">
        <v>0</v>
      </c>
      <c r="M89" t="s">
        <v>1919</v>
      </c>
      <c r="N89">
        <v>2</v>
      </c>
      <c r="O89">
        <v>46</v>
      </c>
      <c r="P89">
        <v>19.149999999999999</v>
      </c>
      <c r="Q89">
        <v>1</v>
      </c>
      <c r="R89">
        <v>1.71</v>
      </c>
      <c r="S89">
        <v>0</v>
      </c>
      <c r="T89">
        <v>0</v>
      </c>
      <c r="U89">
        <v>2.2999999999999998</v>
      </c>
      <c r="V89">
        <v>58</v>
      </c>
      <c r="W89">
        <v>7</v>
      </c>
      <c r="X89">
        <v>2</v>
      </c>
      <c r="Y89">
        <v>0</v>
      </c>
      <c r="Z89">
        <v>0</v>
      </c>
      <c r="AA89" t="s">
        <v>115</v>
      </c>
      <c r="AB89">
        <v>20.86</v>
      </c>
      <c r="AC89">
        <v>0.1</v>
      </c>
      <c r="AD89">
        <v>0.05</v>
      </c>
      <c r="AE89">
        <v>0</v>
      </c>
      <c r="AF89" t="s">
        <v>1802</v>
      </c>
      <c r="AG89" t="s">
        <v>1599</v>
      </c>
      <c r="AH89">
        <v>0.7</v>
      </c>
    </row>
    <row r="90" spans="1:34" x14ac:dyDescent="0.25">
      <c r="A90" s="2">
        <v>45642</v>
      </c>
      <c r="B90" t="s">
        <v>1990</v>
      </c>
      <c r="C90" t="s">
        <v>1991</v>
      </c>
      <c r="D90">
        <v>39</v>
      </c>
      <c r="E90">
        <v>0.84482758620689657</v>
      </c>
      <c r="F90">
        <v>8.1632653061224483E-2</v>
      </c>
      <c r="G90">
        <v>18.2</v>
      </c>
      <c r="H90">
        <v>0</v>
      </c>
      <c r="I90">
        <v>18.2</v>
      </c>
      <c r="J90">
        <v>368.58</v>
      </c>
      <c r="K90">
        <v>17</v>
      </c>
      <c r="L90">
        <v>0</v>
      </c>
      <c r="M90" t="s">
        <v>1992</v>
      </c>
      <c r="N90">
        <v>7</v>
      </c>
      <c r="O90">
        <v>32</v>
      </c>
      <c r="P90">
        <v>17.38</v>
      </c>
      <c r="Q90">
        <v>9</v>
      </c>
      <c r="R90">
        <v>0.81</v>
      </c>
      <c r="S90">
        <v>6.98</v>
      </c>
      <c r="T90">
        <v>6.48</v>
      </c>
      <c r="U90">
        <v>2.14</v>
      </c>
      <c r="V90">
        <v>49</v>
      </c>
      <c r="W90">
        <v>0</v>
      </c>
      <c r="X90">
        <v>4</v>
      </c>
      <c r="Y90">
        <v>0</v>
      </c>
      <c r="Z90">
        <v>0</v>
      </c>
      <c r="AA90" t="s">
        <v>114</v>
      </c>
      <c r="AB90">
        <v>18.2</v>
      </c>
      <c r="AC90">
        <v>0.1</v>
      </c>
      <c r="AD90">
        <v>0.05</v>
      </c>
      <c r="AE90">
        <v>0</v>
      </c>
      <c r="AF90" t="s">
        <v>1970</v>
      </c>
      <c r="AG90" t="s">
        <v>1599</v>
      </c>
      <c r="AH90">
        <v>0.7</v>
      </c>
    </row>
    <row r="91" spans="1:34" x14ac:dyDescent="0.25">
      <c r="A91" s="2">
        <v>45649</v>
      </c>
      <c r="B91" t="s">
        <v>1990</v>
      </c>
      <c r="C91" t="s">
        <v>1991</v>
      </c>
      <c r="D91">
        <v>56</v>
      </c>
      <c r="E91">
        <v>0.74725274725274726</v>
      </c>
      <c r="F91">
        <v>8.8235294117647065E-2</v>
      </c>
      <c r="G91">
        <v>32.5</v>
      </c>
      <c r="H91">
        <v>0</v>
      </c>
      <c r="I91">
        <v>32.5</v>
      </c>
      <c r="J91">
        <v>648.04</v>
      </c>
      <c r="K91">
        <v>33</v>
      </c>
      <c r="L91">
        <v>0</v>
      </c>
      <c r="M91" t="s">
        <v>1992</v>
      </c>
      <c r="N91">
        <v>5</v>
      </c>
      <c r="O91">
        <v>51</v>
      </c>
      <c r="P91">
        <v>28.04</v>
      </c>
      <c r="Q91">
        <v>17</v>
      </c>
      <c r="R91">
        <v>4.46</v>
      </c>
      <c r="S91">
        <v>6.04</v>
      </c>
      <c r="T91">
        <v>5.21</v>
      </c>
      <c r="U91">
        <v>1.72</v>
      </c>
      <c r="V91">
        <v>68</v>
      </c>
      <c r="W91">
        <v>6</v>
      </c>
      <c r="X91">
        <v>6</v>
      </c>
      <c r="Y91">
        <v>0</v>
      </c>
      <c r="Z91">
        <v>0</v>
      </c>
      <c r="AA91" t="s">
        <v>115</v>
      </c>
      <c r="AB91">
        <v>32.5</v>
      </c>
      <c r="AC91">
        <v>0.1</v>
      </c>
      <c r="AD91">
        <v>0.05</v>
      </c>
      <c r="AE91">
        <v>0</v>
      </c>
      <c r="AF91" t="s">
        <v>1970</v>
      </c>
      <c r="AG91" t="s">
        <v>1599</v>
      </c>
      <c r="AH91">
        <v>0.7</v>
      </c>
    </row>
    <row r="92" spans="1:34" x14ac:dyDescent="0.25">
      <c r="A92" s="2">
        <v>45649</v>
      </c>
      <c r="B92" t="s">
        <v>1915</v>
      </c>
      <c r="C92" t="s">
        <v>1916</v>
      </c>
      <c r="D92">
        <v>1</v>
      </c>
      <c r="E92">
        <v>1</v>
      </c>
      <c r="F92">
        <v>0.33333333333333331</v>
      </c>
      <c r="G92">
        <v>3.77</v>
      </c>
      <c r="H92">
        <v>0</v>
      </c>
      <c r="I92">
        <v>3.77</v>
      </c>
      <c r="J92">
        <v>15.12</v>
      </c>
      <c r="K92">
        <v>0</v>
      </c>
      <c r="L92">
        <v>0</v>
      </c>
      <c r="M92" t="s">
        <v>1917</v>
      </c>
      <c r="N92">
        <v>0</v>
      </c>
      <c r="O92">
        <v>1</v>
      </c>
      <c r="P92">
        <v>2.44</v>
      </c>
      <c r="Q92">
        <v>0</v>
      </c>
      <c r="R92">
        <v>1.33</v>
      </c>
      <c r="S92">
        <v>2.68</v>
      </c>
      <c r="T92">
        <v>1.57</v>
      </c>
      <c r="U92">
        <v>0.27</v>
      </c>
      <c r="V92">
        <v>3</v>
      </c>
      <c r="W92">
        <v>0</v>
      </c>
      <c r="X92">
        <v>1</v>
      </c>
      <c r="Y92">
        <v>0</v>
      </c>
      <c r="Z92">
        <v>0</v>
      </c>
      <c r="AA92" t="s">
        <v>115</v>
      </c>
      <c r="AB92">
        <v>3.77</v>
      </c>
      <c r="AC92">
        <v>0.1</v>
      </c>
      <c r="AD92">
        <v>0.05</v>
      </c>
      <c r="AE92">
        <v>0</v>
      </c>
      <c r="AF92" t="s">
        <v>1719</v>
      </c>
      <c r="AG92" t="s">
        <v>1599</v>
      </c>
      <c r="AH92">
        <v>0.7</v>
      </c>
    </row>
    <row r="93" spans="1:34" x14ac:dyDescent="0.25">
      <c r="A93" s="2">
        <v>45642</v>
      </c>
      <c r="B93" t="s">
        <v>2012</v>
      </c>
      <c r="C93" t="s">
        <v>1930</v>
      </c>
      <c r="D93">
        <v>48</v>
      </c>
      <c r="E93">
        <v>1</v>
      </c>
      <c r="F93">
        <v>0</v>
      </c>
      <c r="G93">
        <v>50.61</v>
      </c>
      <c r="H93">
        <v>0</v>
      </c>
      <c r="I93">
        <v>50.61</v>
      </c>
      <c r="J93">
        <v>720.28</v>
      </c>
      <c r="K93">
        <v>19</v>
      </c>
      <c r="L93">
        <v>0</v>
      </c>
      <c r="M93" t="s">
        <v>1920</v>
      </c>
      <c r="N93">
        <v>29</v>
      </c>
      <c r="O93">
        <v>19</v>
      </c>
      <c r="P93">
        <v>39.5</v>
      </c>
      <c r="Q93">
        <v>0</v>
      </c>
      <c r="R93">
        <v>11.11</v>
      </c>
      <c r="S93">
        <v>38.6</v>
      </c>
      <c r="T93">
        <v>31.65</v>
      </c>
      <c r="U93">
        <v>0.95</v>
      </c>
      <c r="V93">
        <v>65</v>
      </c>
      <c r="W93">
        <v>0</v>
      </c>
      <c r="X93">
        <v>0</v>
      </c>
      <c r="Y93">
        <v>50.61</v>
      </c>
      <c r="Z93">
        <v>0</v>
      </c>
      <c r="AA93" t="s">
        <v>114</v>
      </c>
      <c r="AB93">
        <v>0</v>
      </c>
      <c r="AC93">
        <v>0.1</v>
      </c>
      <c r="AD93">
        <v>0.05</v>
      </c>
      <c r="AE93">
        <v>50.61</v>
      </c>
      <c r="AF93" t="s">
        <v>1640</v>
      </c>
      <c r="AG93" t="s">
        <v>1749</v>
      </c>
      <c r="AH93">
        <v>0.7</v>
      </c>
    </row>
    <row r="94" spans="1:34" x14ac:dyDescent="0.25">
      <c r="A94" s="2">
        <v>45649</v>
      </c>
      <c r="B94" t="s">
        <v>2012</v>
      </c>
      <c r="C94" t="s">
        <v>1930</v>
      </c>
      <c r="D94">
        <v>76</v>
      </c>
      <c r="E94">
        <v>0.97826086956521741</v>
      </c>
      <c r="F94">
        <v>0</v>
      </c>
      <c r="G94">
        <v>57.1</v>
      </c>
      <c r="H94">
        <v>0.05</v>
      </c>
      <c r="I94">
        <v>57.050000000000004</v>
      </c>
      <c r="J94">
        <v>904.31</v>
      </c>
      <c r="K94">
        <v>69</v>
      </c>
      <c r="L94">
        <v>0</v>
      </c>
      <c r="M94" t="s">
        <v>1920</v>
      </c>
      <c r="N94">
        <v>24</v>
      </c>
      <c r="O94">
        <v>52</v>
      </c>
      <c r="P94">
        <v>44.85</v>
      </c>
      <c r="Q94">
        <v>2</v>
      </c>
      <c r="R94">
        <v>12.2</v>
      </c>
      <c r="S94">
        <v>45.5</v>
      </c>
      <c r="T94">
        <v>37.85</v>
      </c>
      <c r="U94">
        <v>1.33</v>
      </c>
      <c r="V94">
        <v>90</v>
      </c>
      <c r="W94">
        <v>0</v>
      </c>
      <c r="X94">
        <v>0</v>
      </c>
      <c r="Y94">
        <v>57.050000000000004</v>
      </c>
      <c r="Z94">
        <v>0</v>
      </c>
      <c r="AA94" t="s">
        <v>115</v>
      </c>
      <c r="AB94">
        <v>0</v>
      </c>
      <c r="AC94">
        <v>0.1</v>
      </c>
      <c r="AD94">
        <v>0.05</v>
      </c>
      <c r="AE94">
        <v>57.050000000000004</v>
      </c>
      <c r="AF94" t="s">
        <v>1640</v>
      </c>
      <c r="AG94" t="s">
        <v>1749</v>
      </c>
      <c r="AH94">
        <v>0.7</v>
      </c>
    </row>
    <row r="95" spans="1:34" x14ac:dyDescent="0.25">
      <c r="A95" s="2">
        <v>45642</v>
      </c>
      <c r="B95" t="s">
        <v>1892</v>
      </c>
      <c r="C95" t="s">
        <v>1892</v>
      </c>
      <c r="D95">
        <v>69</v>
      </c>
      <c r="E95">
        <v>0.98750000000000004</v>
      </c>
      <c r="F95">
        <v>0</v>
      </c>
      <c r="G95">
        <v>50.5</v>
      </c>
      <c r="H95">
        <v>0</v>
      </c>
      <c r="I95">
        <v>50.5</v>
      </c>
      <c r="J95">
        <v>755.55</v>
      </c>
      <c r="K95">
        <v>34</v>
      </c>
      <c r="L95">
        <v>0</v>
      </c>
      <c r="M95" t="s">
        <v>1922</v>
      </c>
      <c r="N95">
        <v>16</v>
      </c>
      <c r="O95">
        <v>53</v>
      </c>
      <c r="P95">
        <v>38.39</v>
      </c>
      <c r="Q95">
        <v>1</v>
      </c>
      <c r="R95">
        <v>12.11</v>
      </c>
      <c r="S95">
        <v>19.920000000000002</v>
      </c>
      <c r="T95">
        <v>18.309999999999999</v>
      </c>
      <c r="U95">
        <v>1.37</v>
      </c>
      <c r="V95">
        <v>79</v>
      </c>
      <c r="W95">
        <v>0</v>
      </c>
      <c r="X95">
        <v>0</v>
      </c>
      <c r="Y95">
        <v>50.5</v>
      </c>
      <c r="Z95">
        <v>0</v>
      </c>
      <c r="AA95" t="s">
        <v>114</v>
      </c>
      <c r="AB95">
        <v>0</v>
      </c>
      <c r="AC95">
        <v>0.1</v>
      </c>
      <c r="AD95">
        <v>0.05</v>
      </c>
      <c r="AE95">
        <v>50.5</v>
      </c>
      <c r="AF95" t="s">
        <v>1651</v>
      </c>
      <c r="AG95" t="s">
        <v>1750</v>
      </c>
      <c r="AH95">
        <v>0.7</v>
      </c>
    </row>
    <row r="96" spans="1:34" x14ac:dyDescent="0.25">
      <c r="A96" s="2">
        <v>45649</v>
      </c>
      <c r="B96" t="s">
        <v>1892</v>
      </c>
      <c r="C96" t="s">
        <v>1892</v>
      </c>
      <c r="D96">
        <v>71</v>
      </c>
      <c r="E96">
        <v>1</v>
      </c>
      <c r="F96">
        <v>0</v>
      </c>
      <c r="G96">
        <v>50.05</v>
      </c>
      <c r="H96">
        <v>0</v>
      </c>
      <c r="I96">
        <v>50.05</v>
      </c>
      <c r="J96">
        <v>781.02</v>
      </c>
      <c r="K96">
        <v>66</v>
      </c>
      <c r="L96">
        <v>0</v>
      </c>
      <c r="M96" t="s">
        <v>1922</v>
      </c>
      <c r="N96">
        <v>13</v>
      </c>
      <c r="O96">
        <v>58</v>
      </c>
      <c r="P96">
        <v>36.090000000000003</v>
      </c>
      <c r="Q96">
        <v>0</v>
      </c>
      <c r="R96">
        <v>13.95</v>
      </c>
      <c r="S96">
        <v>18.87</v>
      </c>
      <c r="T96">
        <v>15.3</v>
      </c>
      <c r="U96">
        <v>1.42</v>
      </c>
      <c r="V96">
        <v>76</v>
      </c>
      <c r="W96">
        <v>0</v>
      </c>
      <c r="X96">
        <v>0</v>
      </c>
      <c r="Y96">
        <v>50.05</v>
      </c>
      <c r="Z96">
        <v>0</v>
      </c>
      <c r="AA96" t="s">
        <v>115</v>
      </c>
      <c r="AB96">
        <v>0</v>
      </c>
      <c r="AC96">
        <v>0.1</v>
      </c>
      <c r="AD96">
        <v>0.05</v>
      </c>
      <c r="AE96">
        <v>50.05</v>
      </c>
      <c r="AF96" t="s">
        <v>1651</v>
      </c>
      <c r="AG96" t="s">
        <v>1750</v>
      </c>
      <c r="AH96">
        <v>0.7</v>
      </c>
    </row>
    <row r="97" spans="1:34" x14ac:dyDescent="0.25">
      <c r="A97" s="2">
        <v>45642</v>
      </c>
      <c r="B97" t="s">
        <v>1978</v>
      </c>
      <c r="C97" t="s">
        <v>1979</v>
      </c>
      <c r="D97">
        <v>59</v>
      </c>
      <c r="E97">
        <v>1</v>
      </c>
      <c r="F97">
        <v>6.6666666666666666E-2</v>
      </c>
      <c r="G97">
        <v>40.5</v>
      </c>
      <c r="H97">
        <v>0.01</v>
      </c>
      <c r="I97">
        <v>40.49</v>
      </c>
      <c r="J97">
        <v>771.74</v>
      </c>
      <c r="K97">
        <v>36.659999999999997</v>
      </c>
      <c r="L97">
        <v>3</v>
      </c>
      <c r="M97" t="s">
        <v>1980</v>
      </c>
      <c r="N97">
        <v>30</v>
      </c>
      <c r="O97">
        <v>29</v>
      </c>
      <c r="P97">
        <v>39.520000000000003</v>
      </c>
      <c r="Q97">
        <v>0</v>
      </c>
      <c r="R97">
        <v>0.97</v>
      </c>
      <c r="S97">
        <v>21.03</v>
      </c>
      <c r="T97">
        <v>20.65</v>
      </c>
      <c r="U97">
        <v>1.46</v>
      </c>
      <c r="V97">
        <v>75</v>
      </c>
      <c r="W97">
        <v>0</v>
      </c>
      <c r="X97">
        <v>5</v>
      </c>
      <c r="Y97">
        <v>0</v>
      </c>
      <c r="Z97">
        <v>0</v>
      </c>
      <c r="AA97" t="s">
        <v>114</v>
      </c>
      <c r="AB97">
        <v>40.49</v>
      </c>
      <c r="AC97">
        <v>0.1</v>
      </c>
      <c r="AD97">
        <v>0.05</v>
      </c>
      <c r="AE97">
        <v>0</v>
      </c>
      <c r="AF97" t="s">
        <v>1825</v>
      </c>
      <c r="AG97" t="s">
        <v>1600</v>
      </c>
      <c r="AH97">
        <v>0.7</v>
      </c>
    </row>
    <row r="98" spans="1:34" x14ac:dyDescent="0.25">
      <c r="A98" s="2">
        <v>45649</v>
      </c>
      <c r="B98" t="s">
        <v>1978</v>
      </c>
      <c r="C98" t="s">
        <v>1979</v>
      </c>
      <c r="D98">
        <v>94</v>
      </c>
      <c r="E98">
        <v>0.98290598290598286</v>
      </c>
      <c r="F98">
        <v>3.4782608695652174E-2</v>
      </c>
      <c r="G98">
        <v>49.8</v>
      </c>
      <c r="H98">
        <v>0</v>
      </c>
      <c r="I98">
        <v>49.8</v>
      </c>
      <c r="J98">
        <v>944.97</v>
      </c>
      <c r="K98">
        <v>47</v>
      </c>
      <c r="L98">
        <v>3.3</v>
      </c>
      <c r="M98" t="s">
        <v>1980</v>
      </c>
      <c r="N98">
        <v>33</v>
      </c>
      <c r="O98">
        <v>61</v>
      </c>
      <c r="P98">
        <v>47.19</v>
      </c>
      <c r="Q98">
        <v>1</v>
      </c>
      <c r="R98">
        <v>2.61</v>
      </c>
      <c r="S98">
        <v>39.549999999999997</v>
      </c>
      <c r="T98">
        <v>37.47</v>
      </c>
      <c r="U98">
        <v>1.89</v>
      </c>
      <c r="V98">
        <v>115</v>
      </c>
      <c r="W98">
        <v>1</v>
      </c>
      <c r="X98">
        <v>4</v>
      </c>
      <c r="Y98">
        <v>49.8</v>
      </c>
      <c r="Z98">
        <v>0</v>
      </c>
      <c r="AA98" t="s">
        <v>115</v>
      </c>
      <c r="AB98">
        <v>0</v>
      </c>
      <c r="AC98">
        <v>0.1</v>
      </c>
      <c r="AD98">
        <v>0.05</v>
      </c>
      <c r="AE98">
        <v>49.8</v>
      </c>
      <c r="AF98" t="s">
        <v>1825</v>
      </c>
      <c r="AG98" t="s">
        <v>1600</v>
      </c>
      <c r="AH98">
        <v>0.7</v>
      </c>
    </row>
    <row r="99" spans="1:34" x14ac:dyDescent="0.25">
      <c r="A99" s="2">
        <v>45642</v>
      </c>
      <c r="B99" t="s">
        <v>1923</v>
      </c>
      <c r="C99" t="s">
        <v>1924</v>
      </c>
      <c r="D99">
        <v>87</v>
      </c>
      <c r="E99">
        <v>0.9907407407407407</v>
      </c>
      <c r="F99">
        <v>9.3457943925233638E-3</v>
      </c>
      <c r="G99">
        <v>60.01</v>
      </c>
      <c r="H99">
        <v>0.01</v>
      </c>
      <c r="I99">
        <v>60</v>
      </c>
      <c r="J99">
        <v>1179.96</v>
      </c>
      <c r="K99">
        <v>64.92</v>
      </c>
      <c r="L99">
        <v>0</v>
      </c>
      <c r="M99" t="s">
        <v>1925</v>
      </c>
      <c r="N99">
        <v>47</v>
      </c>
      <c r="O99">
        <v>40</v>
      </c>
      <c r="P99">
        <v>58.61</v>
      </c>
      <c r="Q99">
        <v>0</v>
      </c>
      <c r="R99">
        <v>1.39</v>
      </c>
      <c r="S99">
        <v>41.96</v>
      </c>
      <c r="T99">
        <v>41.27</v>
      </c>
      <c r="U99">
        <v>1.45</v>
      </c>
      <c r="V99">
        <v>107</v>
      </c>
      <c r="W99">
        <v>1</v>
      </c>
      <c r="X99">
        <v>1</v>
      </c>
      <c r="Y99">
        <v>60</v>
      </c>
      <c r="Z99">
        <v>0</v>
      </c>
      <c r="AA99" t="s">
        <v>114</v>
      </c>
      <c r="AB99">
        <v>0</v>
      </c>
      <c r="AC99">
        <v>0.1</v>
      </c>
      <c r="AD99">
        <v>0.05</v>
      </c>
      <c r="AE99">
        <v>60</v>
      </c>
      <c r="AF99" t="s">
        <v>1621</v>
      </c>
      <c r="AG99" t="s">
        <v>1600</v>
      </c>
      <c r="AH99">
        <v>0.7</v>
      </c>
    </row>
    <row r="100" spans="1:34" x14ac:dyDescent="0.25">
      <c r="A100" s="2">
        <v>45649</v>
      </c>
      <c r="B100" t="s">
        <v>1923</v>
      </c>
      <c r="C100" t="s">
        <v>1924</v>
      </c>
      <c r="D100">
        <v>85</v>
      </c>
      <c r="E100">
        <v>1</v>
      </c>
      <c r="F100">
        <v>0</v>
      </c>
      <c r="G100">
        <v>50.11</v>
      </c>
      <c r="H100">
        <v>0</v>
      </c>
      <c r="I100">
        <v>50.11</v>
      </c>
      <c r="J100">
        <v>1026.07</v>
      </c>
      <c r="K100">
        <v>108.37</v>
      </c>
      <c r="L100">
        <v>0</v>
      </c>
      <c r="M100" t="s">
        <v>1925</v>
      </c>
      <c r="N100">
        <v>28</v>
      </c>
      <c r="O100">
        <v>57</v>
      </c>
      <c r="P100">
        <v>47.19</v>
      </c>
      <c r="Q100">
        <v>0</v>
      </c>
      <c r="R100">
        <v>2.91</v>
      </c>
      <c r="S100">
        <v>46.83</v>
      </c>
      <c r="T100">
        <v>43.94</v>
      </c>
      <c r="U100">
        <v>1.7</v>
      </c>
      <c r="V100">
        <v>92</v>
      </c>
      <c r="W100">
        <v>0</v>
      </c>
      <c r="X100">
        <v>0</v>
      </c>
      <c r="Y100">
        <v>50.11</v>
      </c>
      <c r="Z100">
        <v>0</v>
      </c>
      <c r="AA100" t="s">
        <v>115</v>
      </c>
      <c r="AB100">
        <v>0</v>
      </c>
      <c r="AC100">
        <v>0.1</v>
      </c>
      <c r="AD100">
        <v>0.05</v>
      </c>
      <c r="AE100">
        <v>50.11</v>
      </c>
      <c r="AF100" t="s">
        <v>1621</v>
      </c>
      <c r="AG100" t="s">
        <v>1600</v>
      </c>
      <c r="AH100">
        <v>0.7</v>
      </c>
    </row>
    <row r="101" spans="1:34" x14ac:dyDescent="0.25">
      <c r="A101" s="2">
        <v>45642</v>
      </c>
      <c r="B101" t="s">
        <v>1926</v>
      </c>
      <c r="C101" t="s">
        <v>1927</v>
      </c>
      <c r="D101">
        <v>46</v>
      </c>
      <c r="E101">
        <v>0.98611111111111116</v>
      </c>
      <c r="F101">
        <v>1.4084507042253521E-2</v>
      </c>
      <c r="G101">
        <v>38.4</v>
      </c>
      <c r="H101">
        <v>0.05</v>
      </c>
      <c r="I101">
        <v>38.35</v>
      </c>
      <c r="J101">
        <v>575.04</v>
      </c>
      <c r="K101">
        <v>27.79</v>
      </c>
      <c r="L101">
        <v>0</v>
      </c>
      <c r="M101" t="s">
        <v>1928</v>
      </c>
      <c r="N101">
        <v>25</v>
      </c>
      <c r="O101">
        <v>21</v>
      </c>
      <c r="P101">
        <v>33.97</v>
      </c>
      <c r="Q101">
        <v>0</v>
      </c>
      <c r="R101">
        <v>4.37</v>
      </c>
      <c r="S101">
        <v>30.94</v>
      </c>
      <c r="T101">
        <v>27.56</v>
      </c>
      <c r="U101">
        <v>1.2</v>
      </c>
      <c r="V101">
        <v>71</v>
      </c>
      <c r="W101">
        <v>1</v>
      </c>
      <c r="X101">
        <v>1</v>
      </c>
      <c r="Y101">
        <v>38.35</v>
      </c>
      <c r="Z101">
        <v>0</v>
      </c>
      <c r="AA101" t="s">
        <v>114</v>
      </c>
      <c r="AB101">
        <v>0</v>
      </c>
      <c r="AC101">
        <v>0.1</v>
      </c>
      <c r="AD101">
        <v>0.05</v>
      </c>
      <c r="AE101">
        <v>38.35</v>
      </c>
      <c r="AF101" t="s">
        <v>1637</v>
      </c>
      <c r="AG101" t="s">
        <v>1601</v>
      </c>
      <c r="AH101">
        <v>0.7</v>
      </c>
    </row>
    <row r="102" spans="1:34" x14ac:dyDescent="0.25">
      <c r="A102" s="2">
        <v>45649</v>
      </c>
      <c r="B102" t="s">
        <v>1926</v>
      </c>
      <c r="C102" t="s">
        <v>1927</v>
      </c>
      <c r="D102">
        <v>45</v>
      </c>
      <c r="E102">
        <v>1</v>
      </c>
      <c r="F102">
        <v>3.5087719298245612E-2</v>
      </c>
      <c r="G102">
        <v>35.36</v>
      </c>
      <c r="H102">
        <v>0</v>
      </c>
      <c r="I102">
        <v>35.36</v>
      </c>
      <c r="J102">
        <v>524.19000000000005</v>
      </c>
      <c r="K102">
        <v>35.020000000000003</v>
      </c>
      <c r="L102">
        <v>0</v>
      </c>
      <c r="M102" t="s">
        <v>1928</v>
      </c>
      <c r="N102">
        <v>19</v>
      </c>
      <c r="O102">
        <v>26</v>
      </c>
      <c r="P102">
        <v>31.4</v>
      </c>
      <c r="Q102">
        <v>0</v>
      </c>
      <c r="R102">
        <v>3.97</v>
      </c>
      <c r="S102">
        <v>20.21</v>
      </c>
      <c r="T102">
        <v>17.440000000000001</v>
      </c>
      <c r="U102">
        <v>1.27</v>
      </c>
      <c r="V102">
        <v>57</v>
      </c>
      <c r="W102">
        <v>0</v>
      </c>
      <c r="X102">
        <v>2</v>
      </c>
      <c r="Y102">
        <v>35.36</v>
      </c>
      <c r="Z102">
        <v>0</v>
      </c>
      <c r="AA102" t="s">
        <v>115</v>
      </c>
      <c r="AB102">
        <v>0</v>
      </c>
      <c r="AC102">
        <v>0.1</v>
      </c>
      <c r="AD102">
        <v>0.05</v>
      </c>
      <c r="AE102">
        <v>35.36</v>
      </c>
      <c r="AF102" t="s">
        <v>1637</v>
      </c>
      <c r="AG102" t="s">
        <v>1601</v>
      </c>
      <c r="AH102">
        <v>0.7</v>
      </c>
    </row>
    <row r="103" spans="1:34" x14ac:dyDescent="0.25">
      <c r="A103" s="2">
        <v>45642</v>
      </c>
      <c r="B103" t="s">
        <v>2015</v>
      </c>
      <c r="C103" t="s">
        <v>1863</v>
      </c>
      <c r="D103">
        <v>150</v>
      </c>
      <c r="E103">
        <v>0.98305084745762716</v>
      </c>
      <c r="F103">
        <v>1.1494252873563218E-2</v>
      </c>
      <c r="G103">
        <v>59.54</v>
      </c>
      <c r="H103">
        <v>0.33</v>
      </c>
      <c r="I103">
        <v>59.21</v>
      </c>
      <c r="J103">
        <v>1565.89</v>
      </c>
      <c r="K103">
        <v>93.54</v>
      </c>
      <c r="L103">
        <v>7.9</v>
      </c>
      <c r="M103" t="s">
        <v>1929</v>
      </c>
      <c r="N103">
        <v>3</v>
      </c>
      <c r="O103">
        <v>147</v>
      </c>
      <c r="P103">
        <v>55.59</v>
      </c>
      <c r="Q103">
        <v>1</v>
      </c>
      <c r="R103">
        <v>3.63</v>
      </c>
      <c r="S103">
        <v>4.1100000000000003</v>
      </c>
      <c r="T103">
        <v>3.75</v>
      </c>
      <c r="U103">
        <v>2.52</v>
      </c>
      <c r="V103">
        <v>174</v>
      </c>
      <c r="W103">
        <v>2</v>
      </c>
      <c r="X103">
        <v>2</v>
      </c>
      <c r="Y103">
        <v>59.21</v>
      </c>
      <c r="Z103">
        <v>0</v>
      </c>
      <c r="AA103" t="s">
        <v>114</v>
      </c>
      <c r="AB103">
        <v>0</v>
      </c>
      <c r="AC103">
        <v>0.1</v>
      </c>
      <c r="AD103">
        <v>0.05</v>
      </c>
      <c r="AE103">
        <v>59.21</v>
      </c>
      <c r="AF103" t="s">
        <v>1774</v>
      </c>
      <c r="AG103" t="s">
        <v>1600</v>
      </c>
      <c r="AH103">
        <v>0.7</v>
      </c>
    </row>
    <row r="104" spans="1:34" x14ac:dyDescent="0.25">
      <c r="A104" s="2">
        <v>45649</v>
      </c>
      <c r="B104" t="s">
        <v>2015</v>
      </c>
      <c r="C104" t="s">
        <v>1863</v>
      </c>
      <c r="D104">
        <v>107</v>
      </c>
      <c r="E104">
        <v>0.95199999999999996</v>
      </c>
      <c r="F104">
        <v>8.4033613445378148E-3</v>
      </c>
      <c r="G104">
        <v>48.18</v>
      </c>
      <c r="H104">
        <v>1.17</v>
      </c>
      <c r="I104">
        <v>47.01</v>
      </c>
      <c r="J104">
        <v>1340.33</v>
      </c>
      <c r="K104">
        <v>60.56</v>
      </c>
      <c r="L104">
        <v>24</v>
      </c>
      <c r="M104" t="s">
        <v>1929</v>
      </c>
      <c r="N104">
        <v>7</v>
      </c>
      <c r="O104">
        <v>100</v>
      </c>
      <c r="P104">
        <v>45.52</v>
      </c>
      <c r="Q104">
        <v>1</v>
      </c>
      <c r="R104">
        <v>1.49</v>
      </c>
      <c r="S104">
        <v>0.96</v>
      </c>
      <c r="T104">
        <v>0.91</v>
      </c>
      <c r="U104">
        <v>2.2200000000000002</v>
      </c>
      <c r="V104">
        <v>119</v>
      </c>
      <c r="W104">
        <v>5</v>
      </c>
      <c r="X104">
        <v>1</v>
      </c>
      <c r="Y104">
        <v>47.01</v>
      </c>
      <c r="Z104">
        <v>0</v>
      </c>
      <c r="AA104" t="s">
        <v>115</v>
      </c>
      <c r="AB104">
        <v>0</v>
      </c>
      <c r="AC104">
        <v>0.1</v>
      </c>
      <c r="AD104">
        <v>0.05</v>
      </c>
      <c r="AE104">
        <v>47.01</v>
      </c>
      <c r="AF104" t="s">
        <v>1774</v>
      </c>
      <c r="AG104" t="s">
        <v>1600</v>
      </c>
      <c r="AH104">
        <v>0.7</v>
      </c>
    </row>
    <row r="105" spans="1:34" x14ac:dyDescent="0.25">
      <c r="A105" s="2">
        <v>45642</v>
      </c>
      <c r="B105" t="s">
        <v>2059</v>
      </c>
      <c r="C105" t="s">
        <v>2060</v>
      </c>
      <c r="D105">
        <v>144</v>
      </c>
      <c r="E105">
        <v>1</v>
      </c>
      <c r="F105">
        <v>7.0588235294117646E-2</v>
      </c>
      <c r="G105">
        <v>69.62</v>
      </c>
      <c r="H105">
        <v>0</v>
      </c>
      <c r="I105">
        <v>69.62</v>
      </c>
      <c r="J105">
        <v>1633.72</v>
      </c>
      <c r="K105">
        <v>103.05</v>
      </c>
      <c r="L105">
        <v>8</v>
      </c>
      <c r="M105" t="s">
        <v>2061</v>
      </c>
      <c r="N105">
        <v>10</v>
      </c>
      <c r="O105">
        <v>134</v>
      </c>
      <c r="P105">
        <v>63.18</v>
      </c>
      <c r="Q105">
        <v>0</v>
      </c>
      <c r="R105">
        <v>6.43</v>
      </c>
      <c r="S105">
        <v>9.18</v>
      </c>
      <c r="T105">
        <v>7.43</v>
      </c>
      <c r="U105">
        <v>2.0699999999999998</v>
      </c>
      <c r="V105">
        <v>170</v>
      </c>
      <c r="W105">
        <v>0</v>
      </c>
      <c r="X105">
        <v>12</v>
      </c>
      <c r="Y105">
        <v>0</v>
      </c>
      <c r="Z105">
        <v>0</v>
      </c>
      <c r="AA105" t="s">
        <v>114</v>
      </c>
      <c r="AB105">
        <v>69.62</v>
      </c>
      <c r="AC105">
        <v>0.1</v>
      </c>
      <c r="AD105">
        <v>0.05</v>
      </c>
      <c r="AE105">
        <v>0</v>
      </c>
      <c r="AF105" t="s">
        <v>1971</v>
      </c>
      <c r="AG105" t="s">
        <v>1747</v>
      </c>
      <c r="AH105">
        <v>0.7</v>
      </c>
    </row>
    <row r="106" spans="1:34" x14ac:dyDescent="0.25">
      <c r="A106" s="2">
        <v>45649</v>
      </c>
      <c r="B106" t="s">
        <v>2059</v>
      </c>
      <c r="C106" t="s">
        <v>2060</v>
      </c>
      <c r="D106">
        <v>122</v>
      </c>
      <c r="E106">
        <v>0.99358974358974361</v>
      </c>
      <c r="F106">
        <v>4.5161290322580643E-2</v>
      </c>
      <c r="G106">
        <v>58.67</v>
      </c>
      <c r="H106">
        <v>0</v>
      </c>
      <c r="I106">
        <v>58.67</v>
      </c>
      <c r="J106">
        <v>1393.31</v>
      </c>
      <c r="K106">
        <v>66.92</v>
      </c>
      <c r="L106">
        <v>0</v>
      </c>
      <c r="M106" t="s">
        <v>2061</v>
      </c>
      <c r="N106">
        <v>7</v>
      </c>
      <c r="O106">
        <v>115</v>
      </c>
      <c r="P106">
        <v>51.27</v>
      </c>
      <c r="Q106">
        <v>0</v>
      </c>
      <c r="R106">
        <v>7.39</v>
      </c>
      <c r="S106">
        <v>6.22</v>
      </c>
      <c r="T106">
        <v>3.96</v>
      </c>
      <c r="U106">
        <v>2.08</v>
      </c>
      <c r="V106">
        <v>155</v>
      </c>
      <c r="W106">
        <v>1</v>
      </c>
      <c r="X106">
        <v>7</v>
      </c>
      <c r="Y106">
        <v>0</v>
      </c>
      <c r="Z106">
        <v>0</v>
      </c>
      <c r="AA106" t="s">
        <v>115</v>
      </c>
      <c r="AB106">
        <v>58.67</v>
      </c>
      <c r="AC106">
        <v>0.1</v>
      </c>
      <c r="AD106">
        <v>0.05</v>
      </c>
      <c r="AE106">
        <v>0</v>
      </c>
      <c r="AF106" t="s">
        <v>1971</v>
      </c>
      <c r="AG106" t="s">
        <v>1747</v>
      </c>
      <c r="AH106">
        <v>0.7</v>
      </c>
    </row>
    <row r="107" spans="1:34" x14ac:dyDescent="0.25">
      <c r="A107" s="2">
        <v>45642</v>
      </c>
      <c r="B107" t="s">
        <v>1993</v>
      </c>
      <c r="C107" t="s">
        <v>1994</v>
      </c>
      <c r="D107">
        <v>35</v>
      </c>
      <c r="E107">
        <v>0.95652173913043481</v>
      </c>
      <c r="F107">
        <v>0</v>
      </c>
      <c r="G107">
        <v>27.66</v>
      </c>
      <c r="H107">
        <v>0</v>
      </c>
      <c r="I107">
        <v>27.66</v>
      </c>
      <c r="J107">
        <v>491.16</v>
      </c>
      <c r="K107">
        <v>41</v>
      </c>
      <c r="L107">
        <v>0</v>
      </c>
      <c r="M107" t="s">
        <v>1995</v>
      </c>
      <c r="N107">
        <v>15</v>
      </c>
      <c r="O107">
        <v>20</v>
      </c>
      <c r="P107">
        <v>26.01</v>
      </c>
      <c r="Q107">
        <v>2</v>
      </c>
      <c r="R107">
        <v>1.65</v>
      </c>
      <c r="S107">
        <v>25.6</v>
      </c>
      <c r="T107">
        <v>23.98</v>
      </c>
      <c r="U107">
        <v>1.27</v>
      </c>
      <c r="V107">
        <v>44</v>
      </c>
      <c r="W107">
        <v>0</v>
      </c>
      <c r="X107">
        <v>0</v>
      </c>
      <c r="Y107">
        <v>27.66</v>
      </c>
      <c r="Z107">
        <v>0</v>
      </c>
      <c r="AA107" t="s">
        <v>114</v>
      </c>
      <c r="AB107">
        <v>0</v>
      </c>
      <c r="AC107">
        <v>0.1</v>
      </c>
      <c r="AD107">
        <v>0.05</v>
      </c>
      <c r="AE107">
        <v>27.66</v>
      </c>
      <c r="AF107" t="s">
        <v>1972</v>
      </c>
      <c r="AG107" t="s">
        <v>1599</v>
      </c>
      <c r="AH107">
        <v>0.7</v>
      </c>
    </row>
    <row r="108" spans="1:34" x14ac:dyDescent="0.25">
      <c r="A108" s="2">
        <v>45649</v>
      </c>
      <c r="B108" t="s">
        <v>1993</v>
      </c>
      <c r="C108" t="s">
        <v>1994</v>
      </c>
      <c r="D108">
        <v>49</v>
      </c>
      <c r="E108">
        <v>1</v>
      </c>
      <c r="F108">
        <v>0.11864406779661017</v>
      </c>
      <c r="G108">
        <v>32.56</v>
      </c>
      <c r="H108">
        <v>0.84</v>
      </c>
      <c r="I108">
        <v>31.720000000000002</v>
      </c>
      <c r="J108">
        <v>534.04999999999995</v>
      </c>
      <c r="K108">
        <v>40.200000000000003</v>
      </c>
      <c r="L108">
        <v>6</v>
      </c>
      <c r="M108" t="s">
        <v>1995</v>
      </c>
      <c r="N108">
        <v>14</v>
      </c>
      <c r="O108">
        <v>35</v>
      </c>
      <c r="P108">
        <v>28.75</v>
      </c>
      <c r="Q108">
        <v>0</v>
      </c>
      <c r="R108">
        <v>2.97</v>
      </c>
      <c r="S108">
        <v>23.2</v>
      </c>
      <c r="T108">
        <v>20.62</v>
      </c>
      <c r="U108">
        <v>1.5</v>
      </c>
      <c r="V108">
        <v>59</v>
      </c>
      <c r="W108">
        <v>0</v>
      </c>
      <c r="X108">
        <v>7</v>
      </c>
      <c r="Y108">
        <v>0</v>
      </c>
      <c r="Z108">
        <v>0</v>
      </c>
      <c r="AA108" t="s">
        <v>115</v>
      </c>
      <c r="AB108">
        <v>31.720000000000002</v>
      </c>
      <c r="AC108">
        <v>0.1</v>
      </c>
      <c r="AD108">
        <v>0.05</v>
      </c>
      <c r="AE108">
        <v>0</v>
      </c>
      <c r="AF108" t="s">
        <v>1972</v>
      </c>
      <c r="AG108" t="s">
        <v>1599</v>
      </c>
      <c r="AH108">
        <v>0.7</v>
      </c>
    </row>
    <row r="109" spans="1:34" x14ac:dyDescent="0.25">
      <c r="A109" s="2">
        <v>45642</v>
      </c>
      <c r="B109" t="s">
        <v>1981</v>
      </c>
      <c r="C109" t="s">
        <v>1982</v>
      </c>
      <c r="D109">
        <v>80</v>
      </c>
      <c r="E109">
        <v>0.98958333333333337</v>
      </c>
      <c r="F109">
        <v>1.0526315789473684E-2</v>
      </c>
      <c r="G109">
        <v>41.54</v>
      </c>
      <c r="H109">
        <v>0.08</v>
      </c>
      <c r="I109">
        <v>41.46</v>
      </c>
      <c r="J109">
        <v>867.91</v>
      </c>
      <c r="K109">
        <v>36</v>
      </c>
      <c r="L109">
        <v>1.5</v>
      </c>
      <c r="M109" t="s">
        <v>1983</v>
      </c>
      <c r="N109">
        <v>6</v>
      </c>
      <c r="O109">
        <v>74</v>
      </c>
      <c r="P109">
        <v>38.020000000000003</v>
      </c>
      <c r="Q109">
        <v>1</v>
      </c>
      <c r="R109">
        <v>3.43</v>
      </c>
      <c r="S109">
        <v>11.72</v>
      </c>
      <c r="T109">
        <v>10.029999999999999</v>
      </c>
      <c r="U109">
        <v>1.93</v>
      </c>
      <c r="V109">
        <v>95</v>
      </c>
      <c r="W109">
        <v>0</v>
      </c>
      <c r="X109">
        <v>1</v>
      </c>
      <c r="Y109">
        <v>41.46</v>
      </c>
      <c r="Z109">
        <v>0</v>
      </c>
      <c r="AA109" t="s">
        <v>114</v>
      </c>
      <c r="AB109">
        <v>0</v>
      </c>
      <c r="AC109">
        <v>0.1</v>
      </c>
      <c r="AD109">
        <v>0.05</v>
      </c>
      <c r="AE109">
        <v>41.46</v>
      </c>
      <c r="AF109" t="s">
        <v>1965</v>
      </c>
      <c r="AG109" t="s">
        <v>1601</v>
      </c>
      <c r="AH109">
        <v>0.7</v>
      </c>
    </row>
    <row r="110" spans="1:34" x14ac:dyDescent="0.25">
      <c r="A110" s="2">
        <v>45649</v>
      </c>
      <c r="B110" t="s">
        <v>1981</v>
      </c>
      <c r="C110" t="s">
        <v>1982</v>
      </c>
      <c r="D110">
        <v>93</v>
      </c>
      <c r="E110">
        <v>0.99115044247787609</v>
      </c>
      <c r="F110">
        <v>0</v>
      </c>
      <c r="G110">
        <v>46.52</v>
      </c>
      <c r="H110">
        <v>0.48</v>
      </c>
      <c r="I110">
        <v>46.040000000000006</v>
      </c>
      <c r="J110">
        <v>1064.5</v>
      </c>
      <c r="K110">
        <v>79.81</v>
      </c>
      <c r="L110">
        <v>20.7</v>
      </c>
      <c r="M110" t="s">
        <v>1983</v>
      </c>
      <c r="N110">
        <v>12</v>
      </c>
      <c r="O110">
        <v>81</v>
      </c>
      <c r="P110">
        <v>41.86</v>
      </c>
      <c r="Q110">
        <v>1</v>
      </c>
      <c r="R110">
        <v>4.18</v>
      </c>
      <c r="S110">
        <v>15.8</v>
      </c>
      <c r="T110">
        <v>11.87</v>
      </c>
      <c r="U110">
        <v>2</v>
      </c>
      <c r="V110">
        <v>112</v>
      </c>
      <c r="W110">
        <v>0</v>
      </c>
      <c r="X110">
        <v>0</v>
      </c>
      <c r="Y110">
        <v>46.040000000000006</v>
      </c>
      <c r="Z110">
        <v>0</v>
      </c>
      <c r="AA110" t="s">
        <v>115</v>
      </c>
      <c r="AB110">
        <v>0</v>
      </c>
      <c r="AC110">
        <v>0.1</v>
      </c>
      <c r="AD110">
        <v>0.05</v>
      </c>
      <c r="AE110">
        <v>46.040000000000006</v>
      </c>
      <c r="AF110" t="s">
        <v>1965</v>
      </c>
      <c r="AG110" t="s">
        <v>1601</v>
      </c>
      <c r="AH110">
        <v>0.7</v>
      </c>
    </row>
    <row r="111" spans="1:34" x14ac:dyDescent="0.25">
      <c r="A111" s="2">
        <v>45642</v>
      </c>
      <c r="B111" t="s">
        <v>2036</v>
      </c>
      <c r="C111" t="s">
        <v>1931</v>
      </c>
      <c r="D111">
        <v>43</v>
      </c>
      <c r="E111">
        <v>0.97222222222222221</v>
      </c>
      <c r="F111">
        <v>0</v>
      </c>
      <c r="G111">
        <v>55.05</v>
      </c>
      <c r="H111">
        <v>0</v>
      </c>
      <c r="I111">
        <v>55.05</v>
      </c>
      <c r="J111">
        <v>613.36</v>
      </c>
      <c r="K111">
        <v>84.83</v>
      </c>
      <c r="L111">
        <v>1.5</v>
      </c>
      <c r="M111" t="s">
        <v>2022</v>
      </c>
      <c r="N111">
        <v>10</v>
      </c>
      <c r="O111">
        <v>33</v>
      </c>
      <c r="P111">
        <v>25.35</v>
      </c>
      <c r="Q111">
        <v>1</v>
      </c>
      <c r="R111">
        <v>29.7</v>
      </c>
      <c r="S111">
        <v>19.309999999999999</v>
      </c>
      <c r="T111">
        <v>13.43</v>
      </c>
      <c r="U111">
        <v>0.78</v>
      </c>
      <c r="V111">
        <v>35</v>
      </c>
      <c r="W111">
        <v>0</v>
      </c>
      <c r="X111">
        <v>0</v>
      </c>
      <c r="Y111">
        <v>55.05</v>
      </c>
      <c r="Z111">
        <v>0</v>
      </c>
      <c r="AA111" t="s">
        <v>114</v>
      </c>
      <c r="AB111">
        <v>0</v>
      </c>
      <c r="AC111">
        <v>0.1</v>
      </c>
      <c r="AD111">
        <v>0.05</v>
      </c>
      <c r="AE111">
        <v>55.05</v>
      </c>
      <c r="AF111" t="s">
        <v>2018</v>
      </c>
      <c r="AG111" t="s">
        <v>1670</v>
      </c>
      <c r="AH111">
        <v>0.7</v>
      </c>
    </row>
    <row r="112" spans="1:34" x14ac:dyDescent="0.25">
      <c r="A112" s="2">
        <v>45649</v>
      </c>
      <c r="B112" t="s">
        <v>2036</v>
      </c>
      <c r="C112" t="s">
        <v>1931</v>
      </c>
      <c r="D112">
        <v>49</v>
      </c>
      <c r="E112">
        <v>1</v>
      </c>
      <c r="F112">
        <v>0</v>
      </c>
      <c r="G112">
        <v>54.34</v>
      </c>
      <c r="H112">
        <v>0</v>
      </c>
      <c r="I112">
        <v>54.34</v>
      </c>
      <c r="J112">
        <v>614.46</v>
      </c>
      <c r="K112">
        <v>38.29</v>
      </c>
      <c r="L112">
        <v>1.9</v>
      </c>
      <c r="M112" t="s">
        <v>2022</v>
      </c>
      <c r="N112">
        <v>5</v>
      </c>
      <c r="O112">
        <v>44</v>
      </c>
      <c r="P112">
        <v>24.28</v>
      </c>
      <c r="Q112">
        <v>0</v>
      </c>
      <c r="R112">
        <v>30.05</v>
      </c>
      <c r="S112">
        <v>19.73</v>
      </c>
      <c r="T112">
        <v>10.09</v>
      </c>
      <c r="U112">
        <v>0.9</v>
      </c>
      <c r="V112">
        <v>44</v>
      </c>
      <c r="W112">
        <v>0</v>
      </c>
      <c r="X112">
        <v>0</v>
      </c>
      <c r="Y112">
        <v>54.34</v>
      </c>
      <c r="Z112">
        <v>0</v>
      </c>
      <c r="AA112" t="s">
        <v>115</v>
      </c>
      <c r="AB112">
        <v>0</v>
      </c>
      <c r="AC112">
        <v>0.1</v>
      </c>
      <c r="AD112">
        <v>0.05</v>
      </c>
      <c r="AE112">
        <v>54.34</v>
      </c>
      <c r="AF112" t="s">
        <v>2018</v>
      </c>
      <c r="AG112" t="s">
        <v>1670</v>
      </c>
      <c r="AH112">
        <v>0.7</v>
      </c>
    </row>
    <row r="113" spans="1:34" x14ac:dyDescent="0.25">
      <c r="A113" s="2">
        <v>45642</v>
      </c>
      <c r="B113" t="s">
        <v>1933</v>
      </c>
      <c r="C113" t="s">
        <v>1931</v>
      </c>
      <c r="D113">
        <v>60</v>
      </c>
      <c r="E113">
        <v>0.88888888888888884</v>
      </c>
      <c r="F113">
        <v>1.3888888888888888E-2</v>
      </c>
      <c r="G113">
        <v>50.25</v>
      </c>
      <c r="H113">
        <v>0.63</v>
      </c>
      <c r="I113">
        <v>49.62</v>
      </c>
      <c r="J113">
        <v>674.37</v>
      </c>
      <c r="K113">
        <v>22.28</v>
      </c>
      <c r="L113">
        <v>6</v>
      </c>
      <c r="M113" t="s">
        <v>1934</v>
      </c>
      <c r="N113">
        <v>17</v>
      </c>
      <c r="O113">
        <v>43</v>
      </c>
      <c r="P113">
        <v>36.880000000000003</v>
      </c>
      <c r="Q113">
        <v>9</v>
      </c>
      <c r="R113">
        <v>12.73</v>
      </c>
      <c r="S113">
        <v>19.989999999999998</v>
      </c>
      <c r="T113">
        <v>17.690000000000001</v>
      </c>
      <c r="U113">
        <v>1.19</v>
      </c>
      <c r="V113">
        <v>72</v>
      </c>
      <c r="W113">
        <v>0</v>
      </c>
      <c r="X113">
        <v>1</v>
      </c>
      <c r="Y113">
        <v>0</v>
      </c>
      <c r="Z113">
        <v>0</v>
      </c>
      <c r="AA113" t="s">
        <v>114</v>
      </c>
      <c r="AB113">
        <v>49.62</v>
      </c>
      <c r="AC113">
        <v>0.1</v>
      </c>
      <c r="AD113">
        <v>0.05</v>
      </c>
      <c r="AE113">
        <v>0</v>
      </c>
      <c r="AF113" t="s">
        <v>1697</v>
      </c>
      <c r="AG113" t="s">
        <v>1747</v>
      </c>
      <c r="AH113">
        <v>0.7</v>
      </c>
    </row>
    <row r="114" spans="1:34" x14ac:dyDescent="0.25">
      <c r="A114" s="2">
        <v>45649</v>
      </c>
      <c r="B114" t="s">
        <v>1933</v>
      </c>
      <c r="C114" t="s">
        <v>1931</v>
      </c>
      <c r="D114">
        <v>66</v>
      </c>
      <c r="E114">
        <v>0.98648648648648651</v>
      </c>
      <c r="F114">
        <v>1.3698630136986301E-2</v>
      </c>
      <c r="G114">
        <v>50.14</v>
      </c>
      <c r="H114">
        <v>1.77</v>
      </c>
      <c r="I114">
        <v>48.37</v>
      </c>
      <c r="J114">
        <v>770.22</v>
      </c>
      <c r="K114">
        <v>28.87</v>
      </c>
      <c r="L114">
        <v>24.5</v>
      </c>
      <c r="M114" t="s">
        <v>1934</v>
      </c>
      <c r="N114">
        <v>10</v>
      </c>
      <c r="O114">
        <v>56</v>
      </c>
      <c r="P114">
        <v>34.71</v>
      </c>
      <c r="Q114">
        <v>1</v>
      </c>
      <c r="R114">
        <v>13.65</v>
      </c>
      <c r="S114">
        <v>17.809999999999999</v>
      </c>
      <c r="T114">
        <v>14.95</v>
      </c>
      <c r="U114">
        <v>1.32</v>
      </c>
      <c r="V114">
        <v>73</v>
      </c>
      <c r="W114">
        <v>0</v>
      </c>
      <c r="X114">
        <v>1</v>
      </c>
      <c r="Y114">
        <v>48.37</v>
      </c>
      <c r="Z114">
        <v>0</v>
      </c>
      <c r="AA114" t="s">
        <v>115</v>
      </c>
      <c r="AB114">
        <v>0</v>
      </c>
      <c r="AC114">
        <v>0.1</v>
      </c>
      <c r="AD114">
        <v>0.05</v>
      </c>
      <c r="AE114">
        <v>48.37</v>
      </c>
      <c r="AF114" t="s">
        <v>1697</v>
      </c>
      <c r="AG114" t="s">
        <v>1747</v>
      </c>
      <c r="AH114">
        <v>0.7</v>
      </c>
    </row>
    <row r="115" spans="1:34" x14ac:dyDescent="0.25">
      <c r="A115" s="2">
        <v>45642</v>
      </c>
      <c r="B115" t="s">
        <v>1930</v>
      </c>
      <c r="C115" t="s">
        <v>1931</v>
      </c>
      <c r="D115">
        <v>82</v>
      </c>
      <c r="E115">
        <v>0.97029702970297027</v>
      </c>
      <c r="F115">
        <v>2.0408163265306121E-2</v>
      </c>
      <c r="G115">
        <v>50.33</v>
      </c>
      <c r="H115">
        <v>0.11</v>
      </c>
      <c r="I115">
        <v>50.22</v>
      </c>
      <c r="J115">
        <v>928.94</v>
      </c>
      <c r="K115">
        <v>61.17</v>
      </c>
      <c r="L115">
        <v>8.9</v>
      </c>
      <c r="M115" t="s">
        <v>1932</v>
      </c>
      <c r="N115">
        <v>28</v>
      </c>
      <c r="O115">
        <v>54</v>
      </c>
      <c r="P115">
        <v>44.31</v>
      </c>
      <c r="Q115">
        <v>0</v>
      </c>
      <c r="R115">
        <v>5.91</v>
      </c>
      <c r="S115">
        <v>21.72</v>
      </c>
      <c r="T115">
        <v>20.059999999999999</v>
      </c>
      <c r="U115">
        <v>1.63</v>
      </c>
      <c r="V115">
        <v>98</v>
      </c>
      <c r="W115">
        <v>3</v>
      </c>
      <c r="X115">
        <v>2</v>
      </c>
      <c r="Y115">
        <v>50.22</v>
      </c>
      <c r="Z115">
        <v>0</v>
      </c>
      <c r="AA115" t="s">
        <v>114</v>
      </c>
      <c r="AB115">
        <v>0</v>
      </c>
      <c r="AC115">
        <v>0.1</v>
      </c>
      <c r="AD115">
        <v>0.05</v>
      </c>
      <c r="AE115">
        <v>50.22</v>
      </c>
      <c r="AF115" t="s">
        <v>1777</v>
      </c>
      <c r="AG115" t="s">
        <v>1670</v>
      </c>
      <c r="AH115">
        <v>0.7</v>
      </c>
    </row>
    <row r="116" spans="1:34" x14ac:dyDescent="0.25">
      <c r="A116" s="2">
        <v>45649</v>
      </c>
      <c r="B116" t="s">
        <v>1930</v>
      </c>
      <c r="C116" t="s">
        <v>1931</v>
      </c>
      <c r="D116">
        <v>86</v>
      </c>
      <c r="E116">
        <v>0.970873786407767</v>
      </c>
      <c r="F116">
        <v>0.03</v>
      </c>
      <c r="G116">
        <v>49.15</v>
      </c>
      <c r="H116">
        <v>0.16</v>
      </c>
      <c r="I116">
        <v>48.99</v>
      </c>
      <c r="J116">
        <v>987.85</v>
      </c>
      <c r="K116">
        <v>65.98</v>
      </c>
      <c r="L116">
        <v>7.9</v>
      </c>
      <c r="M116" t="s">
        <v>1932</v>
      </c>
      <c r="N116">
        <v>19</v>
      </c>
      <c r="O116">
        <v>67</v>
      </c>
      <c r="P116">
        <v>41.54</v>
      </c>
      <c r="Q116">
        <v>0</v>
      </c>
      <c r="R116">
        <v>7.45</v>
      </c>
      <c r="S116">
        <v>22.82</v>
      </c>
      <c r="T116">
        <v>18.829999999999998</v>
      </c>
      <c r="U116">
        <v>1.75</v>
      </c>
      <c r="V116">
        <v>100</v>
      </c>
      <c r="W116">
        <v>3</v>
      </c>
      <c r="X116">
        <v>3</v>
      </c>
      <c r="Y116">
        <v>48.99</v>
      </c>
      <c r="Z116">
        <v>0</v>
      </c>
      <c r="AA116" t="s">
        <v>115</v>
      </c>
      <c r="AB116">
        <v>0</v>
      </c>
      <c r="AC116">
        <v>0.1</v>
      </c>
      <c r="AD116">
        <v>0.05</v>
      </c>
      <c r="AE116">
        <v>48.99</v>
      </c>
      <c r="AF116" t="s">
        <v>1777</v>
      </c>
      <c r="AG116" t="s">
        <v>1670</v>
      </c>
      <c r="AH116">
        <v>0.7</v>
      </c>
    </row>
    <row r="117" spans="1:34" x14ac:dyDescent="0.25">
      <c r="A117" s="2">
        <v>45642</v>
      </c>
      <c r="B117" t="s">
        <v>1935</v>
      </c>
      <c r="C117" t="s">
        <v>1936</v>
      </c>
      <c r="D117">
        <v>0</v>
      </c>
      <c r="E117">
        <v>0</v>
      </c>
      <c r="F117">
        <v>0</v>
      </c>
      <c r="G117">
        <v>0.08</v>
      </c>
      <c r="H117">
        <v>0</v>
      </c>
      <c r="I117">
        <v>0.08</v>
      </c>
      <c r="J117">
        <v>0</v>
      </c>
      <c r="K117">
        <v>0</v>
      </c>
      <c r="L117">
        <v>0</v>
      </c>
      <c r="M117" t="s">
        <v>1937</v>
      </c>
      <c r="N117">
        <v>0</v>
      </c>
      <c r="O117">
        <v>0</v>
      </c>
      <c r="P117">
        <v>0</v>
      </c>
      <c r="Q117">
        <v>0</v>
      </c>
      <c r="R117">
        <v>0.08</v>
      </c>
      <c r="S117">
        <v>0</v>
      </c>
      <c r="T117">
        <v>0</v>
      </c>
      <c r="U117">
        <v>0</v>
      </c>
      <c r="V117">
        <v>0</v>
      </c>
      <c r="W117">
        <v>1</v>
      </c>
      <c r="X117">
        <v>0</v>
      </c>
      <c r="Y117">
        <v>0</v>
      </c>
      <c r="Z117">
        <v>0</v>
      </c>
      <c r="AA117" t="s">
        <v>114</v>
      </c>
      <c r="AB117">
        <v>0.08</v>
      </c>
      <c r="AC117">
        <v>0.1</v>
      </c>
      <c r="AD117">
        <v>0.05</v>
      </c>
      <c r="AE117">
        <v>0</v>
      </c>
      <c r="AF117" t="s">
        <v>1778</v>
      </c>
      <c r="AG117" t="s">
        <v>1816</v>
      </c>
      <c r="AH117">
        <v>0.7</v>
      </c>
    </row>
    <row r="118" spans="1:34" x14ac:dyDescent="0.25">
      <c r="A118" s="2">
        <v>45649</v>
      </c>
      <c r="B118" t="s">
        <v>1935</v>
      </c>
      <c r="C118" t="s">
        <v>1936</v>
      </c>
      <c r="D118">
        <v>55</v>
      </c>
      <c r="E118">
        <v>0.96721311475409832</v>
      </c>
      <c r="F118">
        <v>0</v>
      </c>
      <c r="G118">
        <v>50.99</v>
      </c>
      <c r="H118">
        <v>0.36</v>
      </c>
      <c r="I118">
        <v>50.63</v>
      </c>
      <c r="J118">
        <v>636.97</v>
      </c>
      <c r="K118">
        <v>30.18</v>
      </c>
      <c r="L118">
        <v>9.9</v>
      </c>
      <c r="M118" t="s">
        <v>1937</v>
      </c>
      <c r="N118">
        <v>2</v>
      </c>
      <c r="O118">
        <v>53</v>
      </c>
      <c r="P118">
        <v>29.49</v>
      </c>
      <c r="Q118">
        <v>0</v>
      </c>
      <c r="R118">
        <v>21.14</v>
      </c>
      <c r="S118">
        <v>8.07</v>
      </c>
      <c r="T118">
        <v>7</v>
      </c>
      <c r="U118">
        <v>1.08</v>
      </c>
      <c r="V118">
        <v>59</v>
      </c>
      <c r="W118">
        <v>2</v>
      </c>
      <c r="X118">
        <v>0</v>
      </c>
      <c r="Y118">
        <v>50.63</v>
      </c>
      <c r="Z118">
        <v>0</v>
      </c>
      <c r="AA118" t="s">
        <v>115</v>
      </c>
      <c r="AB118">
        <v>0</v>
      </c>
      <c r="AC118">
        <v>0.1</v>
      </c>
      <c r="AD118">
        <v>0.05</v>
      </c>
      <c r="AE118">
        <v>50.63</v>
      </c>
      <c r="AF118" t="s">
        <v>1778</v>
      </c>
      <c r="AG118" t="s">
        <v>1816</v>
      </c>
      <c r="AH118">
        <v>0.7</v>
      </c>
    </row>
    <row r="119" spans="1:34" x14ac:dyDescent="0.25">
      <c r="A119" s="2">
        <v>45642</v>
      </c>
      <c r="B119" t="s">
        <v>1996</v>
      </c>
      <c r="C119" t="s">
        <v>1997</v>
      </c>
      <c r="D119">
        <v>50</v>
      </c>
      <c r="E119">
        <v>0.98333333333333328</v>
      </c>
      <c r="F119">
        <v>0</v>
      </c>
      <c r="G119">
        <v>31.35</v>
      </c>
      <c r="H119">
        <v>0</v>
      </c>
      <c r="I119">
        <v>31.35</v>
      </c>
      <c r="J119">
        <v>640.26</v>
      </c>
      <c r="K119">
        <v>30.05</v>
      </c>
      <c r="L119">
        <v>0</v>
      </c>
      <c r="M119" t="s">
        <v>1998</v>
      </c>
      <c r="N119">
        <v>17</v>
      </c>
      <c r="O119">
        <v>33</v>
      </c>
      <c r="P119">
        <v>30.46</v>
      </c>
      <c r="Q119">
        <v>1</v>
      </c>
      <c r="R119">
        <v>0.89</v>
      </c>
      <c r="S119">
        <v>22.39</v>
      </c>
      <c r="T119">
        <v>21.86</v>
      </c>
      <c r="U119">
        <v>1.59</v>
      </c>
      <c r="V119">
        <v>59</v>
      </c>
      <c r="W119">
        <v>0</v>
      </c>
      <c r="X119">
        <v>0</v>
      </c>
      <c r="Y119">
        <v>31.35</v>
      </c>
      <c r="Z119">
        <v>0</v>
      </c>
      <c r="AA119" t="s">
        <v>114</v>
      </c>
      <c r="AB119">
        <v>0</v>
      </c>
      <c r="AC119">
        <v>0.1</v>
      </c>
      <c r="AD119">
        <v>0.05</v>
      </c>
      <c r="AE119">
        <v>31.35</v>
      </c>
      <c r="AF119" t="s">
        <v>1824</v>
      </c>
      <c r="AG119" t="s">
        <v>1599</v>
      </c>
      <c r="AH119">
        <v>0.7</v>
      </c>
    </row>
    <row r="120" spans="1:34" x14ac:dyDescent="0.25">
      <c r="A120" s="2">
        <v>45649</v>
      </c>
      <c r="B120" t="s">
        <v>1996</v>
      </c>
      <c r="C120" t="s">
        <v>1997</v>
      </c>
      <c r="D120">
        <v>78</v>
      </c>
      <c r="E120">
        <v>0.94680851063829785</v>
      </c>
      <c r="F120">
        <v>0</v>
      </c>
      <c r="G120">
        <v>51.42</v>
      </c>
      <c r="H120">
        <v>0.31</v>
      </c>
      <c r="I120">
        <v>51.11</v>
      </c>
      <c r="J120">
        <v>1035.4000000000001</v>
      </c>
      <c r="K120">
        <v>25.59</v>
      </c>
      <c r="L120">
        <v>21.8</v>
      </c>
      <c r="M120" t="s">
        <v>1998</v>
      </c>
      <c r="N120">
        <v>19</v>
      </c>
      <c r="O120">
        <v>59</v>
      </c>
      <c r="P120">
        <v>46.13</v>
      </c>
      <c r="Q120">
        <v>5</v>
      </c>
      <c r="R120">
        <v>4.9800000000000004</v>
      </c>
      <c r="S120">
        <v>27.84</v>
      </c>
      <c r="T120">
        <v>25.23</v>
      </c>
      <c r="U120">
        <v>1.52</v>
      </c>
      <c r="V120">
        <v>89</v>
      </c>
      <c r="W120">
        <v>0</v>
      </c>
      <c r="X120">
        <v>0</v>
      </c>
      <c r="Y120">
        <v>0</v>
      </c>
      <c r="Z120">
        <v>0</v>
      </c>
      <c r="AA120" t="s">
        <v>115</v>
      </c>
      <c r="AB120">
        <v>51.11</v>
      </c>
      <c r="AC120">
        <v>0.1</v>
      </c>
      <c r="AD120">
        <v>0.05</v>
      </c>
      <c r="AE120">
        <v>0</v>
      </c>
      <c r="AF120" t="s">
        <v>1824</v>
      </c>
      <c r="AG120" t="s">
        <v>1599</v>
      </c>
      <c r="AH120">
        <v>0.7</v>
      </c>
    </row>
    <row r="121" spans="1:34" x14ac:dyDescent="0.25">
      <c r="A121" s="2">
        <v>45642</v>
      </c>
      <c r="B121" t="s">
        <v>1958</v>
      </c>
      <c r="C121" t="s">
        <v>1959</v>
      </c>
      <c r="D121">
        <v>84</v>
      </c>
      <c r="E121">
        <v>0.96969696969696972</v>
      </c>
      <c r="F121">
        <v>0</v>
      </c>
      <c r="G121">
        <v>52.34</v>
      </c>
      <c r="H121">
        <v>1.84</v>
      </c>
      <c r="I121">
        <v>50.5</v>
      </c>
      <c r="J121">
        <v>1030.5899999999999</v>
      </c>
      <c r="K121">
        <v>65</v>
      </c>
      <c r="L121">
        <v>9.8000000000000007</v>
      </c>
      <c r="M121" t="s">
        <v>1960</v>
      </c>
      <c r="N121">
        <v>32</v>
      </c>
      <c r="O121">
        <v>52</v>
      </c>
      <c r="P121">
        <v>48.31</v>
      </c>
      <c r="Q121">
        <v>2</v>
      </c>
      <c r="R121">
        <v>2.19</v>
      </c>
      <c r="S121">
        <v>42.62</v>
      </c>
      <c r="T121">
        <v>38.840000000000003</v>
      </c>
      <c r="U121">
        <v>1.6</v>
      </c>
      <c r="V121">
        <v>96</v>
      </c>
      <c r="W121">
        <v>1</v>
      </c>
      <c r="X121">
        <v>0</v>
      </c>
      <c r="Y121">
        <v>50.5</v>
      </c>
      <c r="Z121">
        <v>0</v>
      </c>
      <c r="AA121" t="s">
        <v>114</v>
      </c>
      <c r="AB121">
        <v>0</v>
      </c>
      <c r="AC121">
        <v>0.1</v>
      </c>
      <c r="AD121">
        <v>0.05</v>
      </c>
      <c r="AE121">
        <v>50.5</v>
      </c>
      <c r="AF121" t="s">
        <v>1724</v>
      </c>
      <c r="AG121" t="s">
        <v>1600</v>
      </c>
      <c r="AH121">
        <v>0.7</v>
      </c>
    </row>
    <row r="122" spans="1:34" x14ac:dyDescent="0.25">
      <c r="A122" s="2">
        <v>45649</v>
      </c>
      <c r="B122" t="s">
        <v>1958</v>
      </c>
      <c r="C122" t="s">
        <v>1959</v>
      </c>
      <c r="D122">
        <v>94</v>
      </c>
      <c r="E122">
        <v>0.99019607843137258</v>
      </c>
      <c r="F122">
        <v>0</v>
      </c>
      <c r="G122">
        <v>52.03</v>
      </c>
      <c r="H122">
        <v>2.85</v>
      </c>
      <c r="I122">
        <v>49.18</v>
      </c>
      <c r="J122">
        <v>1069.6300000000001</v>
      </c>
      <c r="K122">
        <v>83.03</v>
      </c>
      <c r="L122">
        <v>16.2</v>
      </c>
      <c r="M122" t="s">
        <v>1960</v>
      </c>
      <c r="N122">
        <v>29</v>
      </c>
      <c r="O122">
        <v>65</v>
      </c>
      <c r="P122">
        <v>46.51</v>
      </c>
      <c r="Q122">
        <v>1</v>
      </c>
      <c r="R122">
        <v>2.66</v>
      </c>
      <c r="S122">
        <v>42.49</v>
      </c>
      <c r="T122">
        <v>37.729999999999997</v>
      </c>
      <c r="U122">
        <v>1.81</v>
      </c>
      <c r="V122">
        <v>101</v>
      </c>
      <c r="W122">
        <v>0</v>
      </c>
      <c r="X122">
        <v>0</v>
      </c>
      <c r="Y122">
        <v>49.18</v>
      </c>
      <c r="Z122">
        <v>0</v>
      </c>
      <c r="AA122" t="s">
        <v>115</v>
      </c>
      <c r="AB122">
        <v>0</v>
      </c>
      <c r="AC122">
        <v>0.1</v>
      </c>
      <c r="AD122">
        <v>0.05</v>
      </c>
      <c r="AE122">
        <v>49.18</v>
      </c>
      <c r="AF122" t="s">
        <v>1724</v>
      </c>
      <c r="AG122" t="s">
        <v>1600</v>
      </c>
      <c r="AH122">
        <v>0.7</v>
      </c>
    </row>
    <row r="123" spans="1:34" x14ac:dyDescent="0.25">
      <c r="A123" s="2">
        <v>45642</v>
      </c>
      <c r="B123" t="s">
        <v>1938</v>
      </c>
      <c r="C123" t="s">
        <v>1939</v>
      </c>
      <c r="D123">
        <v>21</v>
      </c>
      <c r="E123">
        <v>1</v>
      </c>
      <c r="F123">
        <v>6.6666666666666666E-2</v>
      </c>
      <c r="G123">
        <v>15.46</v>
      </c>
      <c r="H123">
        <v>0</v>
      </c>
      <c r="I123">
        <v>15.46</v>
      </c>
      <c r="J123">
        <v>304.25</v>
      </c>
      <c r="K123">
        <v>8</v>
      </c>
      <c r="L123">
        <v>0</v>
      </c>
      <c r="M123" t="s">
        <v>1940</v>
      </c>
      <c r="N123">
        <v>12</v>
      </c>
      <c r="O123">
        <v>9</v>
      </c>
      <c r="P123">
        <v>14.98</v>
      </c>
      <c r="Q123">
        <v>0</v>
      </c>
      <c r="R123">
        <v>0.48</v>
      </c>
      <c r="S123">
        <v>13.06</v>
      </c>
      <c r="T123">
        <v>12.8</v>
      </c>
      <c r="U123">
        <v>1.36</v>
      </c>
      <c r="V123">
        <v>30</v>
      </c>
      <c r="W123">
        <v>0</v>
      </c>
      <c r="X123">
        <v>2</v>
      </c>
      <c r="Y123">
        <v>0</v>
      </c>
      <c r="Z123">
        <v>0</v>
      </c>
      <c r="AA123" t="s">
        <v>114</v>
      </c>
      <c r="AB123">
        <v>15.46</v>
      </c>
      <c r="AC123">
        <v>0.1</v>
      </c>
      <c r="AD123">
        <v>0.05</v>
      </c>
      <c r="AE123">
        <v>0</v>
      </c>
      <c r="AF123" t="s">
        <v>1817</v>
      </c>
      <c r="AG123" t="s">
        <v>1599</v>
      </c>
      <c r="AH123">
        <v>0.7</v>
      </c>
    </row>
    <row r="124" spans="1:34" x14ac:dyDescent="0.25">
      <c r="A124" s="2">
        <v>45649</v>
      </c>
      <c r="B124" t="s">
        <v>1938</v>
      </c>
      <c r="C124" t="s">
        <v>1939</v>
      </c>
      <c r="D124">
        <v>25</v>
      </c>
      <c r="E124">
        <v>0.6</v>
      </c>
      <c r="F124">
        <v>0.3125</v>
      </c>
      <c r="G124">
        <v>23.65</v>
      </c>
      <c r="H124">
        <v>0</v>
      </c>
      <c r="I124">
        <v>23.65</v>
      </c>
      <c r="J124">
        <v>257.70999999999998</v>
      </c>
      <c r="K124">
        <v>9</v>
      </c>
      <c r="L124">
        <v>0</v>
      </c>
      <c r="M124" t="s">
        <v>1940</v>
      </c>
      <c r="N124">
        <v>3</v>
      </c>
      <c r="O124">
        <v>22</v>
      </c>
      <c r="P124">
        <v>13.82</v>
      </c>
      <c r="Q124">
        <v>0</v>
      </c>
      <c r="R124">
        <v>9.83</v>
      </c>
      <c r="S124">
        <v>13.27</v>
      </c>
      <c r="T124">
        <v>7.26</v>
      </c>
      <c r="U124">
        <v>1.06</v>
      </c>
      <c r="V124">
        <v>48</v>
      </c>
      <c r="W124">
        <v>32</v>
      </c>
      <c r="X124">
        <v>15</v>
      </c>
      <c r="Y124">
        <v>0</v>
      </c>
      <c r="Z124">
        <v>0</v>
      </c>
      <c r="AA124" t="s">
        <v>115</v>
      </c>
      <c r="AB124">
        <v>23.65</v>
      </c>
      <c r="AC124">
        <v>0.1</v>
      </c>
      <c r="AD124">
        <v>0.05</v>
      </c>
      <c r="AE124">
        <v>0</v>
      </c>
      <c r="AF124" t="s">
        <v>1817</v>
      </c>
      <c r="AG124" t="s">
        <v>1599</v>
      </c>
      <c r="AH124">
        <v>0.7</v>
      </c>
    </row>
    <row r="125" spans="1:34" x14ac:dyDescent="0.25">
      <c r="A125" s="2">
        <v>45642</v>
      </c>
      <c r="B125" t="s">
        <v>1941</v>
      </c>
      <c r="C125" t="s">
        <v>1942</v>
      </c>
      <c r="D125">
        <v>78</v>
      </c>
      <c r="E125">
        <v>1</v>
      </c>
      <c r="F125">
        <v>0</v>
      </c>
      <c r="G125">
        <v>55.24</v>
      </c>
      <c r="H125">
        <v>0.28999999999999998</v>
      </c>
      <c r="I125">
        <v>54.95</v>
      </c>
      <c r="J125">
        <v>1032.25</v>
      </c>
      <c r="K125">
        <v>43.33</v>
      </c>
      <c r="L125">
        <v>0</v>
      </c>
      <c r="M125" t="s">
        <v>1943</v>
      </c>
      <c r="N125">
        <v>39</v>
      </c>
      <c r="O125">
        <v>39</v>
      </c>
      <c r="P125">
        <v>54.26</v>
      </c>
      <c r="Q125">
        <v>0</v>
      </c>
      <c r="R125">
        <v>0.7</v>
      </c>
      <c r="S125">
        <v>38.43</v>
      </c>
      <c r="T125">
        <v>37.75</v>
      </c>
      <c r="U125">
        <v>1.41</v>
      </c>
      <c r="V125">
        <v>92</v>
      </c>
      <c r="W125">
        <v>0</v>
      </c>
      <c r="X125">
        <v>0</v>
      </c>
      <c r="Y125">
        <v>54.95</v>
      </c>
      <c r="Z125">
        <v>0</v>
      </c>
      <c r="AA125" t="s">
        <v>114</v>
      </c>
      <c r="AB125">
        <v>0</v>
      </c>
      <c r="AC125">
        <v>0.1</v>
      </c>
      <c r="AD125">
        <v>0.05</v>
      </c>
      <c r="AE125">
        <v>54.95</v>
      </c>
      <c r="AF125" t="s">
        <v>1737</v>
      </c>
      <c r="AG125" t="s">
        <v>1600</v>
      </c>
      <c r="AH125">
        <v>0.7</v>
      </c>
    </row>
    <row r="126" spans="1:34" x14ac:dyDescent="0.25">
      <c r="A126" s="2">
        <v>45649</v>
      </c>
      <c r="B126" t="s">
        <v>1941</v>
      </c>
      <c r="C126" t="s">
        <v>1942</v>
      </c>
      <c r="D126">
        <v>91</v>
      </c>
      <c r="E126">
        <v>1</v>
      </c>
      <c r="F126">
        <v>0</v>
      </c>
      <c r="G126">
        <v>49.97</v>
      </c>
      <c r="H126">
        <v>0.19</v>
      </c>
      <c r="I126">
        <v>49.78</v>
      </c>
      <c r="J126">
        <v>1111.1199999999999</v>
      </c>
      <c r="K126">
        <v>76.489999999999995</v>
      </c>
      <c r="L126">
        <v>0</v>
      </c>
      <c r="M126" t="s">
        <v>1943</v>
      </c>
      <c r="N126">
        <v>18</v>
      </c>
      <c r="O126">
        <v>73</v>
      </c>
      <c r="P126">
        <v>47.74</v>
      </c>
      <c r="Q126">
        <v>0</v>
      </c>
      <c r="R126">
        <v>2.0499999999999998</v>
      </c>
      <c r="S126">
        <v>27.11</v>
      </c>
      <c r="T126">
        <v>26</v>
      </c>
      <c r="U126">
        <v>1.82</v>
      </c>
      <c r="V126">
        <v>110</v>
      </c>
      <c r="W126">
        <v>0</v>
      </c>
      <c r="X126">
        <v>0</v>
      </c>
      <c r="Y126">
        <v>49.78</v>
      </c>
      <c r="Z126">
        <v>0</v>
      </c>
      <c r="AA126" t="s">
        <v>115</v>
      </c>
      <c r="AB126">
        <v>0</v>
      </c>
      <c r="AC126">
        <v>0.1</v>
      </c>
      <c r="AD126">
        <v>0.05</v>
      </c>
      <c r="AE126">
        <v>49.78</v>
      </c>
      <c r="AF126" t="s">
        <v>1737</v>
      </c>
      <c r="AG126" t="s">
        <v>1600</v>
      </c>
      <c r="AH126">
        <v>0.7</v>
      </c>
    </row>
    <row r="127" spans="1:34" x14ac:dyDescent="0.25">
      <c r="A127" s="2">
        <v>45642</v>
      </c>
      <c r="B127" t="s">
        <v>1944</v>
      </c>
      <c r="C127" t="s">
        <v>1945</v>
      </c>
      <c r="D127">
        <v>61</v>
      </c>
      <c r="E127">
        <v>0.81707317073170727</v>
      </c>
      <c r="F127">
        <v>0</v>
      </c>
      <c r="G127">
        <v>51.03</v>
      </c>
      <c r="H127">
        <v>0.41</v>
      </c>
      <c r="I127">
        <v>50.620000000000005</v>
      </c>
      <c r="J127">
        <v>747.08</v>
      </c>
      <c r="K127">
        <v>43.78</v>
      </c>
      <c r="L127">
        <v>0</v>
      </c>
      <c r="M127" t="s">
        <v>1946</v>
      </c>
      <c r="N127">
        <v>13</v>
      </c>
      <c r="O127">
        <v>48</v>
      </c>
      <c r="P127">
        <v>37.4</v>
      </c>
      <c r="Q127">
        <v>14</v>
      </c>
      <c r="R127">
        <v>13.23</v>
      </c>
      <c r="S127">
        <v>15.81</v>
      </c>
      <c r="T127">
        <v>13.48</v>
      </c>
      <c r="U127">
        <v>1.2</v>
      </c>
      <c r="V127">
        <v>67</v>
      </c>
      <c r="W127">
        <v>1</v>
      </c>
      <c r="X127">
        <v>0</v>
      </c>
      <c r="Y127">
        <v>0</v>
      </c>
      <c r="Z127">
        <v>0</v>
      </c>
      <c r="AA127" t="s">
        <v>114</v>
      </c>
      <c r="AB127">
        <v>50.620000000000005</v>
      </c>
      <c r="AC127">
        <v>0.1</v>
      </c>
      <c r="AD127">
        <v>0.05</v>
      </c>
      <c r="AE127">
        <v>0</v>
      </c>
      <c r="AF127" t="s">
        <v>1739</v>
      </c>
      <c r="AG127" t="s">
        <v>1742</v>
      </c>
      <c r="AH127">
        <v>0.7</v>
      </c>
    </row>
    <row r="128" spans="1:34" x14ac:dyDescent="0.25">
      <c r="A128" s="2">
        <v>45649</v>
      </c>
      <c r="B128" t="s">
        <v>1944</v>
      </c>
      <c r="C128" t="s">
        <v>1945</v>
      </c>
      <c r="D128">
        <v>80</v>
      </c>
      <c r="E128">
        <v>1</v>
      </c>
      <c r="F128">
        <v>1.1111111111111112E-2</v>
      </c>
      <c r="G128">
        <v>70.08</v>
      </c>
      <c r="H128">
        <v>0.16</v>
      </c>
      <c r="I128">
        <v>69.92</v>
      </c>
      <c r="J128">
        <v>892.86</v>
      </c>
      <c r="K128">
        <v>71.69</v>
      </c>
      <c r="L128">
        <v>6</v>
      </c>
      <c r="M128" t="s">
        <v>1946</v>
      </c>
      <c r="N128">
        <v>14</v>
      </c>
      <c r="O128">
        <v>66</v>
      </c>
      <c r="P128">
        <v>41.43</v>
      </c>
      <c r="Q128">
        <v>0</v>
      </c>
      <c r="R128">
        <v>28.49</v>
      </c>
      <c r="S128">
        <v>38.35</v>
      </c>
      <c r="T128">
        <v>24.44</v>
      </c>
      <c r="U128">
        <v>1.1399999999999999</v>
      </c>
      <c r="V128">
        <v>90</v>
      </c>
      <c r="W128">
        <v>0</v>
      </c>
      <c r="X128">
        <v>1</v>
      </c>
      <c r="Y128">
        <v>69.92</v>
      </c>
      <c r="Z128">
        <v>0</v>
      </c>
      <c r="AA128" t="s">
        <v>115</v>
      </c>
      <c r="AB128">
        <v>0</v>
      </c>
      <c r="AC128">
        <v>0.1</v>
      </c>
      <c r="AD128">
        <v>0.05</v>
      </c>
      <c r="AE128">
        <v>69.92</v>
      </c>
      <c r="AF128" t="s">
        <v>1739</v>
      </c>
      <c r="AG128" t="s">
        <v>1742</v>
      </c>
      <c r="AH128">
        <v>0.7</v>
      </c>
    </row>
    <row r="129" spans="1:34" x14ac:dyDescent="0.25">
      <c r="A129" s="2">
        <v>45642</v>
      </c>
      <c r="B129" t="s">
        <v>1947</v>
      </c>
      <c r="C129" t="s">
        <v>1948</v>
      </c>
      <c r="D129">
        <v>12</v>
      </c>
      <c r="E129">
        <v>0.92307692307692313</v>
      </c>
      <c r="F129">
        <v>0</v>
      </c>
      <c r="G129">
        <v>9.57</v>
      </c>
      <c r="H129">
        <v>0.36</v>
      </c>
      <c r="I129">
        <v>9.2100000000000009</v>
      </c>
      <c r="J129">
        <v>136.80000000000001</v>
      </c>
      <c r="K129">
        <v>18.14</v>
      </c>
      <c r="L129">
        <v>0</v>
      </c>
      <c r="M129" t="s">
        <v>1949</v>
      </c>
      <c r="N129">
        <v>3</v>
      </c>
      <c r="O129">
        <v>9</v>
      </c>
      <c r="P129">
        <v>8.59</v>
      </c>
      <c r="Q129">
        <v>2</v>
      </c>
      <c r="R129">
        <v>0.62</v>
      </c>
      <c r="S129">
        <v>0</v>
      </c>
      <c r="T129">
        <v>0</v>
      </c>
      <c r="U129">
        <v>1.25</v>
      </c>
      <c r="V129">
        <v>24</v>
      </c>
      <c r="W129">
        <v>0</v>
      </c>
      <c r="X129">
        <v>0</v>
      </c>
      <c r="Y129">
        <v>0</v>
      </c>
      <c r="Z129">
        <v>0</v>
      </c>
      <c r="AA129" t="s">
        <v>114</v>
      </c>
      <c r="AB129">
        <v>9.2100000000000009</v>
      </c>
      <c r="AC129">
        <v>0.1</v>
      </c>
      <c r="AD129">
        <v>0.05</v>
      </c>
      <c r="AE129">
        <v>0</v>
      </c>
      <c r="AF129" t="s">
        <v>1605</v>
      </c>
      <c r="AG129" t="s">
        <v>1601</v>
      </c>
      <c r="AH129">
        <v>0.7</v>
      </c>
    </row>
    <row r="130" spans="1:34" x14ac:dyDescent="0.25">
      <c r="A130" s="2">
        <v>45649</v>
      </c>
      <c r="B130" t="s">
        <v>1947</v>
      </c>
      <c r="C130" t="s">
        <v>1948</v>
      </c>
      <c r="D130">
        <v>45</v>
      </c>
      <c r="E130">
        <v>0.94047619047619047</v>
      </c>
      <c r="F130">
        <v>5.0632911392405063E-2</v>
      </c>
      <c r="G130">
        <v>35.39</v>
      </c>
      <c r="H130">
        <v>0.08</v>
      </c>
      <c r="I130">
        <v>35.31</v>
      </c>
      <c r="J130">
        <v>496.8</v>
      </c>
      <c r="K130">
        <v>15</v>
      </c>
      <c r="L130">
        <v>0</v>
      </c>
      <c r="M130" t="s">
        <v>1949</v>
      </c>
      <c r="N130">
        <v>1</v>
      </c>
      <c r="O130">
        <v>44</v>
      </c>
      <c r="P130">
        <v>28.73</v>
      </c>
      <c r="Q130">
        <v>5</v>
      </c>
      <c r="R130">
        <v>6.59</v>
      </c>
      <c r="S130">
        <v>2.15</v>
      </c>
      <c r="T130">
        <v>1.9</v>
      </c>
      <c r="U130">
        <v>1.27</v>
      </c>
      <c r="V130">
        <v>79</v>
      </c>
      <c r="W130">
        <v>0</v>
      </c>
      <c r="X130">
        <v>4</v>
      </c>
      <c r="Y130">
        <v>0</v>
      </c>
      <c r="Z130">
        <v>0</v>
      </c>
      <c r="AA130" t="s">
        <v>115</v>
      </c>
      <c r="AB130">
        <v>35.31</v>
      </c>
      <c r="AC130">
        <v>0.1</v>
      </c>
      <c r="AD130">
        <v>0.05</v>
      </c>
      <c r="AE130">
        <v>0</v>
      </c>
      <c r="AF130" t="s">
        <v>1605</v>
      </c>
      <c r="AG130" t="s">
        <v>1601</v>
      </c>
      <c r="AH130">
        <v>0.7</v>
      </c>
    </row>
    <row r="131" spans="1:34" x14ac:dyDescent="0.25">
      <c r="A131" s="2">
        <v>45642</v>
      </c>
      <c r="B131" t="s">
        <v>2016</v>
      </c>
      <c r="C131" t="s">
        <v>2017</v>
      </c>
      <c r="D131">
        <v>51</v>
      </c>
      <c r="E131">
        <v>0.85483870967741937</v>
      </c>
      <c r="F131">
        <v>1.8867924528301886E-2</v>
      </c>
      <c r="G131">
        <v>52.45</v>
      </c>
      <c r="H131">
        <v>0.45</v>
      </c>
      <c r="I131">
        <v>52</v>
      </c>
      <c r="J131">
        <v>694.75</v>
      </c>
      <c r="K131">
        <v>46</v>
      </c>
      <c r="L131">
        <v>0</v>
      </c>
      <c r="M131" t="s">
        <v>1950</v>
      </c>
      <c r="N131">
        <v>21</v>
      </c>
      <c r="O131">
        <v>30</v>
      </c>
      <c r="P131">
        <v>38.479999999999997</v>
      </c>
      <c r="Q131">
        <v>9</v>
      </c>
      <c r="R131">
        <v>13.51</v>
      </c>
      <c r="S131">
        <v>33.32</v>
      </c>
      <c r="T131">
        <v>25.37</v>
      </c>
      <c r="U131">
        <v>0.97</v>
      </c>
      <c r="V131">
        <v>53</v>
      </c>
      <c r="W131">
        <v>0</v>
      </c>
      <c r="X131">
        <v>1</v>
      </c>
      <c r="Y131">
        <v>0</v>
      </c>
      <c r="Z131">
        <v>0</v>
      </c>
      <c r="AA131" t="s">
        <v>114</v>
      </c>
      <c r="AB131">
        <v>52</v>
      </c>
      <c r="AC131">
        <v>0.1</v>
      </c>
      <c r="AD131">
        <v>0.05</v>
      </c>
      <c r="AE131">
        <v>0</v>
      </c>
      <c r="AF131" t="s">
        <v>1682</v>
      </c>
      <c r="AG131" t="s">
        <v>1751</v>
      </c>
      <c r="AH131">
        <v>0.7</v>
      </c>
    </row>
    <row r="132" spans="1:34" x14ac:dyDescent="0.25">
      <c r="A132" s="2">
        <v>45649</v>
      </c>
      <c r="B132" t="s">
        <v>2016</v>
      </c>
      <c r="C132" t="s">
        <v>2017</v>
      </c>
      <c r="D132">
        <v>54</v>
      </c>
      <c r="E132">
        <v>1</v>
      </c>
      <c r="F132">
        <v>0</v>
      </c>
      <c r="G132">
        <v>53.41</v>
      </c>
      <c r="H132">
        <v>0</v>
      </c>
      <c r="I132">
        <v>53.41</v>
      </c>
      <c r="J132">
        <v>730.3</v>
      </c>
      <c r="K132">
        <v>55.81</v>
      </c>
      <c r="L132">
        <v>0</v>
      </c>
      <c r="M132" t="s">
        <v>1950</v>
      </c>
      <c r="N132">
        <v>14</v>
      </c>
      <c r="O132">
        <v>40</v>
      </c>
      <c r="P132">
        <v>37.28</v>
      </c>
      <c r="Q132">
        <v>0</v>
      </c>
      <c r="R132">
        <v>16.14</v>
      </c>
      <c r="S132">
        <v>38.31</v>
      </c>
      <c r="T132">
        <v>26.83</v>
      </c>
      <c r="U132">
        <v>1.01</v>
      </c>
      <c r="V132">
        <v>63</v>
      </c>
      <c r="W132">
        <v>0</v>
      </c>
      <c r="X132">
        <v>0</v>
      </c>
      <c r="Y132">
        <v>53.41</v>
      </c>
      <c r="Z132">
        <v>0</v>
      </c>
      <c r="AA132" t="s">
        <v>115</v>
      </c>
      <c r="AB132">
        <v>0</v>
      </c>
      <c r="AC132">
        <v>0.1</v>
      </c>
      <c r="AD132">
        <v>0.05</v>
      </c>
      <c r="AE132">
        <v>53.41</v>
      </c>
      <c r="AF132" t="s">
        <v>1682</v>
      </c>
      <c r="AG132" t="s">
        <v>1751</v>
      </c>
      <c r="AH132">
        <v>0.7</v>
      </c>
    </row>
    <row r="133" spans="1:34" x14ac:dyDescent="0.25">
      <c r="A133" s="2">
        <v>45642</v>
      </c>
      <c r="B133" t="s">
        <v>2050</v>
      </c>
      <c r="C133" t="s">
        <v>2051</v>
      </c>
      <c r="D133">
        <v>63</v>
      </c>
      <c r="E133">
        <v>1</v>
      </c>
      <c r="F133">
        <v>2.7777777777777776E-2</v>
      </c>
      <c r="G133">
        <v>37.68</v>
      </c>
      <c r="H133">
        <v>0</v>
      </c>
      <c r="I133">
        <v>37.68</v>
      </c>
      <c r="J133">
        <v>784.37</v>
      </c>
      <c r="K133">
        <v>80.52</v>
      </c>
      <c r="L133">
        <v>1.5</v>
      </c>
      <c r="M133" t="s">
        <v>2052</v>
      </c>
      <c r="N133">
        <v>18</v>
      </c>
      <c r="O133">
        <v>45</v>
      </c>
      <c r="P133">
        <v>35.89</v>
      </c>
      <c r="Q133">
        <v>0</v>
      </c>
      <c r="R133">
        <v>1.78</v>
      </c>
      <c r="S133">
        <v>27.34</v>
      </c>
      <c r="T133">
        <v>25.89</v>
      </c>
      <c r="U133">
        <v>1.67</v>
      </c>
      <c r="V133">
        <v>72</v>
      </c>
      <c r="W133">
        <v>0</v>
      </c>
      <c r="X133">
        <v>2</v>
      </c>
      <c r="Y133">
        <v>37.68</v>
      </c>
      <c r="Z133">
        <v>0</v>
      </c>
      <c r="AA133" t="s">
        <v>114</v>
      </c>
      <c r="AB133">
        <v>0</v>
      </c>
      <c r="AC133">
        <v>0.1</v>
      </c>
      <c r="AD133">
        <v>0.05</v>
      </c>
      <c r="AE133">
        <v>37.68</v>
      </c>
      <c r="AF133" t="s">
        <v>2033</v>
      </c>
      <c r="AG133" t="s">
        <v>1601</v>
      </c>
      <c r="AH133">
        <v>0.7</v>
      </c>
    </row>
    <row r="134" spans="1:34" x14ac:dyDescent="0.25">
      <c r="A134" s="2">
        <v>45649</v>
      </c>
      <c r="B134" t="s">
        <v>2050</v>
      </c>
      <c r="C134" t="s">
        <v>2051</v>
      </c>
      <c r="D134">
        <v>63</v>
      </c>
      <c r="E134">
        <v>1</v>
      </c>
      <c r="F134">
        <v>2.8571428571428571E-2</v>
      </c>
      <c r="G134">
        <v>36.46</v>
      </c>
      <c r="H134">
        <v>0</v>
      </c>
      <c r="I134">
        <v>36.46</v>
      </c>
      <c r="J134">
        <v>733.31</v>
      </c>
      <c r="K134">
        <v>61.41</v>
      </c>
      <c r="L134">
        <v>0</v>
      </c>
      <c r="M134" t="s">
        <v>2052</v>
      </c>
      <c r="N134">
        <v>9</v>
      </c>
      <c r="O134">
        <v>54</v>
      </c>
      <c r="P134">
        <v>30.08</v>
      </c>
      <c r="Q134">
        <v>0</v>
      </c>
      <c r="R134">
        <v>6.38</v>
      </c>
      <c r="S134">
        <v>20.45</v>
      </c>
      <c r="T134">
        <v>18.8</v>
      </c>
      <c r="U134">
        <v>1.73</v>
      </c>
      <c r="V134">
        <v>70</v>
      </c>
      <c r="W134">
        <v>0</v>
      </c>
      <c r="X134">
        <v>2</v>
      </c>
      <c r="Y134">
        <v>36.46</v>
      </c>
      <c r="Z134">
        <v>0</v>
      </c>
      <c r="AA134" t="s">
        <v>115</v>
      </c>
      <c r="AB134">
        <v>0</v>
      </c>
      <c r="AC134">
        <v>0.1</v>
      </c>
      <c r="AD134">
        <v>0.05</v>
      </c>
      <c r="AE134">
        <v>36.46</v>
      </c>
      <c r="AF134" t="s">
        <v>2033</v>
      </c>
      <c r="AG134" t="s">
        <v>1601</v>
      </c>
      <c r="AH134">
        <v>0.7</v>
      </c>
    </row>
    <row r="135" spans="1:34" x14ac:dyDescent="0.25">
      <c r="A135" s="2">
        <v>45642</v>
      </c>
      <c r="B135" t="s">
        <v>2037</v>
      </c>
      <c r="C135" t="s">
        <v>2038</v>
      </c>
      <c r="D135">
        <v>74</v>
      </c>
      <c r="E135">
        <v>0.98765432098765427</v>
      </c>
      <c r="F135">
        <v>0</v>
      </c>
      <c r="G135">
        <v>44.93</v>
      </c>
      <c r="H135">
        <v>0.78</v>
      </c>
      <c r="I135">
        <v>44.15</v>
      </c>
      <c r="J135">
        <v>930.63</v>
      </c>
      <c r="K135">
        <v>43</v>
      </c>
      <c r="L135">
        <v>12</v>
      </c>
      <c r="M135" t="s">
        <v>2039</v>
      </c>
      <c r="N135">
        <v>12</v>
      </c>
      <c r="O135">
        <v>62</v>
      </c>
      <c r="P135">
        <v>41.06</v>
      </c>
      <c r="Q135">
        <v>1</v>
      </c>
      <c r="R135">
        <v>3.09</v>
      </c>
      <c r="S135">
        <v>11.71</v>
      </c>
      <c r="T135">
        <v>11.29</v>
      </c>
      <c r="U135">
        <v>1.65</v>
      </c>
      <c r="V135">
        <v>80</v>
      </c>
      <c r="W135">
        <v>0</v>
      </c>
      <c r="X135">
        <v>0</v>
      </c>
      <c r="Y135">
        <v>44.15</v>
      </c>
      <c r="Z135">
        <v>0</v>
      </c>
      <c r="AA135" t="s">
        <v>114</v>
      </c>
      <c r="AB135">
        <v>0</v>
      </c>
      <c r="AC135">
        <v>0.1</v>
      </c>
      <c r="AD135">
        <v>0.05</v>
      </c>
      <c r="AE135">
        <v>44.15</v>
      </c>
      <c r="AF135" t="s">
        <v>1974</v>
      </c>
      <c r="AG135" t="s">
        <v>1601</v>
      </c>
      <c r="AH135">
        <v>0.7</v>
      </c>
    </row>
    <row r="136" spans="1:34" x14ac:dyDescent="0.25">
      <c r="A136" s="2">
        <v>45649</v>
      </c>
      <c r="B136" t="s">
        <v>2037</v>
      </c>
      <c r="C136" t="s">
        <v>2038</v>
      </c>
      <c r="D136">
        <v>91</v>
      </c>
      <c r="E136">
        <v>1</v>
      </c>
      <c r="F136">
        <v>0</v>
      </c>
      <c r="G136">
        <v>58.62</v>
      </c>
      <c r="H136">
        <v>2.33</v>
      </c>
      <c r="I136">
        <v>56.29</v>
      </c>
      <c r="J136">
        <v>1148.6199999999999</v>
      </c>
      <c r="K136">
        <v>79.03</v>
      </c>
      <c r="L136">
        <v>14.6</v>
      </c>
      <c r="M136" t="s">
        <v>2039</v>
      </c>
      <c r="N136">
        <v>3</v>
      </c>
      <c r="O136">
        <v>88</v>
      </c>
      <c r="P136">
        <v>44.2</v>
      </c>
      <c r="Q136">
        <v>0</v>
      </c>
      <c r="R136">
        <v>12.08</v>
      </c>
      <c r="S136">
        <v>12.05</v>
      </c>
      <c r="T136">
        <v>6.98</v>
      </c>
      <c r="U136">
        <v>1.55</v>
      </c>
      <c r="V136">
        <v>90</v>
      </c>
      <c r="W136">
        <v>0</v>
      </c>
      <c r="X136">
        <v>0</v>
      </c>
      <c r="Y136">
        <v>56.29</v>
      </c>
      <c r="Z136">
        <v>0</v>
      </c>
      <c r="AA136" t="s">
        <v>115</v>
      </c>
      <c r="AB136">
        <v>0</v>
      </c>
      <c r="AC136">
        <v>0.1</v>
      </c>
      <c r="AD136">
        <v>0.05</v>
      </c>
      <c r="AE136">
        <v>56.29</v>
      </c>
      <c r="AF136" t="s">
        <v>1974</v>
      </c>
      <c r="AG136" t="s">
        <v>1601</v>
      </c>
      <c r="AH136">
        <v>0.7</v>
      </c>
    </row>
    <row r="137" spans="1:34" x14ac:dyDescent="0.25">
      <c r="A137" s="2">
        <v>45649</v>
      </c>
      <c r="B137" t="s">
        <v>2122</v>
      </c>
      <c r="C137" t="s">
        <v>2123</v>
      </c>
      <c r="D137">
        <v>23</v>
      </c>
      <c r="E137">
        <v>1</v>
      </c>
      <c r="F137">
        <v>0</v>
      </c>
      <c r="G137">
        <v>11.64</v>
      </c>
      <c r="H137">
        <v>0</v>
      </c>
      <c r="I137">
        <v>11.64</v>
      </c>
      <c r="J137">
        <v>217.55</v>
      </c>
      <c r="K137">
        <v>16</v>
      </c>
      <c r="L137">
        <v>0</v>
      </c>
      <c r="M137" t="s">
        <v>2124</v>
      </c>
      <c r="N137">
        <v>8</v>
      </c>
      <c r="O137">
        <v>15</v>
      </c>
      <c r="P137">
        <v>10.84</v>
      </c>
      <c r="Q137">
        <v>0</v>
      </c>
      <c r="R137">
        <v>0.79</v>
      </c>
      <c r="S137">
        <v>0</v>
      </c>
      <c r="T137">
        <v>0</v>
      </c>
      <c r="U137">
        <v>1.98</v>
      </c>
      <c r="V137">
        <v>25</v>
      </c>
      <c r="W137">
        <v>0</v>
      </c>
      <c r="X137">
        <v>0</v>
      </c>
      <c r="Y137">
        <v>11.64</v>
      </c>
      <c r="Z137">
        <v>0</v>
      </c>
      <c r="AA137" t="s">
        <v>115</v>
      </c>
      <c r="AB137">
        <v>0</v>
      </c>
      <c r="AC137">
        <v>0.1</v>
      </c>
      <c r="AD137">
        <v>0.05</v>
      </c>
      <c r="AE137">
        <v>11.64</v>
      </c>
      <c r="AF137" t="s">
        <v>1663</v>
      </c>
      <c r="AG137" t="s">
        <v>1601</v>
      </c>
      <c r="AH137">
        <v>0.7</v>
      </c>
    </row>
    <row r="138" spans="1:34" x14ac:dyDescent="0.25">
      <c r="A138" s="2">
        <v>45642</v>
      </c>
      <c r="B138" t="s">
        <v>1913</v>
      </c>
      <c r="C138" t="s">
        <v>1892</v>
      </c>
      <c r="D138">
        <v>70</v>
      </c>
      <c r="E138">
        <v>1</v>
      </c>
      <c r="F138">
        <v>1.098901098901099E-2</v>
      </c>
      <c r="G138">
        <v>60.07</v>
      </c>
      <c r="H138">
        <v>0.17</v>
      </c>
      <c r="I138">
        <v>59.9</v>
      </c>
      <c r="J138">
        <v>852.67</v>
      </c>
      <c r="K138">
        <v>83.57</v>
      </c>
      <c r="L138">
        <v>1.5</v>
      </c>
      <c r="M138" t="s">
        <v>1951</v>
      </c>
      <c r="N138">
        <v>22</v>
      </c>
      <c r="O138">
        <v>48</v>
      </c>
      <c r="P138">
        <v>47.57</v>
      </c>
      <c r="Q138">
        <v>0</v>
      </c>
      <c r="R138">
        <v>12.33</v>
      </c>
      <c r="S138">
        <v>36.67</v>
      </c>
      <c r="T138">
        <v>30.41</v>
      </c>
      <c r="U138">
        <v>1.17</v>
      </c>
      <c r="V138">
        <v>91</v>
      </c>
      <c r="W138">
        <v>0</v>
      </c>
      <c r="X138">
        <v>1</v>
      </c>
      <c r="Y138">
        <v>59.9</v>
      </c>
      <c r="Z138">
        <v>0</v>
      </c>
      <c r="AA138" t="s">
        <v>114</v>
      </c>
      <c r="AB138">
        <v>0</v>
      </c>
      <c r="AC138">
        <v>0.1</v>
      </c>
      <c r="AD138">
        <v>0.05</v>
      </c>
      <c r="AE138">
        <v>59.9</v>
      </c>
      <c r="AF138" t="s">
        <v>1779</v>
      </c>
      <c r="AG138" t="s">
        <v>1788</v>
      </c>
      <c r="AH138">
        <v>0.7</v>
      </c>
    </row>
    <row r="139" spans="1:34" x14ac:dyDescent="0.25">
      <c r="A139" s="2">
        <v>45649</v>
      </c>
      <c r="B139" t="s">
        <v>1913</v>
      </c>
      <c r="C139" t="s">
        <v>1892</v>
      </c>
      <c r="D139">
        <v>83</v>
      </c>
      <c r="E139">
        <v>1</v>
      </c>
      <c r="F139">
        <v>0</v>
      </c>
      <c r="G139">
        <v>60</v>
      </c>
      <c r="H139">
        <v>0.01</v>
      </c>
      <c r="I139">
        <v>59.99</v>
      </c>
      <c r="J139">
        <v>823.87</v>
      </c>
      <c r="K139">
        <v>97.89</v>
      </c>
      <c r="L139">
        <v>0</v>
      </c>
      <c r="M139" t="s">
        <v>1951</v>
      </c>
      <c r="N139">
        <v>20</v>
      </c>
      <c r="O139">
        <v>63</v>
      </c>
      <c r="P139">
        <v>46.46</v>
      </c>
      <c r="Q139">
        <v>0</v>
      </c>
      <c r="R139">
        <v>13.52</v>
      </c>
      <c r="S139">
        <v>37.51</v>
      </c>
      <c r="T139">
        <v>29.82</v>
      </c>
      <c r="U139">
        <v>1.38</v>
      </c>
      <c r="V139">
        <v>99</v>
      </c>
      <c r="W139">
        <v>0</v>
      </c>
      <c r="X139">
        <v>0</v>
      </c>
      <c r="Y139">
        <v>59.99</v>
      </c>
      <c r="Z139">
        <v>0</v>
      </c>
      <c r="AA139" t="s">
        <v>115</v>
      </c>
      <c r="AB139">
        <v>0</v>
      </c>
      <c r="AC139">
        <v>0.1</v>
      </c>
      <c r="AD139">
        <v>0.05</v>
      </c>
      <c r="AE139">
        <v>59.99</v>
      </c>
      <c r="AF139" t="s">
        <v>1779</v>
      </c>
      <c r="AG139" t="s">
        <v>1788</v>
      </c>
      <c r="AH139">
        <v>0.7</v>
      </c>
    </row>
    <row r="140" spans="1:34" x14ac:dyDescent="0.25">
      <c r="A140" s="2">
        <v>45642</v>
      </c>
      <c r="B140" t="s">
        <v>1952</v>
      </c>
      <c r="C140" t="s">
        <v>1953</v>
      </c>
      <c r="D140">
        <v>51</v>
      </c>
      <c r="E140">
        <v>1</v>
      </c>
      <c r="F140">
        <v>2.7027027027027029E-2</v>
      </c>
      <c r="G140">
        <v>50.11</v>
      </c>
      <c r="H140">
        <v>0.01</v>
      </c>
      <c r="I140">
        <v>50.1</v>
      </c>
      <c r="J140">
        <v>545.98</v>
      </c>
      <c r="K140">
        <v>31</v>
      </c>
      <c r="L140">
        <v>0</v>
      </c>
      <c r="M140" t="s">
        <v>1954</v>
      </c>
      <c r="N140">
        <v>17</v>
      </c>
      <c r="O140">
        <v>34</v>
      </c>
      <c r="P140">
        <v>28.81</v>
      </c>
      <c r="Q140">
        <v>0</v>
      </c>
      <c r="R140">
        <v>21.3</v>
      </c>
      <c r="S140">
        <v>29.28</v>
      </c>
      <c r="T140">
        <v>18.68</v>
      </c>
      <c r="U140">
        <v>1.02</v>
      </c>
      <c r="V140">
        <v>74</v>
      </c>
      <c r="W140">
        <v>0</v>
      </c>
      <c r="X140">
        <v>2</v>
      </c>
      <c r="Y140">
        <v>50.1</v>
      </c>
      <c r="Z140">
        <v>0</v>
      </c>
      <c r="AA140" t="s">
        <v>114</v>
      </c>
      <c r="AB140">
        <v>0</v>
      </c>
      <c r="AC140">
        <v>0.1</v>
      </c>
      <c r="AD140">
        <v>0.05</v>
      </c>
      <c r="AE140">
        <v>50.1</v>
      </c>
      <c r="AF140" t="s">
        <v>1741</v>
      </c>
      <c r="AG140" t="s">
        <v>1815</v>
      </c>
      <c r="AH140">
        <v>0.7</v>
      </c>
    </row>
    <row r="141" spans="1:34" x14ac:dyDescent="0.25">
      <c r="A141" s="2">
        <v>45649</v>
      </c>
      <c r="B141" t="s">
        <v>1952</v>
      </c>
      <c r="C141" t="s">
        <v>1953</v>
      </c>
      <c r="D141">
        <v>54</v>
      </c>
      <c r="E141">
        <v>1</v>
      </c>
      <c r="F141">
        <v>4.4776119402985072E-2</v>
      </c>
      <c r="G141">
        <v>50.03</v>
      </c>
      <c r="H141">
        <v>0</v>
      </c>
      <c r="I141">
        <v>50.03</v>
      </c>
      <c r="J141">
        <v>631.01</v>
      </c>
      <c r="K141">
        <v>45.02</v>
      </c>
      <c r="L141">
        <v>0</v>
      </c>
      <c r="M141" t="s">
        <v>1954</v>
      </c>
      <c r="N141">
        <v>19</v>
      </c>
      <c r="O141">
        <v>35</v>
      </c>
      <c r="P141">
        <v>29.19</v>
      </c>
      <c r="Q141">
        <v>0</v>
      </c>
      <c r="R141">
        <v>20.84</v>
      </c>
      <c r="S141">
        <v>37.49</v>
      </c>
      <c r="T141">
        <v>24.53</v>
      </c>
      <c r="U141">
        <v>1.08</v>
      </c>
      <c r="V141">
        <v>67</v>
      </c>
      <c r="W141">
        <v>0</v>
      </c>
      <c r="X141">
        <v>3</v>
      </c>
      <c r="Y141">
        <v>0</v>
      </c>
      <c r="Z141">
        <v>0</v>
      </c>
      <c r="AA141" t="s">
        <v>115</v>
      </c>
      <c r="AB141">
        <v>50.03</v>
      </c>
      <c r="AC141">
        <v>0.1</v>
      </c>
      <c r="AD141">
        <v>0.05</v>
      </c>
      <c r="AE141">
        <v>0</v>
      </c>
      <c r="AF141" t="s">
        <v>1741</v>
      </c>
      <c r="AG141" t="s">
        <v>1815</v>
      </c>
      <c r="AH141">
        <v>0.7</v>
      </c>
    </row>
    <row r="142" spans="1:34" x14ac:dyDescent="0.25">
      <c r="A142" s="2">
        <v>45642</v>
      </c>
      <c r="B142" t="s">
        <v>1955</v>
      </c>
      <c r="C142" t="s">
        <v>1956</v>
      </c>
      <c r="D142">
        <v>34</v>
      </c>
      <c r="E142">
        <v>0.96721311475409832</v>
      </c>
      <c r="F142">
        <v>3.3898305084745763E-2</v>
      </c>
      <c r="G142">
        <v>19.62</v>
      </c>
      <c r="H142">
        <v>0.44</v>
      </c>
      <c r="I142">
        <v>19.18</v>
      </c>
      <c r="J142">
        <v>387.37</v>
      </c>
      <c r="K142">
        <v>18.79</v>
      </c>
      <c r="L142">
        <v>0</v>
      </c>
      <c r="M142" t="s">
        <v>1957</v>
      </c>
      <c r="N142">
        <v>7</v>
      </c>
      <c r="O142">
        <v>27</v>
      </c>
      <c r="P142">
        <v>18.52</v>
      </c>
      <c r="Q142">
        <v>2</v>
      </c>
      <c r="R142">
        <v>0.66</v>
      </c>
      <c r="S142">
        <v>5.94</v>
      </c>
      <c r="T142">
        <v>5.81</v>
      </c>
      <c r="U142">
        <v>1.73</v>
      </c>
      <c r="V142">
        <v>59</v>
      </c>
      <c r="W142">
        <v>0</v>
      </c>
      <c r="X142">
        <v>2</v>
      </c>
      <c r="Y142">
        <v>19.18</v>
      </c>
      <c r="Z142">
        <v>0</v>
      </c>
      <c r="AA142" t="s">
        <v>114</v>
      </c>
      <c r="AB142">
        <v>0</v>
      </c>
      <c r="AC142">
        <v>0.1</v>
      </c>
      <c r="AD142">
        <v>0.05</v>
      </c>
      <c r="AE142">
        <v>19.18</v>
      </c>
      <c r="AF142" t="s">
        <v>1806</v>
      </c>
      <c r="AG142" t="s">
        <v>1599</v>
      </c>
      <c r="AH142">
        <v>0.7</v>
      </c>
    </row>
    <row r="143" spans="1:34" x14ac:dyDescent="0.25">
      <c r="A143" s="2">
        <v>45649</v>
      </c>
      <c r="B143" t="s">
        <v>1955</v>
      </c>
      <c r="C143" t="s">
        <v>1956</v>
      </c>
      <c r="D143">
        <v>24</v>
      </c>
      <c r="E143">
        <v>1</v>
      </c>
      <c r="F143">
        <v>7.1428571428571425E-2</v>
      </c>
      <c r="G143">
        <v>14.23</v>
      </c>
      <c r="H143">
        <v>0.09</v>
      </c>
      <c r="I143">
        <v>14.14</v>
      </c>
      <c r="J143">
        <v>266.18</v>
      </c>
      <c r="K143">
        <v>41</v>
      </c>
      <c r="L143">
        <v>6</v>
      </c>
      <c r="M143" t="s">
        <v>1957</v>
      </c>
      <c r="N143">
        <v>4</v>
      </c>
      <c r="O143">
        <v>20</v>
      </c>
      <c r="P143">
        <v>11.9</v>
      </c>
      <c r="Q143">
        <v>0</v>
      </c>
      <c r="R143">
        <v>2.2400000000000002</v>
      </c>
      <c r="S143">
        <v>3.68</v>
      </c>
      <c r="T143">
        <v>2.69</v>
      </c>
      <c r="U143">
        <v>1.69</v>
      </c>
      <c r="V143">
        <v>42</v>
      </c>
      <c r="W143">
        <v>0</v>
      </c>
      <c r="X143">
        <v>3</v>
      </c>
      <c r="Y143">
        <v>0</v>
      </c>
      <c r="Z143">
        <v>0</v>
      </c>
      <c r="AA143" t="s">
        <v>115</v>
      </c>
      <c r="AB143">
        <v>14.14</v>
      </c>
      <c r="AC143">
        <v>0.1</v>
      </c>
      <c r="AD143">
        <v>0.05</v>
      </c>
      <c r="AE143">
        <v>0</v>
      </c>
      <c r="AF143" t="s">
        <v>1806</v>
      </c>
      <c r="AG143" t="s">
        <v>1599</v>
      </c>
      <c r="AH143">
        <v>0.7</v>
      </c>
    </row>
    <row r="144" spans="1:34" x14ac:dyDescent="0.25">
      <c r="A144" s="2">
        <v>45649</v>
      </c>
      <c r="B144" t="s">
        <v>1913</v>
      </c>
      <c r="C144" t="s">
        <v>2125</v>
      </c>
      <c r="D144">
        <v>59</v>
      </c>
      <c r="E144">
        <v>1</v>
      </c>
      <c r="F144">
        <v>0</v>
      </c>
      <c r="G144">
        <v>50.9</v>
      </c>
      <c r="H144">
        <v>0.08</v>
      </c>
      <c r="I144">
        <v>50.82</v>
      </c>
      <c r="J144">
        <v>689.74</v>
      </c>
      <c r="K144">
        <v>49.57</v>
      </c>
      <c r="L144">
        <v>3.3</v>
      </c>
      <c r="M144" t="s">
        <v>2126</v>
      </c>
      <c r="N144">
        <v>10</v>
      </c>
      <c r="O144">
        <v>49</v>
      </c>
      <c r="P144">
        <v>29.14</v>
      </c>
      <c r="Q144">
        <v>0</v>
      </c>
      <c r="R144">
        <v>21.67</v>
      </c>
      <c r="S144">
        <v>10.43</v>
      </c>
      <c r="T144">
        <v>8.85</v>
      </c>
      <c r="U144">
        <v>1.1599999999999999</v>
      </c>
      <c r="V144">
        <v>67</v>
      </c>
      <c r="W144">
        <v>0</v>
      </c>
      <c r="X144">
        <v>0</v>
      </c>
      <c r="Y144">
        <v>50.82</v>
      </c>
      <c r="Z144">
        <v>0</v>
      </c>
      <c r="AA144" t="s">
        <v>115</v>
      </c>
      <c r="AB144">
        <v>0</v>
      </c>
      <c r="AC144">
        <v>0.1</v>
      </c>
      <c r="AD144">
        <v>0.05</v>
      </c>
      <c r="AE144">
        <v>50.82</v>
      </c>
      <c r="AF144" t="s">
        <v>1702</v>
      </c>
      <c r="AG144" t="s">
        <v>1814</v>
      </c>
      <c r="AH144">
        <v>0.7</v>
      </c>
    </row>
    <row r="145" spans="1:34" x14ac:dyDescent="0.25">
      <c r="A145" s="2">
        <v>45642</v>
      </c>
      <c r="B145" t="s">
        <v>2080</v>
      </c>
      <c r="C145" t="s">
        <v>1863</v>
      </c>
      <c r="D145">
        <v>85</v>
      </c>
      <c r="E145">
        <v>1</v>
      </c>
      <c r="F145">
        <v>0</v>
      </c>
      <c r="G145">
        <v>49.14</v>
      </c>
      <c r="H145">
        <v>0.28000000000000003</v>
      </c>
      <c r="I145">
        <v>48.86</v>
      </c>
      <c r="J145">
        <v>1146.06</v>
      </c>
      <c r="K145">
        <v>116.85</v>
      </c>
      <c r="L145">
        <v>6</v>
      </c>
      <c r="M145" t="s">
        <v>2081</v>
      </c>
      <c r="N145">
        <v>24</v>
      </c>
      <c r="O145">
        <v>61</v>
      </c>
      <c r="P145">
        <v>47.2</v>
      </c>
      <c r="Q145">
        <v>0</v>
      </c>
      <c r="R145">
        <v>1.67</v>
      </c>
      <c r="S145">
        <v>20.81</v>
      </c>
      <c r="T145">
        <v>20.18</v>
      </c>
      <c r="U145">
        <v>1.73</v>
      </c>
      <c r="V145">
        <v>108</v>
      </c>
      <c r="W145">
        <v>0</v>
      </c>
      <c r="X145">
        <v>0</v>
      </c>
      <c r="Y145">
        <v>48.86</v>
      </c>
      <c r="Z145">
        <v>0</v>
      </c>
      <c r="AA145" t="s">
        <v>114</v>
      </c>
      <c r="AB145">
        <v>0</v>
      </c>
      <c r="AC145">
        <v>0.1</v>
      </c>
      <c r="AD145">
        <v>0.05</v>
      </c>
      <c r="AE145">
        <v>48.86</v>
      </c>
      <c r="AF145" t="s">
        <v>2063</v>
      </c>
      <c r="AG145" t="s">
        <v>1599</v>
      </c>
      <c r="AH145">
        <v>0.7</v>
      </c>
    </row>
    <row r="146" spans="1:34" x14ac:dyDescent="0.25">
      <c r="A146" s="2">
        <v>45649</v>
      </c>
      <c r="B146" t="s">
        <v>2080</v>
      </c>
      <c r="C146" t="s">
        <v>1863</v>
      </c>
      <c r="D146">
        <v>98</v>
      </c>
      <c r="E146">
        <v>0.99099099099099097</v>
      </c>
      <c r="F146">
        <v>0</v>
      </c>
      <c r="G146">
        <v>48.37</v>
      </c>
      <c r="H146">
        <v>0.13</v>
      </c>
      <c r="I146">
        <v>48.239999999999995</v>
      </c>
      <c r="J146">
        <v>1136.98</v>
      </c>
      <c r="K146">
        <v>72.02</v>
      </c>
      <c r="L146">
        <v>12</v>
      </c>
      <c r="M146" t="s">
        <v>2081</v>
      </c>
      <c r="N146">
        <v>19</v>
      </c>
      <c r="O146">
        <v>79</v>
      </c>
      <c r="P146">
        <v>44.9</v>
      </c>
      <c r="Q146">
        <v>1</v>
      </c>
      <c r="R146">
        <v>3.33</v>
      </c>
      <c r="S146">
        <v>27.95</v>
      </c>
      <c r="T146">
        <v>26.58</v>
      </c>
      <c r="U146">
        <v>2.0299999999999998</v>
      </c>
      <c r="V146">
        <v>110</v>
      </c>
      <c r="W146">
        <v>0</v>
      </c>
      <c r="X146">
        <v>0</v>
      </c>
      <c r="Y146">
        <v>48.239999999999995</v>
      </c>
      <c r="Z146">
        <v>0</v>
      </c>
      <c r="AA146" t="s">
        <v>115</v>
      </c>
      <c r="AB146">
        <v>0</v>
      </c>
      <c r="AC146">
        <v>0.1</v>
      </c>
      <c r="AD146">
        <v>0.05</v>
      </c>
      <c r="AE146">
        <v>48.239999999999995</v>
      </c>
      <c r="AF146" t="s">
        <v>2063</v>
      </c>
      <c r="AG146" t="s">
        <v>1599</v>
      </c>
      <c r="AH146">
        <v>0.7</v>
      </c>
    </row>
    <row r="147" spans="1:34" x14ac:dyDescent="0.25">
      <c r="A147" s="2">
        <v>45642</v>
      </c>
      <c r="B147" t="s">
        <v>2082</v>
      </c>
      <c r="C147" t="s">
        <v>2083</v>
      </c>
      <c r="D147">
        <v>53</v>
      </c>
      <c r="E147">
        <v>0.61052631578947369</v>
      </c>
      <c r="F147">
        <v>3.4482758620689655E-2</v>
      </c>
      <c r="G147">
        <v>50.08</v>
      </c>
      <c r="H147">
        <v>0.78</v>
      </c>
      <c r="I147">
        <v>49.3</v>
      </c>
      <c r="J147">
        <v>705.41</v>
      </c>
      <c r="K147">
        <v>27.94</v>
      </c>
      <c r="L147">
        <v>0</v>
      </c>
      <c r="M147" t="s">
        <v>2084</v>
      </c>
      <c r="N147">
        <v>20</v>
      </c>
      <c r="O147">
        <v>33</v>
      </c>
      <c r="P147">
        <v>32.35</v>
      </c>
      <c r="Q147">
        <v>36</v>
      </c>
      <c r="R147">
        <v>16.95</v>
      </c>
      <c r="S147">
        <v>24.39</v>
      </c>
      <c r="T147">
        <v>21.92</v>
      </c>
      <c r="U147">
        <v>1.06</v>
      </c>
      <c r="V147">
        <v>58</v>
      </c>
      <c r="W147">
        <v>1</v>
      </c>
      <c r="X147">
        <v>2</v>
      </c>
      <c r="Y147">
        <v>0</v>
      </c>
      <c r="Z147">
        <v>0</v>
      </c>
      <c r="AA147" t="s">
        <v>114</v>
      </c>
      <c r="AB147">
        <v>49.3</v>
      </c>
      <c r="AC147">
        <v>0.1</v>
      </c>
      <c r="AD147">
        <v>0.05</v>
      </c>
      <c r="AE147">
        <v>0</v>
      </c>
      <c r="AF147" t="s">
        <v>2064</v>
      </c>
      <c r="AG147" t="s">
        <v>1670</v>
      </c>
      <c r="AH147">
        <v>0.7</v>
      </c>
    </row>
    <row r="148" spans="1:34" x14ac:dyDescent="0.25">
      <c r="A148" s="2">
        <v>45649</v>
      </c>
      <c r="B148" t="s">
        <v>2082</v>
      </c>
      <c r="C148" t="s">
        <v>2083</v>
      </c>
      <c r="D148">
        <v>52</v>
      </c>
      <c r="E148">
        <v>0.48979591836734693</v>
      </c>
      <c r="F148">
        <v>2.0833333333333332E-2</v>
      </c>
      <c r="G148">
        <v>52.69</v>
      </c>
      <c r="H148">
        <v>0.76</v>
      </c>
      <c r="I148">
        <v>51.93</v>
      </c>
      <c r="J148">
        <v>587.59</v>
      </c>
      <c r="K148">
        <v>84.06</v>
      </c>
      <c r="L148">
        <v>0</v>
      </c>
      <c r="M148" t="s">
        <v>2084</v>
      </c>
      <c r="N148">
        <v>12</v>
      </c>
      <c r="O148">
        <v>40</v>
      </c>
      <c r="P148">
        <v>23.55</v>
      </c>
      <c r="Q148">
        <v>49</v>
      </c>
      <c r="R148">
        <v>28.38</v>
      </c>
      <c r="S148">
        <v>15.99</v>
      </c>
      <c r="T148">
        <v>11.16</v>
      </c>
      <c r="U148">
        <v>0.99</v>
      </c>
      <c r="V148">
        <v>48</v>
      </c>
      <c r="W148">
        <v>1</v>
      </c>
      <c r="X148">
        <v>1</v>
      </c>
      <c r="Y148">
        <v>0</v>
      </c>
      <c r="Z148">
        <v>0</v>
      </c>
      <c r="AA148" t="s">
        <v>115</v>
      </c>
      <c r="AB148">
        <v>51.93</v>
      </c>
      <c r="AC148">
        <v>0.1</v>
      </c>
      <c r="AD148">
        <v>0.05</v>
      </c>
      <c r="AE148">
        <v>0</v>
      </c>
      <c r="AF148" t="s">
        <v>2064</v>
      </c>
      <c r="AG148" t="s">
        <v>1670</v>
      </c>
      <c r="AH148">
        <v>0.7</v>
      </c>
    </row>
    <row r="149" spans="1:34" x14ac:dyDescent="0.25">
      <c r="A149" s="2">
        <v>45642</v>
      </c>
      <c r="B149" t="s">
        <v>1883</v>
      </c>
      <c r="C149" t="s">
        <v>2085</v>
      </c>
      <c r="D149">
        <v>96</v>
      </c>
      <c r="E149">
        <v>1</v>
      </c>
      <c r="F149">
        <v>8.9285714285714281E-3</v>
      </c>
      <c r="G149">
        <v>60.12</v>
      </c>
      <c r="H149">
        <v>0.01</v>
      </c>
      <c r="I149">
        <v>60.11</v>
      </c>
      <c r="J149">
        <v>1030.6400000000001</v>
      </c>
      <c r="K149">
        <v>54.99</v>
      </c>
      <c r="L149">
        <v>0</v>
      </c>
      <c r="M149" t="s">
        <v>2086</v>
      </c>
      <c r="N149">
        <v>27</v>
      </c>
      <c r="O149">
        <v>69</v>
      </c>
      <c r="P149">
        <v>49.26</v>
      </c>
      <c r="Q149">
        <v>0</v>
      </c>
      <c r="R149">
        <v>10.86</v>
      </c>
      <c r="S149">
        <v>20.66</v>
      </c>
      <c r="T149">
        <v>16.72</v>
      </c>
      <c r="U149">
        <v>1.6</v>
      </c>
      <c r="V149">
        <v>112</v>
      </c>
      <c r="W149">
        <v>0</v>
      </c>
      <c r="X149">
        <v>1</v>
      </c>
      <c r="Y149">
        <v>60.11</v>
      </c>
      <c r="Z149">
        <v>0</v>
      </c>
      <c r="AA149" t="s">
        <v>114</v>
      </c>
      <c r="AB149">
        <v>0</v>
      </c>
      <c r="AC149">
        <v>0.1</v>
      </c>
      <c r="AD149">
        <v>0.05</v>
      </c>
      <c r="AE149">
        <v>60.11</v>
      </c>
      <c r="AF149" t="s">
        <v>2065</v>
      </c>
      <c r="AG149" t="s">
        <v>1814</v>
      </c>
      <c r="AH149">
        <v>0.7</v>
      </c>
    </row>
    <row r="150" spans="1:34" x14ac:dyDescent="0.25">
      <c r="A150" s="2">
        <v>45649</v>
      </c>
      <c r="B150" t="s">
        <v>1883</v>
      </c>
      <c r="C150" t="s">
        <v>2085</v>
      </c>
      <c r="D150">
        <v>84</v>
      </c>
      <c r="E150">
        <v>1</v>
      </c>
      <c r="F150">
        <v>1.0416666666666666E-2</v>
      </c>
      <c r="G150">
        <v>50.8</v>
      </c>
      <c r="H150">
        <v>0</v>
      </c>
      <c r="I150">
        <v>50.8</v>
      </c>
      <c r="J150">
        <v>819.31</v>
      </c>
      <c r="K150">
        <v>74.37</v>
      </c>
      <c r="L150">
        <v>3.8</v>
      </c>
      <c r="M150" t="s">
        <v>2086</v>
      </c>
      <c r="N150">
        <v>14</v>
      </c>
      <c r="O150">
        <v>70</v>
      </c>
      <c r="P150">
        <v>36.049999999999997</v>
      </c>
      <c r="Q150">
        <v>0</v>
      </c>
      <c r="R150">
        <v>14.75</v>
      </c>
      <c r="S150">
        <v>32.6</v>
      </c>
      <c r="T150">
        <v>20.75</v>
      </c>
      <c r="U150">
        <v>1.65</v>
      </c>
      <c r="V150">
        <v>96</v>
      </c>
      <c r="W150">
        <v>0</v>
      </c>
      <c r="X150">
        <v>1</v>
      </c>
      <c r="Y150">
        <v>50.8</v>
      </c>
      <c r="Z150">
        <v>0</v>
      </c>
      <c r="AA150" t="s">
        <v>115</v>
      </c>
      <c r="AB150">
        <v>0</v>
      </c>
      <c r="AC150">
        <v>0.1</v>
      </c>
      <c r="AD150">
        <v>0.05</v>
      </c>
      <c r="AE150">
        <v>50.8</v>
      </c>
      <c r="AF150" t="s">
        <v>2065</v>
      </c>
      <c r="AG150" t="s">
        <v>1814</v>
      </c>
      <c r="AH150">
        <v>0.7</v>
      </c>
    </row>
    <row r="151" spans="1:34" x14ac:dyDescent="0.25">
      <c r="A151" s="2">
        <v>45642</v>
      </c>
      <c r="B151" t="s">
        <v>2087</v>
      </c>
      <c r="C151" t="s">
        <v>2088</v>
      </c>
      <c r="D151">
        <v>28</v>
      </c>
      <c r="E151">
        <v>1</v>
      </c>
      <c r="F151">
        <v>3.0303030303030304E-2</v>
      </c>
      <c r="G151">
        <v>19.82</v>
      </c>
      <c r="H151">
        <v>0</v>
      </c>
      <c r="I151">
        <v>19.82</v>
      </c>
      <c r="J151">
        <v>324.76</v>
      </c>
      <c r="K151">
        <v>7</v>
      </c>
      <c r="L151">
        <v>0</v>
      </c>
      <c r="M151" t="s">
        <v>2089</v>
      </c>
      <c r="N151">
        <v>11</v>
      </c>
      <c r="O151">
        <v>17</v>
      </c>
      <c r="P151">
        <v>17.27</v>
      </c>
      <c r="Q151">
        <v>0</v>
      </c>
      <c r="R151">
        <v>2.5499999999999998</v>
      </c>
      <c r="S151">
        <v>16.03</v>
      </c>
      <c r="T151">
        <v>13.57</v>
      </c>
      <c r="U151">
        <v>1.41</v>
      </c>
      <c r="V151">
        <v>33</v>
      </c>
      <c r="W151">
        <v>0</v>
      </c>
      <c r="X151">
        <v>1</v>
      </c>
      <c r="Y151">
        <v>19.82</v>
      </c>
      <c r="Z151">
        <v>0</v>
      </c>
      <c r="AA151" t="s">
        <v>114</v>
      </c>
      <c r="AB151">
        <v>0</v>
      </c>
      <c r="AC151">
        <v>0.1</v>
      </c>
      <c r="AD151">
        <v>0.05</v>
      </c>
      <c r="AE151">
        <v>19.82</v>
      </c>
      <c r="AF151" t="s">
        <v>2067</v>
      </c>
      <c r="AG151" t="s">
        <v>1814</v>
      </c>
      <c r="AH151">
        <v>0.7</v>
      </c>
    </row>
    <row r="152" spans="1:34" x14ac:dyDescent="0.25">
      <c r="A152" s="2">
        <v>45642</v>
      </c>
      <c r="B152" t="s">
        <v>2090</v>
      </c>
      <c r="C152" t="s">
        <v>2091</v>
      </c>
      <c r="D152">
        <v>78</v>
      </c>
      <c r="E152">
        <v>1</v>
      </c>
      <c r="F152">
        <v>6.4516129032258063E-2</v>
      </c>
      <c r="G152">
        <v>51.03</v>
      </c>
      <c r="H152">
        <v>0.05</v>
      </c>
      <c r="I152">
        <v>50.980000000000004</v>
      </c>
      <c r="J152">
        <v>1006.89</v>
      </c>
      <c r="K152">
        <v>70.16</v>
      </c>
      <c r="L152">
        <v>0</v>
      </c>
      <c r="M152" t="s">
        <v>2092</v>
      </c>
      <c r="N152">
        <v>42</v>
      </c>
      <c r="O152">
        <v>36</v>
      </c>
      <c r="P152">
        <v>50.12</v>
      </c>
      <c r="Q152">
        <v>0</v>
      </c>
      <c r="R152">
        <v>0.86</v>
      </c>
      <c r="S152">
        <v>44.06</v>
      </c>
      <c r="T152">
        <v>43.3</v>
      </c>
      <c r="U152">
        <v>1.53</v>
      </c>
      <c r="V152">
        <v>93</v>
      </c>
      <c r="W152">
        <v>0</v>
      </c>
      <c r="X152">
        <v>6</v>
      </c>
      <c r="Y152">
        <v>0</v>
      </c>
      <c r="Z152">
        <v>0</v>
      </c>
      <c r="AA152" t="s">
        <v>114</v>
      </c>
      <c r="AB152">
        <v>50.980000000000004</v>
      </c>
      <c r="AC152">
        <v>0.1</v>
      </c>
      <c r="AD152">
        <v>0.05</v>
      </c>
      <c r="AE152">
        <v>0</v>
      </c>
      <c r="AF152" t="s">
        <v>2069</v>
      </c>
      <c r="AG152" t="s">
        <v>1600</v>
      </c>
      <c r="AH152">
        <v>0.7</v>
      </c>
    </row>
    <row r="153" spans="1:34" x14ac:dyDescent="0.25">
      <c r="A153" s="2">
        <v>45649</v>
      </c>
      <c r="B153" t="s">
        <v>2090</v>
      </c>
      <c r="C153" t="s">
        <v>2091</v>
      </c>
      <c r="D153">
        <v>75</v>
      </c>
      <c r="E153">
        <v>0.96703296703296704</v>
      </c>
      <c r="F153">
        <v>2.2727272727272728E-2</v>
      </c>
      <c r="G153">
        <v>47.08</v>
      </c>
      <c r="H153">
        <v>3.04</v>
      </c>
      <c r="I153">
        <v>44.04</v>
      </c>
      <c r="J153">
        <v>891.98</v>
      </c>
      <c r="K153">
        <v>46.38</v>
      </c>
      <c r="L153">
        <v>3</v>
      </c>
      <c r="M153" t="s">
        <v>2092</v>
      </c>
      <c r="N153">
        <v>26</v>
      </c>
      <c r="O153">
        <v>49</v>
      </c>
      <c r="P153">
        <v>41.52</v>
      </c>
      <c r="Q153">
        <v>3</v>
      </c>
      <c r="R153">
        <v>2.5099999999999998</v>
      </c>
      <c r="S153">
        <v>38.1</v>
      </c>
      <c r="T153">
        <v>33.18</v>
      </c>
      <c r="U153">
        <v>1.59</v>
      </c>
      <c r="V153">
        <v>88</v>
      </c>
      <c r="W153">
        <v>0</v>
      </c>
      <c r="X153">
        <v>2</v>
      </c>
      <c r="Y153">
        <v>44.04</v>
      </c>
      <c r="Z153">
        <v>0</v>
      </c>
      <c r="AA153" t="s">
        <v>115</v>
      </c>
      <c r="AB153">
        <v>0</v>
      </c>
      <c r="AC153">
        <v>0.1</v>
      </c>
      <c r="AD153">
        <v>0.05</v>
      </c>
      <c r="AE153">
        <v>44.04</v>
      </c>
      <c r="AF153" t="s">
        <v>2069</v>
      </c>
      <c r="AG153" t="s">
        <v>1600</v>
      </c>
      <c r="AH153">
        <v>0.7</v>
      </c>
    </row>
    <row r="154" spans="1:34" x14ac:dyDescent="0.25">
      <c r="A154" s="2">
        <v>45642</v>
      </c>
      <c r="B154" t="s">
        <v>2093</v>
      </c>
      <c r="C154" t="s">
        <v>2094</v>
      </c>
      <c r="D154">
        <v>33</v>
      </c>
      <c r="E154">
        <v>1</v>
      </c>
      <c r="F154">
        <v>0.23636363636363636</v>
      </c>
      <c r="G154">
        <v>20.64</v>
      </c>
      <c r="H154">
        <v>0.32</v>
      </c>
      <c r="I154">
        <v>20.32</v>
      </c>
      <c r="J154">
        <v>398.65</v>
      </c>
      <c r="K154">
        <v>40.4</v>
      </c>
      <c r="L154">
        <v>5.9</v>
      </c>
      <c r="M154" t="s">
        <v>2095</v>
      </c>
      <c r="N154">
        <v>14</v>
      </c>
      <c r="O154">
        <v>19</v>
      </c>
      <c r="P154">
        <v>20.07</v>
      </c>
      <c r="Q154">
        <v>0</v>
      </c>
      <c r="R154">
        <v>0.25</v>
      </c>
      <c r="S154">
        <v>20.55</v>
      </c>
      <c r="T154">
        <v>20</v>
      </c>
      <c r="U154">
        <v>1.6</v>
      </c>
      <c r="V154">
        <v>55</v>
      </c>
      <c r="W154">
        <v>0</v>
      </c>
      <c r="X154">
        <v>13</v>
      </c>
      <c r="Y154">
        <v>0</v>
      </c>
      <c r="Z154">
        <v>0</v>
      </c>
      <c r="AA154" t="s">
        <v>114</v>
      </c>
      <c r="AB154">
        <v>20.32</v>
      </c>
      <c r="AC154">
        <v>0.1</v>
      </c>
      <c r="AD154">
        <v>0.05</v>
      </c>
      <c r="AE154">
        <v>0</v>
      </c>
      <c r="AF154" t="s">
        <v>2072</v>
      </c>
      <c r="AG154" t="s">
        <v>1599</v>
      </c>
      <c r="AH154">
        <v>0.7</v>
      </c>
    </row>
    <row r="155" spans="1:34" x14ac:dyDescent="0.25">
      <c r="A155" s="2">
        <v>45649</v>
      </c>
      <c r="B155" t="s">
        <v>2093</v>
      </c>
      <c r="C155" t="s">
        <v>2094</v>
      </c>
      <c r="D155">
        <v>11</v>
      </c>
      <c r="E155">
        <v>1</v>
      </c>
      <c r="F155">
        <v>0.1875</v>
      </c>
      <c r="G155">
        <v>6.63</v>
      </c>
      <c r="H155">
        <v>0</v>
      </c>
      <c r="I155">
        <v>6.63</v>
      </c>
      <c r="J155">
        <v>143.82</v>
      </c>
      <c r="K155">
        <v>16</v>
      </c>
      <c r="L155">
        <v>0</v>
      </c>
      <c r="M155" t="s">
        <v>2095</v>
      </c>
      <c r="N155">
        <v>4</v>
      </c>
      <c r="O155">
        <v>7</v>
      </c>
      <c r="P155">
        <v>6.45</v>
      </c>
      <c r="Q155">
        <v>0</v>
      </c>
      <c r="R155">
        <v>0.18</v>
      </c>
      <c r="S155">
        <v>6.63</v>
      </c>
      <c r="T155">
        <v>6.45</v>
      </c>
      <c r="U155">
        <v>1.66</v>
      </c>
      <c r="V155">
        <v>16</v>
      </c>
      <c r="W155">
        <v>0</v>
      </c>
      <c r="X155">
        <v>3</v>
      </c>
      <c r="Y155">
        <v>0</v>
      </c>
      <c r="Z155">
        <v>0</v>
      </c>
      <c r="AA155" t="s">
        <v>115</v>
      </c>
      <c r="AB155">
        <v>6.63</v>
      </c>
      <c r="AC155">
        <v>0.1</v>
      </c>
      <c r="AD155">
        <v>0.05</v>
      </c>
      <c r="AE155">
        <v>0</v>
      </c>
      <c r="AF155" t="s">
        <v>2072</v>
      </c>
      <c r="AG155" t="s">
        <v>1599</v>
      </c>
      <c r="AH155">
        <v>0.7</v>
      </c>
    </row>
    <row r="156" spans="1:34" x14ac:dyDescent="0.25">
      <c r="A156" s="2">
        <v>45642</v>
      </c>
      <c r="B156" t="s">
        <v>2096</v>
      </c>
      <c r="C156" t="s">
        <v>1846</v>
      </c>
      <c r="D156">
        <v>101</v>
      </c>
      <c r="E156">
        <v>1</v>
      </c>
      <c r="F156">
        <v>1.680672268907563E-2</v>
      </c>
      <c r="G156">
        <v>51.98</v>
      </c>
      <c r="H156">
        <v>0.68</v>
      </c>
      <c r="I156">
        <v>51.3</v>
      </c>
      <c r="J156">
        <v>1135.21</v>
      </c>
      <c r="K156">
        <v>69</v>
      </c>
      <c r="L156">
        <v>4</v>
      </c>
      <c r="M156" t="s">
        <v>2097</v>
      </c>
      <c r="N156">
        <v>14</v>
      </c>
      <c r="O156">
        <v>87</v>
      </c>
      <c r="P156">
        <v>49.46</v>
      </c>
      <c r="Q156">
        <v>0</v>
      </c>
      <c r="R156">
        <v>1.83</v>
      </c>
      <c r="S156">
        <v>10.14</v>
      </c>
      <c r="T156">
        <v>9.91</v>
      </c>
      <c r="U156">
        <v>1.94</v>
      </c>
      <c r="V156">
        <v>119</v>
      </c>
      <c r="W156">
        <v>0</v>
      </c>
      <c r="X156">
        <v>2</v>
      </c>
      <c r="Y156">
        <v>51.3</v>
      </c>
      <c r="Z156">
        <v>0</v>
      </c>
      <c r="AA156" t="s">
        <v>114</v>
      </c>
      <c r="AB156">
        <v>0</v>
      </c>
      <c r="AC156">
        <v>0.1</v>
      </c>
      <c r="AD156">
        <v>0.05</v>
      </c>
      <c r="AE156">
        <v>51.3</v>
      </c>
      <c r="AF156" t="s">
        <v>2073</v>
      </c>
      <c r="AG156" t="s">
        <v>1599</v>
      </c>
      <c r="AH156">
        <v>0.7</v>
      </c>
    </row>
    <row r="157" spans="1:34" x14ac:dyDescent="0.25">
      <c r="A157" s="2">
        <v>45649</v>
      </c>
      <c r="B157" t="s">
        <v>2096</v>
      </c>
      <c r="C157" t="s">
        <v>1846</v>
      </c>
      <c r="D157">
        <v>100</v>
      </c>
      <c r="E157">
        <v>1</v>
      </c>
      <c r="F157">
        <v>0</v>
      </c>
      <c r="G157">
        <v>57.23</v>
      </c>
      <c r="H157">
        <v>1.26</v>
      </c>
      <c r="I157">
        <v>55.97</v>
      </c>
      <c r="J157">
        <v>1369.69</v>
      </c>
      <c r="K157">
        <v>123.44</v>
      </c>
      <c r="L157">
        <v>17.5</v>
      </c>
      <c r="M157" t="s">
        <v>2097</v>
      </c>
      <c r="N157">
        <v>11</v>
      </c>
      <c r="O157">
        <v>89</v>
      </c>
      <c r="P157">
        <v>52.52</v>
      </c>
      <c r="Q157">
        <v>0</v>
      </c>
      <c r="R157">
        <v>3.45</v>
      </c>
      <c r="S157">
        <v>12.27</v>
      </c>
      <c r="T157">
        <v>10.59</v>
      </c>
      <c r="U157">
        <v>1.75</v>
      </c>
      <c r="V157">
        <v>120</v>
      </c>
      <c r="W157">
        <v>0</v>
      </c>
      <c r="X157">
        <v>0</v>
      </c>
      <c r="Y157">
        <v>55.97</v>
      </c>
      <c r="Z157">
        <v>0</v>
      </c>
      <c r="AA157" t="s">
        <v>115</v>
      </c>
      <c r="AB157">
        <v>0</v>
      </c>
      <c r="AC157">
        <v>0.1</v>
      </c>
      <c r="AD157">
        <v>0.05</v>
      </c>
      <c r="AE157">
        <v>55.97</v>
      </c>
      <c r="AF157" t="s">
        <v>2073</v>
      </c>
      <c r="AG157" t="s">
        <v>1599</v>
      </c>
      <c r="AH157">
        <v>0.7</v>
      </c>
    </row>
    <row r="158" spans="1:34" x14ac:dyDescent="0.25">
      <c r="A158" s="2">
        <v>45642</v>
      </c>
      <c r="B158" t="s">
        <v>2098</v>
      </c>
      <c r="C158" t="s">
        <v>2099</v>
      </c>
      <c r="D158">
        <v>16</v>
      </c>
      <c r="E158">
        <v>0.76190476190476186</v>
      </c>
      <c r="F158">
        <v>0</v>
      </c>
      <c r="G158">
        <v>11.22</v>
      </c>
      <c r="H158">
        <v>0.02</v>
      </c>
      <c r="I158">
        <v>11.200000000000001</v>
      </c>
      <c r="J158">
        <v>136.29</v>
      </c>
      <c r="K158">
        <v>4.49</v>
      </c>
      <c r="L158">
        <v>0</v>
      </c>
      <c r="M158" t="s">
        <v>2100</v>
      </c>
      <c r="N158">
        <v>5</v>
      </c>
      <c r="O158">
        <v>11</v>
      </c>
      <c r="P158">
        <v>6.96</v>
      </c>
      <c r="Q158">
        <v>0</v>
      </c>
      <c r="R158">
        <v>4.24</v>
      </c>
      <c r="S158">
        <v>4.7300000000000004</v>
      </c>
      <c r="T158">
        <v>4.55</v>
      </c>
      <c r="U158">
        <v>1.43</v>
      </c>
      <c r="V158">
        <v>16</v>
      </c>
      <c r="W158">
        <v>5</v>
      </c>
      <c r="X158">
        <v>0</v>
      </c>
      <c r="Y158">
        <v>0</v>
      </c>
      <c r="Z158">
        <v>0</v>
      </c>
      <c r="AA158" t="s">
        <v>114</v>
      </c>
      <c r="AB158">
        <v>11.200000000000001</v>
      </c>
      <c r="AC158">
        <v>0.1</v>
      </c>
      <c r="AD158">
        <v>0.05</v>
      </c>
      <c r="AE158">
        <v>0</v>
      </c>
      <c r="AF158" t="s">
        <v>2074</v>
      </c>
      <c r="AG158" t="s">
        <v>1746</v>
      </c>
      <c r="AH158">
        <v>0.7</v>
      </c>
    </row>
    <row r="159" spans="1:34" x14ac:dyDescent="0.25">
      <c r="A159" s="2">
        <v>45649</v>
      </c>
      <c r="B159" t="s">
        <v>2098</v>
      </c>
      <c r="C159" t="s">
        <v>2099</v>
      </c>
      <c r="D159">
        <v>13</v>
      </c>
      <c r="E159">
        <v>0.88888888888888884</v>
      </c>
      <c r="F159">
        <v>6.25E-2</v>
      </c>
      <c r="G159">
        <v>50.02</v>
      </c>
      <c r="H159">
        <v>0.17</v>
      </c>
      <c r="I159">
        <v>49.85</v>
      </c>
      <c r="J159">
        <v>138.04</v>
      </c>
      <c r="K159">
        <v>13.75</v>
      </c>
      <c r="L159">
        <v>6</v>
      </c>
      <c r="M159" t="s">
        <v>2100</v>
      </c>
      <c r="N159">
        <v>0</v>
      </c>
      <c r="O159">
        <v>13</v>
      </c>
      <c r="P159">
        <v>5.57</v>
      </c>
      <c r="Q159">
        <v>0</v>
      </c>
      <c r="R159">
        <v>44.28</v>
      </c>
      <c r="S159">
        <v>17.440000000000001</v>
      </c>
      <c r="T159">
        <v>2.2400000000000002</v>
      </c>
      <c r="U159">
        <v>0.26</v>
      </c>
      <c r="V159">
        <v>16</v>
      </c>
      <c r="W159">
        <v>2</v>
      </c>
      <c r="X159">
        <v>1</v>
      </c>
      <c r="Y159">
        <v>0</v>
      </c>
      <c r="Z159">
        <v>0</v>
      </c>
      <c r="AA159" t="s">
        <v>115</v>
      </c>
      <c r="AB159">
        <v>49.85</v>
      </c>
      <c r="AC159">
        <v>0.1</v>
      </c>
      <c r="AD159">
        <v>0.05</v>
      </c>
      <c r="AE159">
        <v>0</v>
      </c>
      <c r="AF159" t="s">
        <v>2074</v>
      </c>
      <c r="AG159" t="s">
        <v>1746</v>
      </c>
      <c r="AH159">
        <v>0.7</v>
      </c>
    </row>
    <row r="160" spans="1:34" x14ac:dyDescent="0.25">
      <c r="A160" s="2">
        <v>45642</v>
      </c>
      <c r="B160" t="s">
        <v>2101</v>
      </c>
      <c r="C160" t="s">
        <v>2102</v>
      </c>
      <c r="D160">
        <v>20</v>
      </c>
      <c r="E160">
        <v>1</v>
      </c>
      <c r="F160">
        <v>0</v>
      </c>
      <c r="G160">
        <v>10.73</v>
      </c>
      <c r="H160">
        <v>0</v>
      </c>
      <c r="I160">
        <v>10.73</v>
      </c>
      <c r="J160">
        <v>230.19</v>
      </c>
      <c r="K160">
        <v>1</v>
      </c>
      <c r="L160">
        <v>0</v>
      </c>
      <c r="M160" t="s">
        <v>2103</v>
      </c>
      <c r="N160">
        <v>4</v>
      </c>
      <c r="O160">
        <v>16</v>
      </c>
      <c r="P160">
        <v>10.1</v>
      </c>
      <c r="Q160">
        <v>0</v>
      </c>
      <c r="R160">
        <v>0.64</v>
      </c>
      <c r="S160">
        <v>0</v>
      </c>
      <c r="T160">
        <v>0</v>
      </c>
      <c r="U160">
        <v>1.86</v>
      </c>
      <c r="V160">
        <v>19</v>
      </c>
      <c r="W160">
        <v>0</v>
      </c>
      <c r="X160">
        <v>0</v>
      </c>
      <c r="Y160">
        <v>10.73</v>
      </c>
      <c r="Z160">
        <v>0</v>
      </c>
      <c r="AA160" t="s">
        <v>114</v>
      </c>
      <c r="AB160">
        <v>0</v>
      </c>
      <c r="AC160">
        <v>0.1</v>
      </c>
      <c r="AD160">
        <v>0.05</v>
      </c>
      <c r="AE160">
        <v>10.73</v>
      </c>
      <c r="AF160" t="s">
        <v>2075</v>
      </c>
      <c r="AG160" t="s">
        <v>1601</v>
      </c>
      <c r="AH160">
        <v>0.7</v>
      </c>
    </row>
    <row r="161" spans="1:34" x14ac:dyDescent="0.25">
      <c r="A161" s="2">
        <v>45649</v>
      </c>
      <c r="B161" t="s">
        <v>2101</v>
      </c>
      <c r="C161" t="s">
        <v>2102</v>
      </c>
      <c r="D161">
        <v>38</v>
      </c>
      <c r="E161">
        <v>0.97826086956521741</v>
      </c>
      <c r="F161">
        <v>6.6666666666666666E-2</v>
      </c>
      <c r="G161">
        <v>23.67</v>
      </c>
      <c r="H161">
        <v>0</v>
      </c>
      <c r="I161">
        <v>23.67</v>
      </c>
      <c r="J161">
        <v>505.25</v>
      </c>
      <c r="K161">
        <v>33.82</v>
      </c>
      <c r="L161">
        <v>0</v>
      </c>
      <c r="M161" t="s">
        <v>2103</v>
      </c>
      <c r="N161">
        <v>10</v>
      </c>
      <c r="O161">
        <v>28</v>
      </c>
      <c r="P161">
        <v>22.95</v>
      </c>
      <c r="Q161">
        <v>0</v>
      </c>
      <c r="R161">
        <v>0.72</v>
      </c>
      <c r="S161">
        <v>5.13</v>
      </c>
      <c r="T161">
        <v>4.7</v>
      </c>
      <c r="U161">
        <v>1.61</v>
      </c>
      <c r="V161">
        <v>45</v>
      </c>
      <c r="W161">
        <v>1</v>
      </c>
      <c r="X161">
        <v>3</v>
      </c>
      <c r="Y161">
        <v>0</v>
      </c>
      <c r="Z161">
        <v>0</v>
      </c>
      <c r="AA161" t="s">
        <v>115</v>
      </c>
      <c r="AB161">
        <v>23.67</v>
      </c>
      <c r="AC161">
        <v>0.1</v>
      </c>
      <c r="AD161">
        <v>0.05</v>
      </c>
      <c r="AE161">
        <v>0</v>
      </c>
      <c r="AF161" t="s">
        <v>2075</v>
      </c>
      <c r="AG161" t="s">
        <v>1601</v>
      </c>
      <c r="AH161">
        <v>0.7</v>
      </c>
    </row>
    <row r="162" spans="1:34" x14ac:dyDescent="0.25">
      <c r="A162" s="2">
        <v>45649</v>
      </c>
      <c r="B162" t="s">
        <v>2104</v>
      </c>
      <c r="C162" t="s">
        <v>2105</v>
      </c>
      <c r="D162">
        <v>84</v>
      </c>
      <c r="E162">
        <v>0.99090909090909096</v>
      </c>
      <c r="F162">
        <v>0.12844036697247707</v>
      </c>
      <c r="G162">
        <v>51.83</v>
      </c>
      <c r="H162">
        <v>0.22</v>
      </c>
      <c r="I162">
        <v>51.61</v>
      </c>
      <c r="J162">
        <v>946.8</v>
      </c>
      <c r="K162">
        <v>65.959999999999994</v>
      </c>
      <c r="L162">
        <v>5.4</v>
      </c>
      <c r="M162" t="s">
        <v>2106</v>
      </c>
      <c r="N162">
        <v>8</v>
      </c>
      <c r="O162">
        <v>76</v>
      </c>
      <c r="P162">
        <v>39.659999999999997</v>
      </c>
      <c r="Q162">
        <v>0</v>
      </c>
      <c r="R162">
        <v>11.96</v>
      </c>
      <c r="S162">
        <v>23.15</v>
      </c>
      <c r="T162">
        <v>16.03</v>
      </c>
      <c r="U162">
        <v>1.62</v>
      </c>
      <c r="V162">
        <v>109</v>
      </c>
      <c r="W162">
        <v>1</v>
      </c>
      <c r="X162">
        <v>14</v>
      </c>
      <c r="Y162">
        <v>0</v>
      </c>
      <c r="Z162">
        <v>0</v>
      </c>
      <c r="AA162" t="s">
        <v>115</v>
      </c>
      <c r="AB162">
        <v>51.61</v>
      </c>
      <c r="AC162">
        <v>0.1</v>
      </c>
      <c r="AD162">
        <v>0.05</v>
      </c>
      <c r="AE162">
        <v>0</v>
      </c>
      <c r="AF162" t="s">
        <v>2076</v>
      </c>
      <c r="AG162" t="s">
        <v>1787</v>
      </c>
      <c r="AH162">
        <v>0.7</v>
      </c>
    </row>
    <row r="163" spans="1:34" x14ac:dyDescent="0.25">
      <c r="A163" s="2">
        <v>45642</v>
      </c>
      <c r="B163" t="s">
        <v>2107</v>
      </c>
      <c r="C163" t="s">
        <v>2108</v>
      </c>
      <c r="D163">
        <v>81</v>
      </c>
      <c r="E163">
        <v>0.89523809523809528</v>
      </c>
      <c r="F163">
        <v>8.5106382978723402E-2</v>
      </c>
      <c r="G163">
        <v>36.64</v>
      </c>
      <c r="H163">
        <v>0.01</v>
      </c>
      <c r="I163">
        <v>36.630000000000003</v>
      </c>
      <c r="J163">
        <v>896.3</v>
      </c>
      <c r="K163">
        <v>77.290000000000006</v>
      </c>
      <c r="L163">
        <v>0</v>
      </c>
      <c r="M163" t="s">
        <v>2109</v>
      </c>
      <c r="N163">
        <v>4</v>
      </c>
      <c r="O163">
        <v>77</v>
      </c>
      <c r="P163">
        <v>33.31</v>
      </c>
      <c r="Q163">
        <v>0</v>
      </c>
      <c r="R163">
        <v>3.32</v>
      </c>
      <c r="S163">
        <v>1.97</v>
      </c>
      <c r="T163">
        <v>1.9</v>
      </c>
      <c r="U163">
        <v>2.21</v>
      </c>
      <c r="V163">
        <v>94</v>
      </c>
      <c r="W163">
        <v>11</v>
      </c>
      <c r="X163">
        <v>8</v>
      </c>
      <c r="Y163">
        <v>0</v>
      </c>
      <c r="Z163">
        <v>0</v>
      </c>
      <c r="AA163" t="s">
        <v>114</v>
      </c>
      <c r="AB163">
        <v>36.630000000000003</v>
      </c>
      <c r="AC163">
        <v>0.1</v>
      </c>
      <c r="AD163">
        <v>0.05</v>
      </c>
      <c r="AE163">
        <v>0</v>
      </c>
      <c r="AF163" t="s">
        <v>2077</v>
      </c>
      <c r="AG163" t="s">
        <v>1599</v>
      </c>
      <c r="AH163">
        <v>0.7</v>
      </c>
    </row>
    <row r="164" spans="1:34" x14ac:dyDescent="0.25">
      <c r="A164" s="2">
        <v>45649</v>
      </c>
      <c r="B164" t="s">
        <v>2107</v>
      </c>
      <c r="C164" t="s">
        <v>2108</v>
      </c>
      <c r="D164">
        <v>110</v>
      </c>
      <c r="E164">
        <v>0.91044776119402981</v>
      </c>
      <c r="F164">
        <v>8.1967213114754103E-3</v>
      </c>
      <c r="G164">
        <v>44.31</v>
      </c>
      <c r="H164">
        <v>0</v>
      </c>
      <c r="I164">
        <v>44.31</v>
      </c>
      <c r="J164">
        <v>1112.67</v>
      </c>
      <c r="K164">
        <v>47</v>
      </c>
      <c r="L164">
        <v>0</v>
      </c>
      <c r="M164" t="s">
        <v>2109</v>
      </c>
      <c r="N164">
        <v>6</v>
      </c>
      <c r="O164">
        <v>104</v>
      </c>
      <c r="P164">
        <v>39.53</v>
      </c>
      <c r="Q164">
        <v>0</v>
      </c>
      <c r="R164">
        <v>4.79</v>
      </c>
      <c r="S164">
        <v>0.81</v>
      </c>
      <c r="T164">
        <v>0.54</v>
      </c>
      <c r="U164">
        <v>2.48</v>
      </c>
      <c r="V164">
        <v>122</v>
      </c>
      <c r="W164">
        <v>12</v>
      </c>
      <c r="X164">
        <v>1</v>
      </c>
      <c r="Y164">
        <v>0</v>
      </c>
      <c r="Z164">
        <v>0</v>
      </c>
      <c r="AA164" t="s">
        <v>115</v>
      </c>
      <c r="AB164">
        <v>44.31</v>
      </c>
      <c r="AC164">
        <v>0.1</v>
      </c>
      <c r="AD164">
        <v>0.05</v>
      </c>
      <c r="AE164">
        <v>0</v>
      </c>
      <c r="AF164" t="s">
        <v>2077</v>
      </c>
      <c r="AG164" t="s">
        <v>1599</v>
      </c>
      <c r="AH164">
        <v>0.7</v>
      </c>
    </row>
    <row r="165" spans="1:34" x14ac:dyDescent="0.25">
      <c r="A165" s="2">
        <v>45642</v>
      </c>
      <c r="B165" t="s">
        <v>2127</v>
      </c>
      <c r="C165" t="s">
        <v>2128</v>
      </c>
      <c r="D165">
        <v>33</v>
      </c>
      <c r="E165">
        <v>1</v>
      </c>
      <c r="F165">
        <v>0</v>
      </c>
      <c r="G165">
        <v>22.78</v>
      </c>
      <c r="H165">
        <v>0.01</v>
      </c>
      <c r="I165">
        <v>22.77</v>
      </c>
      <c r="J165">
        <v>474.45</v>
      </c>
      <c r="K165">
        <v>37.340000000000003</v>
      </c>
      <c r="L165">
        <v>5.7</v>
      </c>
      <c r="M165" t="s">
        <v>2129</v>
      </c>
      <c r="N165">
        <v>10</v>
      </c>
      <c r="O165">
        <v>23</v>
      </c>
      <c r="P165">
        <v>19.68</v>
      </c>
      <c r="Q165">
        <v>0</v>
      </c>
      <c r="R165">
        <v>3.09</v>
      </c>
      <c r="S165">
        <v>5.85</v>
      </c>
      <c r="T165">
        <v>5.49</v>
      </c>
      <c r="U165">
        <v>1.45</v>
      </c>
      <c r="V165">
        <v>37</v>
      </c>
      <c r="W165">
        <v>0</v>
      </c>
      <c r="X165">
        <v>0</v>
      </c>
      <c r="Y165">
        <v>22.77</v>
      </c>
      <c r="Z165">
        <v>0</v>
      </c>
      <c r="AA165" t="s">
        <v>114</v>
      </c>
      <c r="AB165">
        <v>0</v>
      </c>
      <c r="AC165">
        <v>0.1</v>
      </c>
      <c r="AD165">
        <v>0.05</v>
      </c>
      <c r="AE165">
        <v>22.77</v>
      </c>
      <c r="AF165" t="s">
        <v>2114</v>
      </c>
      <c r="AG165" t="s">
        <v>1670</v>
      </c>
      <c r="AH165">
        <v>0.7</v>
      </c>
    </row>
    <row r="166" spans="1:34" x14ac:dyDescent="0.25">
      <c r="A166" s="2">
        <v>45649</v>
      </c>
      <c r="B166" t="s">
        <v>2127</v>
      </c>
      <c r="C166" t="s">
        <v>2128</v>
      </c>
      <c r="D166">
        <v>71</v>
      </c>
      <c r="E166">
        <v>1</v>
      </c>
      <c r="F166">
        <v>4.878048780487805E-2</v>
      </c>
      <c r="G166">
        <v>50.26</v>
      </c>
      <c r="H166">
        <v>3.18</v>
      </c>
      <c r="I166">
        <v>47.08</v>
      </c>
      <c r="J166">
        <v>709.96</v>
      </c>
      <c r="K166">
        <v>27</v>
      </c>
      <c r="L166">
        <v>13.5</v>
      </c>
      <c r="M166" t="s">
        <v>2129</v>
      </c>
      <c r="N166">
        <v>14</v>
      </c>
      <c r="O166">
        <v>57</v>
      </c>
      <c r="P166">
        <v>33.79</v>
      </c>
      <c r="Q166">
        <v>0</v>
      </c>
      <c r="R166">
        <v>13.29</v>
      </c>
      <c r="S166">
        <v>12.67</v>
      </c>
      <c r="T166">
        <v>10.220000000000001</v>
      </c>
      <c r="U166">
        <v>1.41</v>
      </c>
      <c r="V166">
        <v>82</v>
      </c>
      <c r="W166">
        <v>0</v>
      </c>
      <c r="X166">
        <v>4</v>
      </c>
      <c r="Y166">
        <v>0</v>
      </c>
      <c r="Z166">
        <v>0</v>
      </c>
      <c r="AA166" t="s">
        <v>115</v>
      </c>
      <c r="AB166">
        <v>47.08</v>
      </c>
      <c r="AC166">
        <v>0.1</v>
      </c>
      <c r="AD166">
        <v>0.05</v>
      </c>
      <c r="AE166">
        <v>0</v>
      </c>
      <c r="AF166" t="s">
        <v>2114</v>
      </c>
      <c r="AG166" t="s">
        <v>1670</v>
      </c>
      <c r="AH166">
        <v>0.7</v>
      </c>
    </row>
    <row r="167" spans="1:34" x14ac:dyDescent="0.25">
      <c r="A167" s="2">
        <v>45642</v>
      </c>
      <c r="B167" t="s">
        <v>2130</v>
      </c>
      <c r="C167" t="s">
        <v>2131</v>
      </c>
      <c r="D167">
        <v>36</v>
      </c>
      <c r="E167">
        <v>1</v>
      </c>
      <c r="F167">
        <v>2.4390243902439025E-2</v>
      </c>
      <c r="G167">
        <v>25.25</v>
      </c>
      <c r="H167">
        <v>0</v>
      </c>
      <c r="I167">
        <v>25.25</v>
      </c>
      <c r="J167">
        <v>492.69</v>
      </c>
      <c r="K167">
        <v>42</v>
      </c>
      <c r="L167">
        <v>0</v>
      </c>
      <c r="M167" t="s">
        <v>2132</v>
      </c>
      <c r="N167">
        <v>12</v>
      </c>
      <c r="O167">
        <v>24</v>
      </c>
      <c r="P167">
        <v>22.71</v>
      </c>
      <c r="Q167">
        <v>0</v>
      </c>
      <c r="R167">
        <v>2.54</v>
      </c>
      <c r="S167">
        <v>6.58</v>
      </c>
      <c r="T167">
        <v>6.56</v>
      </c>
      <c r="U167">
        <v>1.43</v>
      </c>
      <c r="V167">
        <v>41</v>
      </c>
      <c r="W167">
        <v>0</v>
      </c>
      <c r="X167">
        <v>1</v>
      </c>
      <c r="Y167">
        <v>25.25</v>
      </c>
      <c r="Z167">
        <v>0</v>
      </c>
      <c r="AA167" t="s">
        <v>114</v>
      </c>
      <c r="AB167">
        <v>0</v>
      </c>
      <c r="AC167">
        <v>0.1</v>
      </c>
      <c r="AD167">
        <v>0.05</v>
      </c>
      <c r="AE167">
        <v>25.25</v>
      </c>
      <c r="AF167" t="s">
        <v>2115</v>
      </c>
      <c r="AG167" t="s">
        <v>1670</v>
      </c>
      <c r="AH167">
        <v>0.7</v>
      </c>
    </row>
    <row r="168" spans="1:34" x14ac:dyDescent="0.25">
      <c r="A168" s="2">
        <v>45649</v>
      </c>
      <c r="B168" t="s">
        <v>2130</v>
      </c>
      <c r="C168" t="s">
        <v>2131</v>
      </c>
      <c r="D168">
        <v>62</v>
      </c>
      <c r="E168">
        <v>1</v>
      </c>
      <c r="F168">
        <v>4.2253521126760563E-2</v>
      </c>
      <c r="G168">
        <v>38.909999999999997</v>
      </c>
      <c r="H168">
        <v>0.57999999999999996</v>
      </c>
      <c r="I168">
        <v>38.33</v>
      </c>
      <c r="J168">
        <v>855.44</v>
      </c>
      <c r="K168">
        <v>96.15</v>
      </c>
      <c r="L168">
        <v>0</v>
      </c>
      <c r="M168" t="s">
        <v>2132</v>
      </c>
      <c r="N168">
        <v>12</v>
      </c>
      <c r="O168">
        <v>50</v>
      </c>
      <c r="P168">
        <v>33.619999999999997</v>
      </c>
      <c r="Q168">
        <v>0</v>
      </c>
      <c r="R168">
        <v>4.7</v>
      </c>
      <c r="S168">
        <v>28.6</v>
      </c>
      <c r="T168">
        <v>24.51</v>
      </c>
      <c r="U168">
        <v>1.59</v>
      </c>
      <c r="V168">
        <v>71</v>
      </c>
      <c r="W168">
        <v>0</v>
      </c>
      <c r="X168">
        <v>3</v>
      </c>
      <c r="Y168">
        <v>0</v>
      </c>
      <c r="Z168">
        <v>0</v>
      </c>
      <c r="AA168" t="s">
        <v>115</v>
      </c>
      <c r="AB168">
        <v>38.33</v>
      </c>
      <c r="AC168">
        <v>0.1</v>
      </c>
      <c r="AD168">
        <v>0.05</v>
      </c>
      <c r="AE168">
        <v>0</v>
      </c>
      <c r="AF168" t="s">
        <v>2115</v>
      </c>
      <c r="AG168" t="s">
        <v>1670</v>
      </c>
      <c r="AH168">
        <v>0.7</v>
      </c>
    </row>
    <row r="169" spans="1:34" x14ac:dyDescent="0.25">
      <c r="A169" s="2">
        <v>45642</v>
      </c>
      <c r="B169" t="s">
        <v>2133</v>
      </c>
      <c r="C169" t="s">
        <v>2134</v>
      </c>
      <c r="D169">
        <v>50</v>
      </c>
      <c r="E169">
        <v>0.9859154929577465</v>
      </c>
      <c r="F169">
        <v>2.8571428571428571E-2</v>
      </c>
      <c r="G169">
        <v>39.659999999999997</v>
      </c>
      <c r="H169">
        <v>4.2300000000000004</v>
      </c>
      <c r="I169">
        <v>35.429999999999993</v>
      </c>
      <c r="J169">
        <v>766.53</v>
      </c>
      <c r="K169">
        <v>55.36</v>
      </c>
      <c r="L169">
        <v>9.8000000000000007</v>
      </c>
      <c r="M169" t="s">
        <v>2135</v>
      </c>
      <c r="N169">
        <v>13</v>
      </c>
      <c r="O169">
        <v>37</v>
      </c>
      <c r="P169">
        <v>32.54</v>
      </c>
      <c r="Q169">
        <v>0</v>
      </c>
      <c r="R169">
        <v>2.88</v>
      </c>
      <c r="S169">
        <v>8.3699999999999992</v>
      </c>
      <c r="T169">
        <v>7.97</v>
      </c>
      <c r="U169">
        <v>1.26</v>
      </c>
      <c r="V169">
        <v>70</v>
      </c>
      <c r="W169">
        <v>1</v>
      </c>
      <c r="X169">
        <v>2</v>
      </c>
      <c r="Y169">
        <v>35.429999999999993</v>
      </c>
      <c r="Z169">
        <v>0</v>
      </c>
      <c r="AA169" t="s">
        <v>114</v>
      </c>
      <c r="AB169">
        <v>0</v>
      </c>
      <c r="AC169">
        <v>0.1</v>
      </c>
      <c r="AD169">
        <v>0.05</v>
      </c>
      <c r="AE169">
        <v>35.429999999999993</v>
      </c>
      <c r="AF169" t="s">
        <v>2116</v>
      </c>
      <c r="AG169" t="s">
        <v>1670</v>
      </c>
      <c r="AH169">
        <v>0.7</v>
      </c>
    </row>
    <row r="170" spans="1:34" x14ac:dyDescent="0.25">
      <c r="A170" s="2">
        <v>45649</v>
      </c>
      <c r="B170" t="s">
        <v>2133</v>
      </c>
      <c r="C170" t="s">
        <v>2134</v>
      </c>
      <c r="D170">
        <v>66</v>
      </c>
      <c r="E170">
        <v>0.98</v>
      </c>
      <c r="F170">
        <v>3.0612244897959183E-2</v>
      </c>
      <c r="G170">
        <v>59.92</v>
      </c>
      <c r="H170">
        <v>3.78</v>
      </c>
      <c r="I170">
        <v>56.14</v>
      </c>
      <c r="J170">
        <v>899.61</v>
      </c>
      <c r="K170">
        <v>82.8</v>
      </c>
      <c r="L170">
        <v>16.899999999999999</v>
      </c>
      <c r="M170" t="s">
        <v>2135</v>
      </c>
      <c r="N170">
        <v>9</v>
      </c>
      <c r="O170">
        <v>57</v>
      </c>
      <c r="P170">
        <v>44.91</v>
      </c>
      <c r="Q170">
        <v>0</v>
      </c>
      <c r="R170">
        <v>11.23</v>
      </c>
      <c r="S170">
        <v>19.350000000000001</v>
      </c>
      <c r="T170">
        <v>13.1</v>
      </c>
      <c r="U170">
        <v>1.1000000000000001</v>
      </c>
      <c r="V170">
        <v>98</v>
      </c>
      <c r="W170">
        <v>2</v>
      </c>
      <c r="X170">
        <v>3</v>
      </c>
      <c r="Y170">
        <v>56.14</v>
      </c>
      <c r="Z170">
        <v>0</v>
      </c>
      <c r="AA170" t="s">
        <v>115</v>
      </c>
      <c r="AB170">
        <v>0</v>
      </c>
      <c r="AC170">
        <v>0.1</v>
      </c>
      <c r="AD170">
        <v>0.05</v>
      </c>
      <c r="AE170">
        <v>56.14</v>
      </c>
      <c r="AF170" t="s">
        <v>2116</v>
      </c>
      <c r="AG170" t="s">
        <v>1670</v>
      </c>
      <c r="AH170">
        <v>0.7</v>
      </c>
    </row>
    <row r="171" spans="1:34" x14ac:dyDescent="0.25">
      <c r="A171" s="2">
        <v>45642</v>
      </c>
      <c r="B171" t="s">
        <v>2136</v>
      </c>
      <c r="C171" t="s">
        <v>2137</v>
      </c>
      <c r="D171">
        <v>67</v>
      </c>
      <c r="E171">
        <v>1</v>
      </c>
      <c r="F171">
        <v>2.8169014084507043E-2</v>
      </c>
      <c r="G171">
        <v>35.340000000000003</v>
      </c>
      <c r="H171">
        <v>0.01</v>
      </c>
      <c r="I171">
        <v>35.330000000000005</v>
      </c>
      <c r="J171">
        <v>773.88</v>
      </c>
      <c r="K171">
        <v>48.18</v>
      </c>
      <c r="L171">
        <v>0</v>
      </c>
      <c r="M171" t="s">
        <v>2138</v>
      </c>
      <c r="N171">
        <v>21</v>
      </c>
      <c r="O171">
        <v>46</v>
      </c>
      <c r="P171">
        <v>34.11</v>
      </c>
      <c r="Q171">
        <v>0</v>
      </c>
      <c r="R171">
        <v>1.22</v>
      </c>
      <c r="S171">
        <v>20.59</v>
      </c>
      <c r="T171">
        <v>20.47</v>
      </c>
      <c r="U171">
        <v>1.9</v>
      </c>
      <c r="V171">
        <v>71</v>
      </c>
      <c r="W171">
        <v>0</v>
      </c>
      <c r="X171">
        <v>2</v>
      </c>
      <c r="Y171">
        <v>35.330000000000005</v>
      </c>
      <c r="Z171">
        <v>0</v>
      </c>
      <c r="AA171" t="s">
        <v>114</v>
      </c>
      <c r="AB171">
        <v>0</v>
      </c>
      <c r="AC171">
        <v>0.1</v>
      </c>
      <c r="AD171">
        <v>0.05</v>
      </c>
      <c r="AE171">
        <v>35.330000000000005</v>
      </c>
      <c r="AF171" t="s">
        <v>2117</v>
      </c>
      <c r="AG171" t="s">
        <v>1599</v>
      </c>
      <c r="AH171">
        <v>0.7</v>
      </c>
    </row>
    <row r="172" spans="1:34" x14ac:dyDescent="0.25">
      <c r="A172" s="2">
        <v>45649</v>
      </c>
      <c r="B172" t="s">
        <v>2136</v>
      </c>
      <c r="C172" t="s">
        <v>2137</v>
      </c>
      <c r="D172">
        <v>51</v>
      </c>
      <c r="E172">
        <v>0.953125</v>
      </c>
      <c r="F172">
        <v>6.5573770491803282E-2</v>
      </c>
      <c r="G172">
        <v>30.86</v>
      </c>
      <c r="H172">
        <v>0.02</v>
      </c>
      <c r="I172">
        <v>30.84</v>
      </c>
      <c r="J172">
        <v>629.85</v>
      </c>
      <c r="K172">
        <v>42.39</v>
      </c>
      <c r="L172">
        <v>12</v>
      </c>
      <c r="M172" t="s">
        <v>2138</v>
      </c>
      <c r="N172">
        <v>21</v>
      </c>
      <c r="O172">
        <v>30</v>
      </c>
      <c r="P172">
        <v>29.35</v>
      </c>
      <c r="Q172">
        <v>0</v>
      </c>
      <c r="R172">
        <v>1.49</v>
      </c>
      <c r="S172">
        <v>23.03</v>
      </c>
      <c r="T172">
        <v>21.97</v>
      </c>
      <c r="U172">
        <v>1.65</v>
      </c>
      <c r="V172">
        <v>61</v>
      </c>
      <c r="W172">
        <v>3</v>
      </c>
      <c r="X172">
        <v>4</v>
      </c>
      <c r="Y172">
        <v>0</v>
      </c>
      <c r="Z172">
        <v>0</v>
      </c>
      <c r="AA172" t="s">
        <v>115</v>
      </c>
      <c r="AB172">
        <v>30.84</v>
      </c>
      <c r="AC172">
        <v>0.1</v>
      </c>
      <c r="AD172">
        <v>0.05</v>
      </c>
      <c r="AE172">
        <v>0</v>
      </c>
      <c r="AF172" t="s">
        <v>2117</v>
      </c>
      <c r="AG172" t="s">
        <v>1599</v>
      </c>
      <c r="AH172">
        <v>0.7</v>
      </c>
    </row>
    <row r="173" spans="1:34" x14ac:dyDescent="0.25">
      <c r="A173" s="2">
        <v>45649</v>
      </c>
      <c r="B173" t="s">
        <v>2139</v>
      </c>
      <c r="C173" t="s">
        <v>2140</v>
      </c>
      <c r="D173">
        <v>17</v>
      </c>
      <c r="E173">
        <v>0.33333333333333331</v>
      </c>
      <c r="F173">
        <v>0</v>
      </c>
      <c r="G173">
        <v>10.5</v>
      </c>
      <c r="H173">
        <v>0</v>
      </c>
      <c r="I173">
        <v>10.5</v>
      </c>
      <c r="J173">
        <v>205.42</v>
      </c>
      <c r="K173">
        <v>32.86</v>
      </c>
      <c r="L173">
        <v>0</v>
      </c>
      <c r="M173" t="s">
        <v>2141</v>
      </c>
      <c r="N173">
        <v>5</v>
      </c>
      <c r="O173">
        <v>12</v>
      </c>
      <c r="P173">
        <v>10.130000000000001</v>
      </c>
      <c r="Q173">
        <v>30</v>
      </c>
      <c r="R173">
        <v>0.37</v>
      </c>
      <c r="S173">
        <v>0</v>
      </c>
      <c r="T173">
        <v>0</v>
      </c>
      <c r="U173">
        <v>1.62</v>
      </c>
      <c r="V173">
        <v>16</v>
      </c>
      <c r="W173">
        <v>2</v>
      </c>
      <c r="X173">
        <v>0</v>
      </c>
      <c r="Y173">
        <v>0</v>
      </c>
      <c r="Z173">
        <v>0</v>
      </c>
      <c r="AA173" t="s">
        <v>115</v>
      </c>
      <c r="AB173">
        <v>10.5</v>
      </c>
      <c r="AC173">
        <v>0.1</v>
      </c>
      <c r="AD173">
        <v>0.05</v>
      </c>
      <c r="AE173">
        <v>0</v>
      </c>
      <c r="AF173" t="s">
        <v>2118</v>
      </c>
      <c r="AG173" t="s">
        <v>1601</v>
      </c>
      <c r="AH173">
        <v>0.7</v>
      </c>
    </row>
    <row r="174" spans="1:34" x14ac:dyDescent="0.25">
      <c r="A174" s="2">
        <v>45649</v>
      </c>
      <c r="B174" t="s">
        <v>2142</v>
      </c>
      <c r="C174" t="s">
        <v>2143</v>
      </c>
      <c r="D174">
        <v>15</v>
      </c>
      <c r="E174">
        <v>0.79166666666666663</v>
      </c>
      <c r="F174">
        <v>0.10526315789473684</v>
      </c>
      <c r="G174">
        <v>8.41</v>
      </c>
      <c r="H174">
        <v>0</v>
      </c>
      <c r="I174">
        <v>8.41</v>
      </c>
      <c r="J174">
        <v>182.42</v>
      </c>
      <c r="K174">
        <v>2</v>
      </c>
      <c r="L174">
        <v>0</v>
      </c>
      <c r="M174" t="s">
        <v>2144</v>
      </c>
      <c r="N174">
        <v>4</v>
      </c>
      <c r="O174">
        <v>11</v>
      </c>
      <c r="P174">
        <v>7.56</v>
      </c>
      <c r="Q174">
        <v>0</v>
      </c>
      <c r="R174">
        <v>0.84</v>
      </c>
      <c r="S174">
        <v>0</v>
      </c>
      <c r="T174">
        <v>0</v>
      </c>
      <c r="U174">
        <v>1.78</v>
      </c>
      <c r="V174">
        <v>19</v>
      </c>
      <c r="W174">
        <v>5</v>
      </c>
      <c r="X174">
        <v>2</v>
      </c>
      <c r="Y174">
        <v>0</v>
      </c>
      <c r="Z174">
        <v>0</v>
      </c>
      <c r="AA174" t="s">
        <v>115</v>
      </c>
      <c r="AB174">
        <v>8.41</v>
      </c>
      <c r="AC174">
        <v>0.1</v>
      </c>
      <c r="AD174">
        <v>0.05</v>
      </c>
      <c r="AE174">
        <v>0</v>
      </c>
      <c r="AF174" t="s">
        <v>2119</v>
      </c>
      <c r="AG174" t="s">
        <v>1599</v>
      </c>
      <c r="AH174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2652-76B1-4AFB-BF58-4B08D1CD3BD4}">
  <dimension ref="A3:E46"/>
  <sheetViews>
    <sheetView showGridLines="0" topLeftCell="A16" workbookViewId="0">
      <selection activeCell="E10" sqref="E1:E1048576"/>
    </sheetView>
  </sheetViews>
  <sheetFormatPr defaultRowHeight="15" x14ac:dyDescent="0.25"/>
  <cols>
    <col min="1" max="1" width="32.425781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89" t="s">
        <v>16</v>
      </c>
      <c r="B3" s="89" t="s">
        <v>42</v>
      </c>
      <c r="C3" t="s">
        <v>2054</v>
      </c>
      <c r="D3" t="s">
        <v>2055</v>
      </c>
    </row>
    <row r="4" spans="1:5" x14ac:dyDescent="0.25">
      <c r="A4" t="s">
        <v>1749</v>
      </c>
      <c r="B4" t="s">
        <v>114</v>
      </c>
      <c r="C4">
        <v>50.61</v>
      </c>
      <c r="D4">
        <v>50.61</v>
      </c>
      <c r="E4">
        <f>+C4-D4</f>
        <v>0</v>
      </c>
    </row>
    <row r="5" spans="1:5" x14ac:dyDescent="0.25">
      <c r="B5" t="s">
        <v>115</v>
      </c>
      <c r="C5">
        <v>57.050000000000004</v>
      </c>
      <c r="D5">
        <v>57</v>
      </c>
      <c r="E5">
        <f t="shared" ref="E5:E45" si="0">+C5-D5</f>
        <v>5.0000000000004263E-2</v>
      </c>
    </row>
    <row r="6" spans="1:5" x14ac:dyDescent="0.25">
      <c r="A6" t="s">
        <v>1815</v>
      </c>
      <c r="B6" t="s">
        <v>114</v>
      </c>
      <c r="C6">
        <v>50.1</v>
      </c>
      <c r="D6">
        <v>50</v>
      </c>
      <c r="E6">
        <f t="shared" si="0"/>
        <v>0.10000000000000142</v>
      </c>
    </row>
    <row r="7" spans="1:5" x14ac:dyDescent="0.25">
      <c r="B7" t="s">
        <v>115</v>
      </c>
      <c r="C7">
        <v>50.03</v>
      </c>
      <c r="D7">
        <v>50</v>
      </c>
      <c r="E7">
        <f t="shared" si="0"/>
        <v>3.0000000000001137E-2</v>
      </c>
    </row>
    <row r="8" spans="1:5" x14ac:dyDescent="0.25">
      <c r="A8" t="s">
        <v>1814</v>
      </c>
      <c r="B8" t="s">
        <v>114</v>
      </c>
      <c r="C8">
        <v>99.389999999999986</v>
      </c>
      <c r="D8">
        <v>99.389999999999986</v>
      </c>
      <c r="E8">
        <f t="shared" si="0"/>
        <v>0</v>
      </c>
    </row>
    <row r="9" spans="1:5" x14ac:dyDescent="0.25">
      <c r="B9" t="s">
        <v>115</v>
      </c>
      <c r="C9">
        <v>101.62</v>
      </c>
      <c r="D9">
        <v>101.62</v>
      </c>
      <c r="E9">
        <f t="shared" si="0"/>
        <v>0</v>
      </c>
    </row>
    <row r="10" spans="1:5" x14ac:dyDescent="0.25">
      <c r="A10" t="s">
        <v>1599</v>
      </c>
      <c r="B10" t="s">
        <v>114</v>
      </c>
      <c r="C10">
        <v>794.84000000000015</v>
      </c>
      <c r="D10">
        <v>794.84000000000015</v>
      </c>
      <c r="E10">
        <f t="shared" si="0"/>
        <v>0</v>
      </c>
    </row>
    <row r="11" spans="1:5" x14ac:dyDescent="0.25">
      <c r="B11" t="s">
        <v>115</v>
      </c>
      <c r="C11">
        <v>824.95</v>
      </c>
      <c r="D11">
        <v>824.95</v>
      </c>
      <c r="E11">
        <f t="shared" si="0"/>
        <v>0</v>
      </c>
    </row>
    <row r="12" spans="1:5" x14ac:dyDescent="0.25">
      <c r="A12" t="s">
        <v>1667</v>
      </c>
      <c r="B12" t="s">
        <v>114</v>
      </c>
      <c r="C12">
        <v>32.56</v>
      </c>
      <c r="D12">
        <v>32.56</v>
      </c>
      <c r="E12">
        <f t="shared" si="0"/>
        <v>0</v>
      </c>
    </row>
    <row r="13" spans="1:5" x14ac:dyDescent="0.25">
      <c r="B13" t="s">
        <v>115</v>
      </c>
      <c r="C13">
        <v>44.510000000000005</v>
      </c>
      <c r="D13">
        <v>44.510000000000005</v>
      </c>
      <c r="E13">
        <f t="shared" si="0"/>
        <v>0</v>
      </c>
    </row>
    <row r="14" spans="1:5" x14ac:dyDescent="0.25">
      <c r="A14" t="s">
        <v>1812</v>
      </c>
      <c r="B14" t="s">
        <v>114</v>
      </c>
      <c r="C14">
        <v>47.85</v>
      </c>
      <c r="D14">
        <v>47.85</v>
      </c>
      <c r="E14">
        <f t="shared" si="0"/>
        <v>0</v>
      </c>
    </row>
    <row r="15" spans="1:5" x14ac:dyDescent="0.25">
      <c r="B15" t="s">
        <v>115</v>
      </c>
      <c r="C15">
        <v>53.23</v>
      </c>
      <c r="D15">
        <v>53.23</v>
      </c>
      <c r="E15">
        <f t="shared" si="0"/>
        <v>0</v>
      </c>
    </row>
    <row r="16" spans="1:5" x14ac:dyDescent="0.25">
      <c r="A16" t="s">
        <v>1750</v>
      </c>
      <c r="B16" t="s">
        <v>114</v>
      </c>
      <c r="C16">
        <v>50.5</v>
      </c>
      <c r="D16">
        <v>50.5</v>
      </c>
      <c r="E16">
        <f t="shared" si="0"/>
        <v>0</v>
      </c>
    </row>
    <row r="17" spans="1:5" x14ac:dyDescent="0.25">
      <c r="B17" t="s">
        <v>115</v>
      </c>
      <c r="C17">
        <v>50.05</v>
      </c>
      <c r="D17">
        <v>50</v>
      </c>
      <c r="E17">
        <f t="shared" si="0"/>
        <v>4.9999999999997158E-2</v>
      </c>
    </row>
    <row r="18" spans="1:5" x14ac:dyDescent="0.25">
      <c r="A18" t="s">
        <v>1600</v>
      </c>
      <c r="B18" t="s">
        <v>114</v>
      </c>
      <c r="C18">
        <v>558.02</v>
      </c>
      <c r="D18">
        <v>558.02</v>
      </c>
      <c r="E18">
        <f t="shared" si="0"/>
        <v>0</v>
      </c>
    </row>
    <row r="19" spans="1:5" x14ac:dyDescent="0.25">
      <c r="B19" t="s">
        <v>115</v>
      </c>
      <c r="C19">
        <v>509.03000000000003</v>
      </c>
      <c r="D19">
        <v>509.03000000000003</v>
      </c>
      <c r="E19">
        <f t="shared" si="0"/>
        <v>0</v>
      </c>
    </row>
    <row r="20" spans="1:5" x14ac:dyDescent="0.25">
      <c r="A20" t="s">
        <v>1742</v>
      </c>
      <c r="B20" t="s">
        <v>114</v>
      </c>
      <c r="C20">
        <v>50.620000000000005</v>
      </c>
      <c r="D20">
        <v>50.620000000000005</v>
      </c>
      <c r="E20">
        <f t="shared" si="0"/>
        <v>0</v>
      </c>
    </row>
    <row r="21" spans="1:5" x14ac:dyDescent="0.25">
      <c r="B21" t="s">
        <v>115</v>
      </c>
      <c r="C21">
        <v>69.92</v>
      </c>
      <c r="D21">
        <v>69.92</v>
      </c>
      <c r="E21">
        <f t="shared" si="0"/>
        <v>0</v>
      </c>
    </row>
    <row r="22" spans="1:5" x14ac:dyDescent="0.25">
      <c r="A22" t="s">
        <v>1751</v>
      </c>
      <c r="B22" t="s">
        <v>114</v>
      </c>
      <c r="C22">
        <v>52</v>
      </c>
      <c r="D22">
        <v>52</v>
      </c>
      <c r="E22">
        <f t="shared" si="0"/>
        <v>0</v>
      </c>
    </row>
    <row r="23" spans="1:5" x14ac:dyDescent="0.25">
      <c r="B23" t="s">
        <v>115</v>
      </c>
      <c r="C23">
        <v>53.41</v>
      </c>
      <c r="D23">
        <v>53</v>
      </c>
      <c r="E23">
        <f t="shared" si="0"/>
        <v>0.40999999999999659</v>
      </c>
    </row>
    <row r="24" spans="1:5" x14ac:dyDescent="0.25">
      <c r="A24" t="s">
        <v>1601</v>
      </c>
      <c r="B24" t="s">
        <v>114</v>
      </c>
      <c r="C24">
        <v>546.16999999999996</v>
      </c>
      <c r="D24">
        <v>546.16999999999996</v>
      </c>
      <c r="E24">
        <f t="shared" si="0"/>
        <v>0</v>
      </c>
    </row>
    <row r="25" spans="1:5" x14ac:dyDescent="0.25">
      <c r="B25" t="s">
        <v>115</v>
      </c>
      <c r="C25">
        <v>507.21000000000004</v>
      </c>
      <c r="D25">
        <v>507.21000000000004</v>
      </c>
      <c r="E25">
        <f t="shared" si="0"/>
        <v>0</v>
      </c>
    </row>
    <row r="26" spans="1:5" x14ac:dyDescent="0.25">
      <c r="A26" t="s">
        <v>1746</v>
      </c>
      <c r="B26" t="s">
        <v>114</v>
      </c>
      <c r="C26">
        <v>11.200000000000001</v>
      </c>
      <c r="D26">
        <v>11.200000000000001</v>
      </c>
      <c r="E26">
        <f t="shared" si="0"/>
        <v>0</v>
      </c>
    </row>
    <row r="27" spans="1:5" x14ac:dyDescent="0.25">
      <c r="B27" t="s">
        <v>115</v>
      </c>
      <c r="C27">
        <v>49.85</v>
      </c>
      <c r="D27">
        <v>49.85</v>
      </c>
      <c r="E27">
        <f t="shared" si="0"/>
        <v>0</v>
      </c>
    </row>
    <row r="28" spans="1:5" x14ac:dyDescent="0.25">
      <c r="A28" t="s">
        <v>1747</v>
      </c>
      <c r="B28" t="s">
        <v>114</v>
      </c>
      <c r="C28">
        <v>173.22</v>
      </c>
      <c r="D28">
        <v>173</v>
      </c>
      <c r="E28">
        <f t="shared" si="0"/>
        <v>0.21999999999999886</v>
      </c>
    </row>
    <row r="29" spans="1:5" x14ac:dyDescent="0.25">
      <c r="B29" t="s">
        <v>115</v>
      </c>
      <c r="C29">
        <v>158.84</v>
      </c>
      <c r="D29">
        <v>158.84</v>
      </c>
      <c r="E29">
        <f t="shared" si="0"/>
        <v>0</v>
      </c>
    </row>
    <row r="30" spans="1:5" x14ac:dyDescent="0.25">
      <c r="A30" t="s">
        <v>1816</v>
      </c>
      <c r="B30" t="s">
        <v>114</v>
      </c>
      <c r="C30">
        <v>0.08</v>
      </c>
      <c r="D30">
        <v>0.08</v>
      </c>
      <c r="E30">
        <f t="shared" si="0"/>
        <v>0</v>
      </c>
    </row>
    <row r="31" spans="1:5" x14ac:dyDescent="0.25">
      <c r="B31" t="s">
        <v>115</v>
      </c>
      <c r="C31">
        <v>50.63</v>
      </c>
      <c r="D31">
        <v>50</v>
      </c>
      <c r="E31">
        <f t="shared" si="0"/>
        <v>0.63000000000000256</v>
      </c>
    </row>
    <row r="32" spans="1:5" x14ac:dyDescent="0.25">
      <c r="A32" t="s">
        <v>1699</v>
      </c>
      <c r="B32" t="s">
        <v>114</v>
      </c>
      <c r="C32">
        <v>48.290000000000006</v>
      </c>
      <c r="D32">
        <v>48.290000000000006</v>
      </c>
      <c r="E32">
        <f t="shared" si="0"/>
        <v>0</v>
      </c>
    </row>
    <row r="33" spans="1:5" x14ac:dyDescent="0.25">
      <c r="B33" t="s">
        <v>115</v>
      </c>
      <c r="C33">
        <v>50.06</v>
      </c>
      <c r="D33">
        <v>50</v>
      </c>
      <c r="E33">
        <f t="shared" si="0"/>
        <v>6.0000000000002274E-2</v>
      </c>
    </row>
    <row r="34" spans="1:5" x14ac:dyDescent="0.25">
      <c r="A34" t="s">
        <v>1748</v>
      </c>
      <c r="B34" t="s">
        <v>114</v>
      </c>
      <c r="C34">
        <v>50.92</v>
      </c>
      <c r="D34">
        <v>50.92</v>
      </c>
      <c r="E34">
        <f t="shared" si="0"/>
        <v>0</v>
      </c>
    </row>
    <row r="35" spans="1:5" x14ac:dyDescent="0.25">
      <c r="B35" t="s">
        <v>115</v>
      </c>
      <c r="C35">
        <v>61.13</v>
      </c>
      <c r="D35">
        <v>61</v>
      </c>
      <c r="E35">
        <f t="shared" si="0"/>
        <v>0.13000000000000256</v>
      </c>
    </row>
    <row r="36" spans="1:5" x14ac:dyDescent="0.25">
      <c r="A36" t="s">
        <v>1787</v>
      </c>
      <c r="B36" t="s">
        <v>114</v>
      </c>
      <c r="C36">
        <v>51.21</v>
      </c>
      <c r="D36">
        <v>50</v>
      </c>
      <c r="E36">
        <f t="shared" si="0"/>
        <v>1.2100000000000009</v>
      </c>
    </row>
    <row r="37" spans="1:5" x14ac:dyDescent="0.25">
      <c r="B37" t="s">
        <v>115</v>
      </c>
      <c r="C37">
        <v>101.98</v>
      </c>
      <c r="D37">
        <v>100</v>
      </c>
      <c r="E37">
        <f t="shared" si="0"/>
        <v>1.980000000000004</v>
      </c>
    </row>
    <row r="38" spans="1:5" x14ac:dyDescent="0.25">
      <c r="A38" t="s">
        <v>1788</v>
      </c>
      <c r="B38" t="s">
        <v>114</v>
      </c>
      <c r="C38">
        <v>59.9</v>
      </c>
      <c r="D38">
        <v>59.9</v>
      </c>
      <c r="E38">
        <f t="shared" si="0"/>
        <v>0</v>
      </c>
    </row>
    <row r="39" spans="1:5" x14ac:dyDescent="0.25">
      <c r="B39" t="s">
        <v>115</v>
      </c>
      <c r="C39">
        <v>59.99</v>
      </c>
      <c r="D39">
        <v>59.99</v>
      </c>
      <c r="E39">
        <f t="shared" si="0"/>
        <v>0</v>
      </c>
    </row>
    <row r="40" spans="1:5" x14ac:dyDescent="0.25">
      <c r="A40" t="s">
        <v>1716</v>
      </c>
      <c r="B40" t="s">
        <v>114</v>
      </c>
      <c r="C40">
        <v>83.22999999999999</v>
      </c>
      <c r="D40">
        <v>83.22999999999999</v>
      </c>
      <c r="E40">
        <f t="shared" si="0"/>
        <v>0</v>
      </c>
    </row>
    <row r="41" spans="1:5" x14ac:dyDescent="0.25">
      <c r="B41" t="s">
        <v>115</v>
      </c>
      <c r="C41">
        <v>81.36</v>
      </c>
      <c r="D41">
        <v>81.36</v>
      </c>
      <c r="E41">
        <f t="shared" si="0"/>
        <v>0</v>
      </c>
    </row>
    <row r="42" spans="1:5" x14ac:dyDescent="0.25">
      <c r="A42" t="s">
        <v>1745</v>
      </c>
      <c r="B42" t="s">
        <v>114</v>
      </c>
      <c r="C42">
        <v>47.75</v>
      </c>
      <c r="D42">
        <v>47.75</v>
      </c>
      <c r="E42">
        <f t="shared" si="0"/>
        <v>0</v>
      </c>
    </row>
    <row r="43" spans="1:5" x14ac:dyDescent="0.25">
      <c r="B43" t="s">
        <v>115</v>
      </c>
      <c r="C43">
        <v>59.9</v>
      </c>
      <c r="D43">
        <v>59.9</v>
      </c>
      <c r="E43">
        <f t="shared" si="0"/>
        <v>0</v>
      </c>
    </row>
    <row r="44" spans="1:5" x14ac:dyDescent="0.25">
      <c r="A44" t="s">
        <v>1670</v>
      </c>
      <c r="B44" t="s">
        <v>114</v>
      </c>
      <c r="C44">
        <v>407.07000000000005</v>
      </c>
      <c r="D44">
        <v>407.07000000000005</v>
      </c>
      <c r="E44">
        <f t="shared" si="0"/>
        <v>0</v>
      </c>
    </row>
    <row r="45" spans="1:5" x14ac:dyDescent="0.25">
      <c r="B45" t="s">
        <v>115</v>
      </c>
      <c r="C45">
        <v>461.48999999999995</v>
      </c>
      <c r="D45">
        <v>461</v>
      </c>
      <c r="E45">
        <f t="shared" si="0"/>
        <v>0.48999999999995225</v>
      </c>
    </row>
    <row r="46" spans="1:5" x14ac:dyDescent="0.25">
      <c r="A46" t="s">
        <v>2053</v>
      </c>
      <c r="C46">
        <v>6721.7699999999986</v>
      </c>
      <c r="D46">
        <v>6716.4099999999989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G43"/>
  <sheetViews>
    <sheetView tabSelected="1" workbookViewId="0">
      <selection activeCell="F1" sqref="F1:AA1048576"/>
    </sheetView>
  </sheetViews>
  <sheetFormatPr defaultRowHeight="15" x14ac:dyDescent="0.25"/>
  <cols>
    <col min="1" max="1" width="10" bestFit="1" customWidth="1"/>
    <col min="2" max="2" width="18" hidden="1" customWidth="1"/>
    <col min="3" max="3" width="14.85546875" hidden="1" customWidth="1"/>
    <col min="4" max="4" width="22.5703125" hidden="1" customWidth="1"/>
    <col min="5" max="5" width="24" bestFit="1" customWidth="1"/>
    <col min="6" max="6" width="16.85546875" hidden="1" customWidth="1"/>
    <col min="7" max="9" width="15.42578125" hidden="1" customWidth="1"/>
    <col min="10" max="10" width="18" hidden="1" customWidth="1"/>
    <col min="11" max="11" width="18.85546875" hidden="1" customWidth="1"/>
    <col min="12" max="13" width="22.42578125" hidden="1" customWidth="1"/>
    <col min="14" max="14" width="14.140625" hidden="1" customWidth="1"/>
    <col min="15" max="15" width="16.42578125" hidden="1" customWidth="1"/>
    <col min="16" max="16" width="12.7109375" hidden="1" customWidth="1"/>
    <col min="17" max="17" width="7.42578125" hidden="1" customWidth="1"/>
    <col min="18" max="18" width="14" hidden="1" customWidth="1"/>
    <col min="19" max="20" width="11.42578125" hidden="1" customWidth="1"/>
    <col min="21" max="21" width="10" hidden="1" customWidth="1"/>
    <col min="22" max="23" width="18.5703125" hidden="1" customWidth="1"/>
    <col min="24" max="24" width="21.140625" hidden="1" customWidth="1"/>
    <col min="25" max="25" width="22" hidden="1" customWidth="1"/>
    <col min="26" max="26" width="22.7109375" hidden="1" customWidth="1"/>
    <col min="27" max="27" width="10.7109375" hidden="1" customWidth="1"/>
    <col min="28" max="28" width="30.5703125" bestFit="1" customWidth="1"/>
    <col min="29" max="29" width="18.140625" bestFit="1" customWidth="1"/>
    <col min="30" max="30" width="20" bestFit="1" customWidth="1"/>
    <col min="31" max="31" width="15.42578125" bestFit="1" customWidth="1"/>
    <col min="32" max="32" width="12.5703125" bestFit="1" customWidth="1"/>
    <col min="33" max="33" width="16.85546875" bestFit="1" customWidth="1"/>
    <col min="34" max="34" width="16" bestFit="1" customWidth="1"/>
    <col min="35" max="35" width="13.7109375" bestFit="1" customWidth="1"/>
    <col min="36" max="36" width="24.7109375" bestFit="1" customWidth="1"/>
    <col min="37" max="37" width="20.7109375" bestFit="1" customWidth="1"/>
    <col min="38" max="38" width="16.7109375" bestFit="1" customWidth="1"/>
    <col min="39" max="39" width="15" bestFit="1" customWidth="1"/>
    <col min="40" max="40" width="14.5703125" bestFit="1" customWidth="1"/>
    <col min="41" max="41" width="14.85546875" bestFit="1" customWidth="1"/>
    <col min="42" max="42" width="11.7109375" bestFit="1" customWidth="1"/>
    <col min="43" max="44" width="19.85546875" bestFit="1" customWidth="1"/>
    <col min="45" max="45" width="18.7109375" bestFit="1" customWidth="1"/>
    <col min="46" max="46" width="7.28515625" bestFit="1" customWidth="1"/>
    <col min="47" max="47" width="13.140625" bestFit="1" customWidth="1"/>
    <col min="48" max="48" width="11.85546875" bestFit="1" customWidth="1"/>
    <col min="49" max="51" width="11.5703125" bestFit="1" customWidth="1"/>
    <col min="52" max="54" width="16.140625" bestFit="1" customWidth="1"/>
    <col min="55" max="55" width="26.140625" bestFit="1" customWidth="1"/>
    <col min="56" max="56" width="15.5703125" bestFit="1" customWidth="1"/>
    <col min="57" max="57" width="14.28515625" bestFit="1" customWidth="1"/>
    <col min="58" max="58" width="17.42578125" bestFit="1" customWidth="1"/>
    <col min="59" max="59" width="24.85546875" bestFit="1" customWidth="1"/>
    <col min="60" max="60" width="17.42578125" bestFit="1" customWidth="1"/>
    <col min="61" max="61" width="24.85546875" bestFit="1" customWidth="1"/>
    <col min="62" max="62" width="16.85546875" bestFit="1" customWidth="1"/>
    <col min="63" max="63" width="16.85546875" customWidth="1"/>
    <col min="64" max="64" width="7" bestFit="1" customWidth="1"/>
    <col min="65" max="65" width="10.140625" bestFit="1" customWidth="1"/>
    <col min="66" max="66" width="9.5703125" bestFit="1" customWidth="1"/>
    <col min="67" max="67" width="18" bestFit="1" customWidth="1"/>
    <col min="68" max="68" width="11.28515625" bestFit="1" customWidth="1"/>
    <col min="69" max="70" width="17.7109375" bestFit="1" customWidth="1"/>
    <col min="71" max="71" width="16.7109375" bestFit="1" customWidth="1"/>
    <col min="72" max="72" width="14" bestFit="1" customWidth="1"/>
    <col min="73" max="73" width="17.28515625" bestFit="1" customWidth="1"/>
    <col min="74" max="74" width="16.28515625" bestFit="1" customWidth="1"/>
    <col min="75" max="75" width="14.7109375" bestFit="1" customWidth="1"/>
    <col min="76" max="76" width="13.7109375" bestFit="1" customWidth="1"/>
    <col min="77" max="77" width="10.7109375" bestFit="1" customWidth="1"/>
    <col min="78" max="78" width="15.7109375" bestFit="1" customWidth="1"/>
    <col min="79" max="79" width="15.28515625" bestFit="1" customWidth="1"/>
    <col min="80" max="80" width="17.42578125" bestFit="1" customWidth="1"/>
    <col min="81" max="81" width="10.85546875" bestFit="1" customWidth="1"/>
    <col min="82" max="82" width="11.7109375" bestFit="1" customWidth="1"/>
  </cols>
  <sheetData>
    <row r="1" spans="1:59" x14ac:dyDescent="0.25">
      <c r="A1" t="s">
        <v>42</v>
      </c>
      <c r="B1" t="s">
        <v>215</v>
      </c>
      <c r="C1" t="s">
        <v>39</v>
      </c>
      <c r="D1" t="s">
        <v>202</v>
      </c>
      <c r="E1" t="s">
        <v>203</v>
      </c>
      <c r="F1" t="s">
        <v>1648</v>
      </c>
      <c r="G1" t="s">
        <v>216</v>
      </c>
      <c r="H1" t="s">
        <v>217</v>
      </c>
      <c r="I1" t="s">
        <v>218</v>
      </c>
      <c r="J1" t="s">
        <v>164</v>
      </c>
      <c r="K1" t="s">
        <v>165</v>
      </c>
      <c r="L1" t="s">
        <v>208</v>
      </c>
      <c r="M1" t="s">
        <v>209</v>
      </c>
      <c r="N1" t="s">
        <v>211</v>
      </c>
      <c r="O1" t="s">
        <v>213</v>
      </c>
      <c r="P1" t="s">
        <v>179</v>
      </c>
      <c r="Q1" t="s">
        <v>9</v>
      </c>
      <c r="R1" t="s">
        <v>1649</v>
      </c>
      <c r="S1" t="s">
        <v>214</v>
      </c>
      <c r="T1" t="s">
        <v>10</v>
      </c>
      <c r="U1" t="s">
        <v>204</v>
      </c>
      <c r="V1" t="s">
        <v>205</v>
      </c>
      <c r="W1" t="s">
        <v>206</v>
      </c>
      <c r="X1" t="s">
        <v>1780</v>
      </c>
      <c r="Y1" t="s">
        <v>210</v>
      </c>
      <c r="Z1" t="s">
        <v>192</v>
      </c>
      <c r="AA1" t="s">
        <v>35</v>
      </c>
      <c r="AB1" t="s">
        <v>16</v>
      </c>
      <c r="AC1" t="s">
        <v>38</v>
      </c>
      <c r="AD1" t="s">
        <v>166</v>
      </c>
      <c r="AE1" t="s">
        <v>167</v>
      </c>
      <c r="AF1" t="s">
        <v>36</v>
      </c>
      <c r="AG1" t="s">
        <v>37</v>
      </c>
      <c r="AH1" t="s">
        <v>171</v>
      </c>
      <c r="AI1" t="s">
        <v>172</v>
      </c>
      <c r="AJ1" t="s">
        <v>186</v>
      </c>
      <c r="AK1" t="s">
        <v>187</v>
      </c>
      <c r="AL1" t="s">
        <v>188</v>
      </c>
      <c r="AM1" t="s">
        <v>189</v>
      </c>
      <c r="AN1" t="s">
        <v>190</v>
      </c>
      <c r="AO1" t="s">
        <v>191</v>
      </c>
      <c r="AP1" t="s">
        <v>8</v>
      </c>
      <c r="AQ1" t="s">
        <v>182</v>
      </c>
      <c r="AR1" t="s">
        <v>183</v>
      </c>
      <c r="AS1" t="s">
        <v>184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212</v>
      </c>
      <c r="BD1" t="s">
        <v>11</v>
      </c>
      <c r="BE1" t="s">
        <v>12</v>
      </c>
      <c r="BF1" t="s">
        <v>207</v>
      </c>
      <c r="BG1" t="s">
        <v>185</v>
      </c>
    </row>
    <row r="2" spans="1:59" hidden="1" x14ac:dyDescent="0.25">
      <c r="A2" t="s">
        <v>114</v>
      </c>
      <c r="B2">
        <v>550</v>
      </c>
      <c r="C2">
        <v>546.16999999999996</v>
      </c>
      <c r="D2">
        <v>546.16999999999996</v>
      </c>
      <c r="E2">
        <v>1</v>
      </c>
      <c r="F2">
        <v>11715.3465</v>
      </c>
      <c r="G2">
        <v>3604.7220000000002</v>
      </c>
      <c r="H2">
        <v>0</v>
      </c>
      <c r="I2">
        <v>0</v>
      </c>
      <c r="J2">
        <v>0.960538116591928</v>
      </c>
      <c r="K2">
        <v>1.9607843137254902E-2</v>
      </c>
      <c r="L2">
        <v>1802.3610000000001</v>
      </c>
      <c r="M2">
        <v>0</v>
      </c>
      <c r="N2">
        <v>0.91672922350184005</v>
      </c>
      <c r="O2">
        <v>901.18050000000005</v>
      </c>
      <c r="P2">
        <v>688.76</v>
      </c>
      <c r="Q2">
        <v>83.74</v>
      </c>
      <c r="R2">
        <v>0</v>
      </c>
      <c r="S2">
        <v>18796.11</v>
      </c>
      <c r="T2">
        <v>540</v>
      </c>
      <c r="U2">
        <v>3604.7220000000002</v>
      </c>
      <c r="V2">
        <v>546.16999999999996</v>
      </c>
      <c r="W2">
        <v>0</v>
      </c>
      <c r="X2">
        <v>36</v>
      </c>
      <c r="Y2">
        <v>1802.3610000000001</v>
      </c>
      <c r="Z2">
        <v>10</v>
      </c>
      <c r="AA2" s="2">
        <v>45642</v>
      </c>
      <c r="AB2" t="s">
        <v>1601</v>
      </c>
      <c r="AC2">
        <v>857</v>
      </c>
      <c r="AD2">
        <v>557.09999999999991</v>
      </c>
      <c r="AE2">
        <v>10.93</v>
      </c>
      <c r="AF2">
        <v>215</v>
      </c>
      <c r="AG2">
        <v>642</v>
      </c>
      <c r="AH2">
        <v>500.68999999999994</v>
      </c>
      <c r="AI2">
        <v>45.45</v>
      </c>
      <c r="AJ2">
        <v>284.73999999999995</v>
      </c>
      <c r="AK2">
        <v>258.3</v>
      </c>
      <c r="AL2">
        <v>23.049999999999997</v>
      </c>
      <c r="AM2">
        <v>1071</v>
      </c>
      <c r="AN2">
        <v>8</v>
      </c>
      <c r="AO2">
        <v>21</v>
      </c>
      <c r="AP2">
        <v>379.01</v>
      </c>
      <c r="AQ2">
        <v>0.1</v>
      </c>
      <c r="AR2">
        <v>0.05</v>
      </c>
      <c r="AS2">
        <v>0.7</v>
      </c>
      <c r="AT2">
        <v>33</v>
      </c>
      <c r="AU2">
        <v>0</v>
      </c>
      <c r="AV2">
        <v>0.65</v>
      </c>
      <c r="AW2">
        <v>0.98</v>
      </c>
      <c r="AX2">
        <v>0.96</v>
      </c>
      <c r="AY2">
        <v>0.94</v>
      </c>
      <c r="AZ2">
        <v>0.2</v>
      </c>
      <c r="BA2">
        <v>0.1</v>
      </c>
      <c r="BB2">
        <v>0.05</v>
      </c>
      <c r="BC2">
        <v>0.05</v>
      </c>
      <c r="BD2">
        <v>540</v>
      </c>
      <c r="BE2">
        <v>0</v>
      </c>
      <c r="BF2">
        <v>0</v>
      </c>
      <c r="BG2">
        <v>10712.47</v>
      </c>
    </row>
    <row r="3" spans="1:59" hidden="1" x14ac:dyDescent="0.25">
      <c r="A3" t="s">
        <v>114</v>
      </c>
      <c r="B3">
        <v>50</v>
      </c>
      <c r="C3">
        <v>47.75</v>
      </c>
      <c r="D3">
        <v>47.75</v>
      </c>
      <c r="E3">
        <v>0.95499999999999996</v>
      </c>
      <c r="F3">
        <v>1008.7188</v>
      </c>
      <c r="G3">
        <v>0</v>
      </c>
      <c r="H3">
        <v>0</v>
      </c>
      <c r="I3">
        <v>77.59375</v>
      </c>
      <c r="J3">
        <v>1</v>
      </c>
      <c r="K3">
        <v>0</v>
      </c>
      <c r="L3">
        <v>155.1875</v>
      </c>
      <c r="M3">
        <v>0</v>
      </c>
      <c r="N3">
        <v>0.58366492146596904</v>
      </c>
      <c r="O3">
        <v>0</v>
      </c>
      <c r="P3">
        <v>12</v>
      </c>
      <c r="Q3">
        <v>1.5</v>
      </c>
      <c r="R3">
        <v>0</v>
      </c>
      <c r="S3">
        <v>1255</v>
      </c>
      <c r="T3">
        <v>50</v>
      </c>
      <c r="U3">
        <v>77.593800000000002</v>
      </c>
      <c r="V3">
        <v>47.75</v>
      </c>
      <c r="W3">
        <v>0</v>
      </c>
      <c r="X3">
        <v>0</v>
      </c>
      <c r="Y3">
        <v>155.1875</v>
      </c>
      <c r="Z3">
        <v>0</v>
      </c>
      <c r="AA3" s="2">
        <v>45642</v>
      </c>
      <c r="AB3" t="s">
        <v>1745</v>
      </c>
      <c r="AC3">
        <v>65</v>
      </c>
      <c r="AD3">
        <v>50.19</v>
      </c>
      <c r="AE3">
        <v>2.44</v>
      </c>
      <c r="AF3">
        <v>5</v>
      </c>
      <c r="AG3">
        <v>60</v>
      </c>
      <c r="AH3">
        <v>27.87</v>
      </c>
      <c r="AI3">
        <v>19.87</v>
      </c>
      <c r="AJ3">
        <v>11.07</v>
      </c>
      <c r="AK3">
        <v>7.87</v>
      </c>
      <c r="AL3">
        <v>1.3</v>
      </c>
      <c r="AM3">
        <v>72</v>
      </c>
      <c r="AN3">
        <v>0</v>
      </c>
      <c r="AO3">
        <v>0</v>
      </c>
      <c r="AP3">
        <v>47.75</v>
      </c>
      <c r="AQ3">
        <v>0.1</v>
      </c>
      <c r="AR3">
        <v>0.05</v>
      </c>
      <c r="AS3">
        <v>0.7</v>
      </c>
      <c r="AT3">
        <v>32.5</v>
      </c>
      <c r="AU3">
        <v>0</v>
      </c>
      <c r="AV3">
        <v>0.65</v>
      </c>
      <c r="AW3">
        <v>0.98</v>
      </c>
      <c r="AX3">
        <v>0.96</v>
      </c>
      <c r="AY3">
        <v>0.94</v>
      </c>
      <c r="AZ3">
        <v>0.2</v>
      </c>
      <c r="BA3">
        <v>0.1</v>
      </c>
      <c r="BB3">
        <v>0.05</v>
      </c>
      <c r="BC3">
        <v>0.05</v>
      </c>
      <c r="BD3">
        <v>50</v>
      </c>
      <c r="BE3">
        <v>0</v>
      </c>
      <c r="BF3">
        <v>0</v>
      </c>
      <c r="BG3">
        <v>707.05</v>
      </c>
    </row>
    <row r="4" spans="1:59" hidden="1" x14ac:dyDescent="0.25">
      <c r="A4" t="s">
        <v>114</v>
      </c>
      <c r="B4">
        <v>60</v>
      </c>
      <c r="C4">
        <v>59.9</v>
      </c>
      <c r="D4">
        <v>59.9</v>
      </c>
      <c r="E4">
        <v>1</v>
      </c>
      <c r="F4">
        <v>1265.3875</v>
      </c>
      <c r="G4">
        <v>389.34999999999997</v>
      </c>
      <c r="H4">
        <v>0</v>
      </c>
      <c r="I4">
        <v>0</v>
      </c>
      <c r="J4">
        <v>1</v>
      </c>
      <c r="K4">
        <v>1.0989010989011E-2</v>
      </c>
      <c r="L4">
        <v>194.67500000000001</v>
      </c>
      <c r="M4">
        <v>0</v>
      </c>
      <c r="N4">
        <v>0.79415692821368999</v>
      </c>
      <c r="O4">
        <v>97.337500000000006</v>
      </c>
      <c r="P4">
        <v>83.57</v>
      </c>
      <c r="Q4">
        <v>1.5</v>
      </c>
      <c r="R4">
        <v>0</v>
      </c>
      <c r="S4">
        <v>2031.82</v>
      </c>
      <c r="T4">
        <v>50</v>
      </c>
      <c r="U4">
        <v>389.35</v>
      </c>
      <c r="V4">
        <v>59.9</v>
      </c>
      <c r="W4">
        <v>0</v>
      </c>
      <c r="X4">
        <v>0</v>
      </c>
      <c r="Y4">
        <v>194.67500000000001</v>
      </c>
      <c r="Z4">
        <v>10</v>
      </c>
      <c r="AA4" s="2">
        <v>45642</v>
      </c>
      <c r="AB4" t="s">
        <v>1788</v>
      </c>
      <c r="AC4">
        <v>70</v>
      </c>
      <c r="AD4">
        <v>60.07</v>
      </c>
      <c r="AE4">
        <v>0.17</v>
      </c>
      <c r="AF4">
        <v>22</v>
      </c>
      <c r="AG4">
        <v>48</v>
      </c>
      <c r="AH4">
        <v>47.57</v>
      </c>
      <c r="AI4">
        <v>12.33</v>
      </c>
      <c r="AJ4">
        <v>36.67</v>
      </c>
      <c r="AK4">
        <v>30.41</v>
      </c>
      <c r="AL4">
        <v>1.17</v>
      </c>
      <c r="AM4">
        <v>91</v>
      </c>
      <c r="AN4">
        <v>0</v>
      </c>
      <c r="AO4">
        <v>1</v>
      </c>
      <c r="AP4">
        <v>59.9</v>
      </c>
      <c r="AQ4">
        <v>0.1</v>
      </c>
      <c r="AR4">
        <v>0.05</v>
      </c>
      <c r="AS4">
        <v>0.7</v>
      </c>
      <c r="AT4">
        <v>32.5</v>
      </c>
      <c r="AU4">
        <v>0</v>
      </c>
      <c r="AV4">
        <v>0.65</v>
      </c>
      <c r="AW4">
        <v>0.98</v>
      </c>
      <c r="AX4">
        <v>0.96</v>
      </c>
      <c r="AY4">
        <v>0.94</v>
      </c>
      <c r="AZ4">
        <v>0.2</v>
      </c>
      <c r="BA4">
        <v>0.1</v>
      </c>
      <c r="BB4">
        <v>0.05</v>
      </c>
      <c r="BC4">
        <v>0.05</v>
      </c>
      <c r="BD4">
        <v>50</v>
      </c>
      <c r="BE4">
        <v>0</v>
      </c>
      <c r="BF4">
        <v>0</v>
      </c>
      <c r="BG4">
        <v>852.67</v>
      </c>
    </row>
    <row r="5" spans="1:59" hidden="1" x14ac:dyDescent="0.25">
      <c r="A5" t="s">
        <v>114</v>
      </c>
      <c r="B5">
        <v>50</v>
      </c>
      <c r="C5">
        <v>0.08</v>
      </c>
      <c r="D5">
        <v>0.08</v>
      </c>
      <c r="E5">
        <v>1.6000000000000001E-3</v>
      </c>
      <c r="F5">
        <v>1.69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1.69</v>
      </c>
      <c r="T5">
        <v>50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 s="2">
        <v>45642</v>
      </c>
      <c r="AB5" t="s">
        <v>1816</v>
      </c>
      <c r="AC5">
        <v>0</v>
      </c>
      <c r="AD5">
        <v>0.08</v>
      </c>
      <c r="AE5">
        <v>0</v>
      </c>
      <c r="AF5">
        <v>0</v>
      </c>
      <c r="AG5">
        <v>0</v>
      </c>
      <c r="AH5">
        <v>0</v>
      </c>
      <c r="AI5">
        <v>0.08</v>
      </c>
      <c r="AJ5">
        <v>0</v>
      </c>
      <c r="AK5">
        <v>0</v>
      </c>
      <c r="AL5">
        <v>0</v>
      </c>
      <c r="AM5">
        <v>0</v>
      </c>
      <c r="AN5">
        <v>1</v>
      </c>
      <c r="AO5">
        <v>0</v>
      </c>
      <c r="AP5">
        <v>0</v>
      </c>
      <c r="AQ5">
        <v>0.1</v>
      </c>
      <c r="AR5">
        <v>0.05</v>
      </c>
      <c r="AS5">
        <v>0.7</v>
      </c>
      <c r="AT5">
        <v>32.5</v>
      </c>
      <c r="AU5">
        <v>0</v>
      </c>
      <c r="AV5">
        <v>0.65</v>
      </c>
      <c r="AW5">
        <v>0.98</v>
      </c>
      <c r="AX5">
        <v>0.96</v>
      </c>
      <c r="AY5">
        <v>0.94</v>
      </c>
      <c r="AZ5">
        <v>0.2</v>
      </c>
      <c r="BA5">
        <v>0.1</v>
      </c>
      <c r="BB5">
        <v>0.05</v>
      </c>
      <c r="BC5">
        <v>0.05</v>
      </c>
      <c r="BD5">
        <v>50</v>
      </c>
      <c r="BE5">
        <v>0</v>
      </c>
      <c r="BF5">
        <v>0.08</v>
      </c>
      <c r="BG5">
        <v>0</v>
      </c>
    </row>
    <row r="6" spans="1:59" hidden="1" x14ac:dyDescent="0.25">
      <c r="A6" t="s">
        <v>114</v>
      </c>
      <c r="B6">
        <v>173</v>
      </c>
      <c r="C6">
        <v>173.22</v>
      </c>
      <c r="D6">
        <v>173</v>
      </c>
      <c r="E6">
        <v>1</v>
      </c>
      <c r="F6">
        <v>3654.625</v>
      </c>
      <c r="G6">
        <v>1124.5</v>
      </c>
      <c r="H6">
        <v>0</v>
      </c>
      <c r="I6">
        <v>0</v>
      </c>
      <c r="J6">
        <v>0.94900849858356895</v>
      </c>
      <c r="K6">
        <v>4.7761194029850698E-2</v>
      </c>
      <c r="L6">
        <v>0</v>
      </c>
      <c r="M6">
        <v>281.125</v>
      </c>
      <c r="N6">
        <v>0.84984412885348104</v>
      </c>
      <c r="O6">
        <v>281.125</v>
      </c>
      <c r="P6">
        <v>144.33000000000001</v>
      </c>
      <c r="Q6">
        <v>15.9</v>
      </c>
      <c r="R6">
        <v>0</v>
      </c>
      <c r="S6">
        <v>5501.6049999999996</v>
      </c>
      <c r="T6">
        <v>150</v>
      </c>
      <c r="U6">
        <v>1124.5</v>
      </c>
      <c r="V6">
        <v>0</v>
      </c>
      <c r="W6">
        <v>173</v>
      </c>
      <c r="X6">
        <v>16</v>
      </c>
      <c r="Y6">
        <v>281.125</v>
      </c>
      <c r="Z6">
        <v>23</v>
      </c>
      <c r="AA6" s="2">
        <v>45642</v>
      </c>
      <c r="AB6" t="s">
        <v>1747</v>
      </c>
      <c r="AC6">
        <v>272</v>
      </c>
      <c r="AD6">
        <v>173.93</v>
      </c>
      <c r="AE6">
        <v>0.71</v>
      </c>
      <c r="AF6">
        <v>62</v>
      </c>
      <c r="AG6">
        <v>210</v>
      </c>
      <c r="AH6">
        <v>147.21</v>
      </c>
      <c r="AI6">
        <v>25.990000000000002</v>
      </c>
      <c r="AJ6">
        <v>77.55</v>
      </c>
      <c r="AK6">
        <v>67.070000000000007</v>
      </c>
      <c r="AL6">
        <v>4.5199999999999996</v>
      </c>
      <c r="AM6">
        <v>335</v>
      </c>
      <c r="AN6">
        <v>2</v>
      </c>
      <c r="AO6">
        <v>16</v>
      </c>
      <c r="AP6">
        <v>0</v>
      </c>
      <c r="AQ6">
        <v>0.1</v>
      </c>
      <c r="AR6">
        <v>0.05</v>
      </c>
      <c r="AS6">
        <v>0.7</v>
      </c>
      <c r="AT6">
        <v>32.5</v>
      </c>
      <c r="AU6">
        <v>0</v>
      </c>
      <c r="AV6">
        <v>0.65</v>
      </c>
      <c r="AW6">
        <v>0.98</v>
      </c>
      <c r="AX6">
        <v>0.96</v>
      </c>
      <c r="AY6">
        <v>0.94</v>
      </c>
      <c r="AZ6">
        <v>0.2</v>
      </c>
      <c r="BA6">
        <v>0.1</v>
      </c>
      <c r="BB6">
        <v>0.05</v>
      </c>
      <c r="BC6">
        <v>0.05</v>
      </c>
      <c r="BD6">
        <v>150</v>
      </c>
      <c r="BE6">
        <v>0</v>
      </c>
      <c r="BF6">
        <v>0</v>
      </c>
      <c r="BG6">
        <v>3186.6</v>
      </c>
    </row>
    <row r="7" spans="1:59" hidden="1" x14ac:dyDescent="0.25">
      <c r="A7" t="s">
        <v>114</v>
      </c>
      <c r="B7">
        <v>50</v>
      </c>
      <c r="C7">
        <v>11.200000000000001</v>
      </c>
      <c r="D7">
        <v>11.200000000000001</v>
      </c>
      <c r="E7">
        <v>0.224</v>
      </c>
      <c r="F7">
        <v>0</v>
      </c>
      <c r="G7">
        <v>0</v>
      </c>
      <c r="H7">
        <v>0</v>
      </c>
      <c r="I7">
        <v>0</v>
      </c>
      <c r="J7">
        <v>0.76190476190476197</v>
      </c>
      <c r="K7">
        <v>0</v>
      </c>
      <c r="L7">
        <v>0</v>
      </c>
      <c r="M7">
        <v>0</v>
      </c>
      <c r="N7">
        <v>0.621428571428571</v>
      </c>
      <c r="O7">
        <v>0</v>
      </c>
      <c r="P7">
        <v>4.49</v>
      </c>
      <c r="Q7">
        <v>0</v>
      </c>
      <c r="R7">
        <v>136.29</v>
      </c>
      <c r="S7">
        <v>140.78</v>
      </c>
      <c r="T7">
        <v>50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 s="2">
        <v>45642</v>
      </c>
      <c r="AB7" t="s">
        <v>1746</v>
      </c>
      <c r="AC7">
        <v>16</v>
      </c>
      <c r="AD7">
        <v>11.22</v>
      </c>
      <c r="AE7">
        <v>0.02</v>
      </c>
      <c r="AF7">
        <v>5</v>
      </c>
      <c r="AG7">
        <v>11</v>
      </c>
      <c r="AH7">
        <v>6.96</v>
      </c>
      <c r="AI7">
        <v>4.24</v>
      </c>
      <c r="AJ7">
        <v>4.7300000000000004</v>
      </c>
      <c r="AK7">
        <v>4.55</v>
      </c>
      <c r="AL7">
        <v>1.43</v>
      </c>
      <c r="AM7">
        <v>16</v>
      </c>
      <c r="AN7">
        <v>5</v>
      </c>
      <c r="AO7">
        <v>0</v>
      </c>
      <c r="AP7">
        <v>0</v>
      </c>
      <c r="AQ7">
        <v>0.1</v>
      </c>
      <c r="AR7">
        <v>0.05</v>
      </c>
      <c r="AS7">
        <v>0.7</v>
      </c>
      <c r="AT7">
        <v>32.5</v>
      </c>
      <c r="AU7">
        <v>0</v>
      </c>
      <c r="AV7">
        <v>0.65</v>
      </c>
      <c r="AW7">
        <v>0.98</v>
      </c>
      <c r="AX7">
        <v>0.96</v>
      </c>
      <c r="AY7">
        <v>0.94</v>
      </c>
      <c r="AZ7">
        <v>0.2</v>
      </c>
      <c r="BA7">
        <v>0.1</v>
      </c>
      <c r="BB7">
        <v>0.05</v>
      </c>
      <c r="BC7">
        <v>0.05</v>
      </c>
      <c r="BD7">
        <v>50</v>
      </c>
      <c r="BE7">
        <v>0</v>
      </c>
      <c r="BF7">
        <v>11.200000000000001</v>
      </c>
      <c r="BG7">
        <v>136.29</v>
      </c>
    </row>
    <row r="8" spans="1:59" hidden="1" x14ac:dyDescent="0.25">
      <c r="A8" t="s">
        <v>114</v>
      </c>
      <c r="B8">
        <v>50</v>
      </c>
      <c r="C8">
        <v>51.21</v>
      </c>
      <c r="D8">
        <v>50</v>
      </c>
      <c r="E8">
        <v>1</v>
      </c>
      <c r="F8">
        <v>1056.25</v>
      </c>
      <c r="G8">
        <v>325</v>
      </c>
      <c r="H8">
        <v>0</v>
      </c>
      <c r="I8">
        <v>0</v>
      </c>
      <c r="J8">
        <v>1</v>
      </c>
      <c r="K8">
        <v>2.1505376344085999E-2</v>
      </c>
      <c r="L8">
        <v>162.5</v>
      </c>
      <c r="M8">
        <v>0</v>
      </c>
      <c r="N8">
        <v>0.79125170865065397</v>
      </c>
      <c r="O8">
        <v>81.25</v>
      </c>
      <c r="P8">
        <v>109.67</v>
      </c>
      <c r="Q8">
        <v>0</v>
      </c>
      <c r="R8">
        <v>0</v>
      </c>
      <c r="S8">
        <v>1734.67</v>
      </c>
      <c r="T8">
        <v>50</v>
      </c>
      <c r="U8">
        <v>325</v>
      </c>
      <c r="V8">
        <v>50</v>
      </c>
      <c r="W8">
        <v>0</v>
      </c>
      <c r="X8">
        <v>0</v>
      </c>
      <c r="Y8">
        <v>162.5</v>
      </c>
      <c r="Z8">
        <v>0</v>
      </c>
      <c r="AA8" s="2">
        <v>45642</v>
      </c>
      <c r="AB8" t="s">
        <v>1787</v>
      </c>
      <c r="AC8">
        <v>72</v>
      </c>
      <c r="AD8">
        <v>51.21</v>
      </c>
      <c r="AE8">
        <v>0</v>
      </c>
      <c r="AF8">
        <v>12</v>
      </c>
      <c r="AG8">
        <v>60</v>
      </c>
      <c r="AH8">
        <v>40.520000000000003</v>
      </c>
      <c r="AI8">
        <v>10.68</v>
      </c>
      <c r="AJ8">
        <v>13.44</v>
      </c>
      <c r="AK8">
        <v>12.82</v>
      </c>
      <c r="AL8">
        <v>1.41</v>
      </c>
      <c r="AM8">
        <v>93</v>
      </c>
      <c r="AN8">
        <v>0</v>
      </c>
      <c r="AO8">
        <v>2</v>
      </c>
      <c r="AP8">
        <v>51.21</v>
      </c>
      <c r="AQ8">
        <v>0.1</v>
      </c>
      <c r="AR8">
        <v>0.05</v>
      </c>
      <c r="AS8">
        <v>0.7</v>
      </c>
      <c r="AT8">
        <v>32.5</v>
      </c>
      <c r="AU8">
        <v>0</v>
      </c>
      <c r="AV8">
        <v>0.65</v>
      </c>
      <c r="AW8">
        <v>0.98</v>
      </c>
      <c r="AX8">
        <v>0.96</v>
      </c>
      <c r="AY8">
        <v>0.94</v>
      </c>
      <c r="AZ8">
        <v>0.2</v>
      </c>
      <c r="BA8">
        <v>0.1</v>
      </c>
      <c r="BB8">
        <v>0.05</v>
      </c>
      <c r="BC8">
        <v>0.05</v>
      </c>
      <c r="BD8">
        <v>50</v>
      </c>
      <c r="BE8">
        <v>0</v>
      </c>
      <c r="BF8">
        <v>0</v>
      </c>
      <c r="BG8">
        <v>928.16</v>
      </c>
    </row>
    <row r="9" spans="1:59" hidden="1" x14ac:dyDescent="0.25">
      <c r="A9" t="s">
        <v>114</v>
      </c>
      <c r="B9">
        <v>84</v>
      </c>
      <c r="C9">
        <v>83.22999999999999</v>
      </c>
      <c r="D9">
        <v>83.22999999999999</v>
      </c>
      <c r="E9">
        <v>1</v>
      </c>
      <c r="F9">
        <v>1758.2338</v>
      </c>
      <c r="G9">
        <v>540.99499999999989</v>
      </c>
      <c r="H9">
        <v>0</v>
      </c>
      <c r="I9">
        <v>0</v>
      </c>
      <c r="J9">
        <v>0.98795180722891596</v>
      </c>
      <c r="K9">
        <v>1.8292682926829298E-2</v>
      </c>
      <c r="L9">
        <v>270.4975</v>
      </c>
      <c r="M9">
        <v>0</v>
      </c>
      <c r="N9">
        <v>0.89619127718370795</v>
      </c>
      <c r="O9">
        <v>135.24879999999999</v>
      </c>
      <c r="P9">
        <v>100.21</v>
      </c>
      <c r="Q9">
        <v>8.1999999999999993</v>
      </c>
      <c r="R9">
        <v>0</v>
      </c>
      <c r="S9">
        <v>2813.3850000000002</v>
      </c>
      <c r="T9">
        <v>50</v>
      </c>
      <c r="U9">
        <v>540.995</v>
      </c>
      <c r="V9">
        <v>83.22999999999999</v>
      </c>
      <c r="W9">
        <v>0</v>
      </c>
      <c r="X9">
        <v>2</v>
      </c>
      <c r="Y9">
        <v>270.4975</v>
      </c>
      <c r="Z9">
        <v>34</v>
      </c>
      <c r="AA9" s="2">
        <v>45642</v>
      </c>
      <c r="AB9" t="s">
        <v>1716</v>
      </c>
      <c r="AC9">
        <v>150</v>
      </c>
      <c r="AD9">
        <v>83.88</v>
      </c>
      <c r="AE9">
        <v>0.65</v>
      </c>
      <c r="AF9">
        <v>17</v>
      </c>
      <c r="AG9">
        <v>133</v>
      </c>
      <c r="AH9">
        <v>74.59</v>
      </c>
      <c r="AI9">
        <v>8.64</v>
      </c>
      <c r="AJ9">
        <v>15.33</v>
      </c>
      <c r="AK9">
        <v>14.15</v>
      </c>
      <c r="AL9">
        <v>1.79</v>
      </c>
      <c r="AM9">
        <v>164</v>
      </c>
      <c r="AN9">
        <v>0</v>
      </c>
      <c r="AO9">
        <v>3</v>
      </c>
      <c r="AP9">
        <v>83.22999999999999</v>
      </c>
      <c r="AQ9">
        <v>0.1</v>
      </c>
      <c r="AR9">
        <v>0.05</v>
      </c>
      <c r="AS9">
        <v>0.7</v>
      </c>
      <c r="AT9">
        <v>32.5</v>
      </c>
      <c r="AU9">
        <v>0</v>
      </c>
      <c r="AV9">
        <v>0.65</v>
      </c>
      <c r="AW9">
        <v>0.98</v>
      </c>
      <c r="AX9">
        <v>0.96</v>
      </c>
      <c r="AY9">
        <v>0.94</v>
      </c>
      <c r="AZ9">
        <v>0.2</v>
      </c>
      <c r="BA9">
        <v>0.1</v>
      </c>
      <c r="BB9">
        <v>0.05</v>
      </c>
      <c r="BC9">
        <v>0.05</v>
      </c>
      <c r="BD9">
        <v>50</v>
      </c>
      <c r="BE9">
        <v>0</v>
      </c>
      <c r="BF9">
        <v>0</v>
      </c>
      <c r="BG9">
        <v>1797.35</v>
      </c>
    </row>
    <row r="10" spans="1:59" hidden="1" x14ac:dyDescent="0.25">
      <c r="A10" t="s">
        <v>114</v>
      </c>
      <c r="B10">
        <v>52</v>
      </c>
      <c r="C10">
        <v>52</v>
      </c>
      <c r="D10">
        <v>52</v>
      </c>
      <c r="E10">
        <v>1</v>
      </c>
      <c r="F10">
        <v>1098.5</v>
      </c>
      <c r="G10">
        <v>338</v>
      </c>
      <c r="H10">
        <v>0</v>
      </c>
      <c r="I10">
        <v>0</v>
      </c>
      <c r="J10">
        <v>0.85483870967741904</v>
      </c>
      <c r="K10">
        <v>1.88679245283019E-2</v>
      </c>
      <c r="L10">
        <v>0</v>
      </c>
      <c r="M10">
        <v>0</v>
      </c>
      <c r="N10">
        <v>0.74</v>
      </c>
      <c r="O10">
        <v>84.5</v>
      </c>
      <c r="P10">
        <v>46</v>
      </c>
      <c r="Q10">
        <v>0</v>
      </c>
      <c r="R10">
        <v>0</v>
      </c>
      <c r="S10">
        <v>1567</v>
      </c>
      <c r="T10">
        <v>50</v>
      </c>
      <c r="U10">
        <v>338</v>
      </c>
      <c r="V10">
        <v>0</v>
      </c>
      <c r="W10">
        <v>0</v>
      </c>
      <c r="X10">
        <v>9</v>
      </c>
      <c r="Y10">
        <v>0</v>
      </c>
      <c r="Z10">
        <v>2</v>
      </c>
      <c r="AA10" s="2">
        <v>45642</v>
      </c>
      <c r="AB10" t="s">
        <v>1751</v>
      </c>
      <c r="AC10">
        <v>51</v>
      </c>
      <c r="AD10">
        <v>52.45</v>
      </c>
      <c r="AE10">
        <v>0.45</v>
      </c>
      <c r="AF10">
        <v>21</v>
      </c>
      <c r="AG10">
        <v>30</v>
      </c>
      <c r="AH10">
        <v>38.479999999999997</v>
      </c>
      <c r="AI10">
        <v>13.51</v>
      </c>
      <c r="AJ10">
        <v>33.32</v>
      </c>
      <c r="AK10">
        <v>25.37</v>
      </c>
      <c r="AL10">
        <v>0.97</v>
      </c>
      <c r="AM10">
        <v>53</v>
      </c>
      <c r="AN10">
        <v>0</v>
      </c>
      <c r="AO10">
        <v>1</v>
      </c>
      <c r="AP10">
        <v>0</v>
      </c>
      <c r="AQ10">
        <v>0.1</v>
      </c>
      <c r="AR10">
        <v>0.05</v>
      </c>
      <c r="AS10">
        <v>0.7</v>
      </c>
      <c r="AT10">
        <v>32.5</v>
      </c>
      <c r="AU10">
        <v>0</v>
      </c>
      <c r="AV10">
        <v>0.65</v>
      </c>
      <c r="AW10">
        <v>0.98</v>
      </c>
      <c r="AX10">
        <v>0.96</v>
      </c>
      <c r="AY10">
        <v>0.94</v>
      </c>
      <c r="AZ10">
        <v>0.2</v>
      </c>
      <c r="BA10">
        <v>0.1</v>
      </c>
      <c r="BB10">
        <v>0.05</v>
      </c>
      <c r="BC10">
        <v>0.05</v>
      </c>
      <c r="BD10">
        <v>50</v>
      </c>
      <c r="BE10">
        <v>0</v>
      </c>
      <c r="BF10">
        <v>52</v>
      </c>
      <c r="BG10">
        <v>694.75</v>
      </c>
    </row>
    <row r="11" spans="1:59" hidden="1" x14ac:dyDescent="0.25">
      <c r="A11" t="s">
        <v>114</v>
      </c>
      <c r="B11">
        <v>51</v>
      </c>
      <c r="C11">
        <v>50.620000000000005</v>
      </c>
      <c r="D11">
        <v>50.620000000000005</v>
      </c>
      <c r="E11">
        <v>1</v>
      </c>
      <c r="F11">
        <v>1069.3475000000001</v>
      </c>
      <c r="G11">
        <v>329.03000000000003</v>
      </c>
      <c r="H11">
        <v>0</v>
      </c>
      <c r="I11">
        <v>0</v>
      </c>
      <c r="J11">
        <v>0.81707317073170704</v>
      </c>
      <c r="K11">
        <v>0</v>
      </c>
      <c r="L11">
        <v>0</v>
      </c>
      <c r="M11">
        <v>0</v>
      </c>
      <c r="N11">
        <v>0.73883840379296695</v>
      </c>
      <c r="O11">
        <v>82.257499999999993</v>
      </c>
      <c r="P11">
        <v>43.78</v>
      </c>
      <c r="Q11">
        <v>0</v>
      </c>
      <c r="R11">
        <v>0</v>
      </c>
      <c r="S11">
        <v>1524.415</v>
      </c>
      <c r="T11">
        <v>50</v>
      </c>
      <c r="U11">
        <v>329.03</v>
      </c>
      <c r="V11">
        <v>0</v>
      </c>
      <c r="W11">
        <v>0</v>
      </c>
      <c r="X11">
        <v>14</v>
      </c>
      <c r="Y11">
        <v>0</v>
      </c>
      <c r="Z11">
        <v>1</v>
      </c>
      <c r="AA11" s="2">
        <v>45642</v>
      </c>
      <c r="AB11" t="s">
        <v>1742</v>
      </c>
      <c r="AC11">
        <v>61</v>
      </c>
      <c r="AD11">
        <v>51.03</v>
      </c>
      <c r="AE11">
        <v>0.41</v>
      </c>
      <c r="AF11">
        <v>13</v>
      </c>
      <c r="AG11">
        <v>48</v>
      </c>
      <c r="AH11">
        <v>37.4</v>
      </c>
      <c r="AI11">
        <v>13.23</v>
      </c>
      <c r="AJ11">
        <v>15.81</v>
      </c>
      <c r="AK11">
        <v>13.48</v>
      </c>
      <c r="AL11">
        <v>1.2</v>
      </c>
      <c r="AM11">
        <v>67</v>
      </c>
      <c r="AN11">
        <v>1</v>
      </c>
      <c r="AO11">
        <v>0</v>
      </c>
      <c r="AP11">
        <v>0</v>
      </c>
      <c r="AQ11">
        <v>0.1</v>
      </c>
      <c r="AR11">
        <v>0.05</v>
      </c>
      <c r="AS11">
        <v>0.7</v>
      </c>
      <c r="AT11">
        <v>32.5</v>
      </c>
      <c r="AU11">
        <v>0</v>
      </c>
      <c r="AV11">
        <v>0.65</v>
      </c>
      <c r="AW11">
        <v>0.98</v>
      </c>
      <c r="AX11">
        <v>0.96</v>
      </c>
      <c r="AY11">
        <v>0.94</v>
      </c>
      <c r="AZ11">
        <v>0.2</v>
      </c>
      <c r="BA11">
        <v>0.1</v>
      </c>
      <c r="BB11">
        <v>0.05</v>
      </c>
      <c r="BC11">
        <v>0.05</v>
      </c>
      <c r="BD11">
        <v>50</v>
      </c>
      <c r="BE11">
        <v>0</v>
      </c>
      <c r="BF11">
        <v>50.620000000000005</v>
      </c>
      <c r="BG11">
        <v>747.08</v>
      </c>
    </row>
    <row r="12" spans="1:59" hidden="1" x14ac:dyDescent="0.25">
      <c r="A12" t="s">
        <v>114</v>
      </c>
      <c r="B12">
        <v>425</v>
      </c>
      <c r="C12">
        <v>407.07000000000005</v>
      </c>
      <c r="D12">
        <v>407.07000000000005</v>
      </c>
      <c r="E12">
        <v>0.95781176470588203</v>
      </c>
      <c r="F12">
        <v>8599.3538000000008</v>
      </c>
      <c r="G12">
        <v>0</v>
      </c>
      <c r="H12">
        <v>0</v>
      </c>
      <c r="I12">
        <v>661.4887500000001</v>
      </c>
      <c r="J12">
        <v>0.91304347826086996</v>
      </c>
      <c r="K12">
        <v>1.8062397372742199E-2</v>
      </c>
      <c r="L12">
        <v>0</v>
      </c>
      <c r="M12">
        <v>0</v>
      </c>
      <c r="N12">
        <v>0.79052742771513496</v>
      </c>
      <c r="O12">
        <v>661.48879999999997</v>
      </c>
      <c r="P12">
        <v>476.63</v>
      </c>
      <c r="Q12">
        <v>31.9</v>
      </c>
      <c r="R12">
        <v>0</v>
      </c>
      <c r="S12">
        <v>10430.8613</v>
      </c>
      <c r="T12">
        <v>425</v>
      </c>
      <c r="U12">
        <v>661.48879999999997</v>
      </c>
      <c r="V12">
        <v>0</v>
      </c>
      <c r="W12">
        <v>0</v>
      </c>
      <c r="X12">
        <v>51</v>
      </c>
      <c r="Y12">
        <v>0</v>
      </c>
      <c r="Z12">
        <v>0</v>
      </c>
      <c r="AA12" s="2">
        <v>45642</v>
      </c>
      <c r="AB12" t="s">
        <v>1670</v>
      </c>
      <c r="AC12">
        <v>533</v>
      </c>
      <c r="AD12">
        <v>412.7299999999999</v>
      </c>
      <c r="AE12">
        <v>5.66</v>
      </c>
      <c r="AF12">
        <v>190</v>
      </c>
      <c r="AG12">
        <v>343</v>
      </c>
      <c r="AH12">
        <v>321.8</v>
      </c>
      <c r="AI12">
        <v>85.26</v>
      </c>
      <c r="AJ12">
        <v>184.28000000000003</v>
      </c>
      <c r="AK12">
        <v>166.35</v>
      </c>
      <c r="AL12">
        <v>11.78</v>
      </c>
      <c r="AM12">
        <v>609</v>
      </c>
      <c r="AN12">
        <v>7</v>
      </c>
      <c r="AO12">
        <v>11</v>
      </c>
      <c r="AP12">
        <v>298.23</v>
      </c>
      <c r="AQ12">
        <v>0.1</v>
      </c>
      <c r="AR12">
        <v>0.05</v>
      </c>
      <c r="AS12">
        <v>0.7</v>
      </c>
      <c r="AT12">
        <v>32.5</v>
      </c>
      <c r="AU12">
        <v>0</v>
      </c>
      <c r="AV12">
        <v>0.65</v>
      </c>
      <c r="AW12">
        <v>0.98</v>
      </c>
      <c r="AX12">
        <v>0.96</v>
      </c>
      <c r="AY12">
        <v>0.94</v>
      </c>
      <c r="AZ12">
        <v>0.2</v>
      </c>
      <c r="BA12">
        <v>0.1</v>
      </c>
      <c r="BB12">
        <v>0.05</v>
      </c>
      <c r="BC12">
        <v>0.05</v>
      </c>
      <c r="BD12">
        <v>425</v>
      </c>
      <c r="BE12">
        <v>0</v>
      </c>
      <c r="BF12">
        <v>407.07000000000005</v>
      </c>
      <c r="BG12">
        <v>6937.4699999999993</v>
      </c>
    </row>
    <row r="13" spans="1:59" hidden="1" x14ac:dyDescent="0.25">
      <c r="A13" t="s">
        <v>114</v>
      </c>
      <c r="B13">
        <v>51</v>
      </c>
      <c r="C13">
        <v>50.5</v>
      </c>
      <c r="D13">
        <v>50.5</v>
      </c>
      <c r="E13">
        <v>1</v>
      </c>
      <c r="F13">
        <v>1066.8125</v>
      </c>
      <c r="G13">
        <v>328.25</v>
      </c>
      <c r="H13">
        <v>0</v>
      </c>
      <c r="I13">
        <v>0</v>
      </c>
      <c r="J13">
        <v>0.98750000000000004</v>
      </c>
      <c r="K13">
        <v>0</v>
      </c>
      <c r="L13">
        <v>164.125</v>
      </c>
      <c r="M13">
        <v>0</v>
      </c>
      <c r="N13">
        <v>0.76019801980197999</v>
      </c>
      <c r="O13">
        <v>82.0625</v>
      </c>
      <c r="P13">
        <v>34</v>
      </c>
      <c r="Q13">
        <v>0</v>
      </c>
      <c r="R13">
        <v>0</v>
      </c>
      <c r="S13">
        <v>1675.25</v>
      </c>
      <c r="T13">
        <v>50</v>
      </c>
      <c r="U13">
        <v>328.25</v>
      </c>
      <c r="V13">
        <v>50.5</v>
      </c>
      <c r="W13">
        <v>0</v>
      </c>
      <c r="X13">
        <v>1</v>
      </c>
      <c r="Y13">
        <v>164.125</v>
      </c>
      <c r="Z13">
        <v>1</v>
      </c>
      <c r="AA13" s="2">
        <v>45642</v>
      </c>
      <c r="AB13" t="s">
        <v>1750</v>
      </c>
      <c r="AC13">
        <v>69</v>
      </c>
      <c r="AD13">
        <v>50.5</v>
      </c>
      <c r="AE13">
        <v>0</v>
      </c>
      <c r="AF13">
        <v>16</v>
      </c>
      <c r="AG13">
        <v>53</v>
      </c>
      <c r="AH13">
        <v>38.39</v>
      </c>
      <c r="AI13">
        <v>12.11</v>
      </c>
      <c r="AJ13">
        <v>19.920000000000002</v>
      </c>
      <c r="AK13">
        <v>18.309999999999999</v>
      </c>
      <c r="AL13">
        <v>1.37</v>
      </c>
      <c r="AM13">
        <v>79</v>
      </c>
      <c r="AN13">
        <v>0</v>
      </c>
      <c r="AO13">
        <v>0</v>
      </c>
      <c r="AP13">
        <v>50.5</v>
      </c>
      <c r="AQ13">
        <v>0.1</v>
      </c>
      <c r="AR13">
        <v>0.05</v>
      </c>
      <c r="AS13">
        <v>0.7</v>
      </c>
      <c r="AT13">
        <v>32.5</v>
      </c>
      <c r="AU13">
        <v>0</v>
      </c>
      <c r="AV13">
        <v>0.65</v>
      </c>
      <c r="AW13">
        <v>0.98</v>
      </c>
      <c r="AX13">
        <v>0.96</v>
      </c>
      <c r="AY13">
        <v>0.94</v>
      </c>
      <c r="AZ13">
        <v>0.2</v>
      </c>
      <c r="BA13">
        <v>0.1</v>
      </c>
      <c r="BB13">
        <v>0.05</v>
      </c>
      <c r="BC13">
        <v>0.05</v>
      </c>
      <c r="BD13">
        <v>50</v>
      </c>
      <c r="BE13">
        <v>0</v>
      </c>
      <c r="BF13">
        <v>0</v>
      </c>
      <c r="BG13">
        <v>755.55</v>
      </c>
    </row>
    <row r="14" spans="1:59" x14ac:dyDescent="0.25">
      <c r="A14" t="s">
        <v>114</v>
      </c>
      <c r="B14">
        <v>50</v>
      </c>
      <c r="C14">
        <v>32.56</v>
      </c>
      <c r="D14">
        <v>32.56</v>
      </c>
      <c r="E14">
        <v>0.6512</v>
      </c>
      <c r="F14">
        <v>0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0.93120393120393097</v>
      </c>
      <c r="O14">
        <v>0</v>
      </c>
      <c r="P14">
        <v>108.99</v>
      </c>
      <c r="Q14">
        <v>24</v>
      </c>
      <c r="R14">
        <v>648.21</v>
      </c>
      <c r="S14">
        <v>781.2</v>
      </c>
      <c r="T14">
        <v>50</v>
      </c>
      <c r="U14">
        <v>0</v>
      </c>
      <c r="V14">
        <v>32.56</v>
      </c>
      <c r="W14">
        <v>0</v>
      </c>
      <c r="X14">
        <v>0</v>
      </c>
      <c r="Y14">
        <v>0</v>
      </c>
      <c r="Z14">
        <v>0</v>
      </c>
      <c r="AA14" s="2">
        <v>45642</v>
      </c>
      <c r="AB14" t="s">
        <v>1667</v>
      </c>
      <c r="AC14">
        <v>52</v>
      </c>
      <c r="AD14">
        <v>39.340000000000003</v>
      </c>
      <c r="AE14">
        <v>6.78</v>
      </c>
      <c r="AF14">
        <v>24</v>
      </c>
      <c r="AG14">
        <v>28</v>
      </c>
      <c r="AH14">
        <v>30.32</v>
      </c>
      <c r="AI14">
        <v>2.2400000000000002</v>
      </c>
      <c r="AJ14">
        <v>21.68</v>
      </c>
      <c r="AK14">
        <v>17.32</v>
      </c>
      <c r="AL14">
        <v>1.32</v>
      </c>
      <c r="AM14">
        <v>58</v>
      </c>
      <c r="AN14">
        <v>0</v>
      </c>
      <c r="AO14">
        <v>0</v>
      </c>
      <c r="AP14">
        <v>32.56</v>
      </c>
      <c r="AQ14">
        <v>0.1</v>
      </c>
      <c r="AR14">
        <v>0.05</v>
      </c>
      <c r="AS14">
        <v>0.7</v>
      </c>
      <c r="AT14">
        <v>32.5</v>
      </c>
      <c r="AU14">
        <v>0</v>
      </c>
      <c r="AV14">
        <v>0.65</v>
      </c>
      <c r="AW14">
        <v>0.98</v>
      </c>
      <c r="AX14">
        <v>0.96</v>
      </c>
      <c r="AY14">
        <v>0.94</v>
      </c>
      <c r="AZ14">
        <v>0.2</v>
      </c>
      <c r="BA14">
        <v>0.1</v>
      </c>
      <c r="BB14">
        <v>0.05</v>
      </c>
      <c r="BC14">
        <v>0.05</v>
      </c>
      <c r="BD14">
        <v>50</v>
      </c>
      <c r="BE14">
        <v>0</v>
      </c>
      <c r="BF14">
        <v>0</v>
      </c>
      <c r="BG14">
        <v>648.21</v>
      </c>
    </row>
    <row r="15" spans="1:59" hidden="1" x14ac:dyDescent="0.25">
      <c r="A15" t="s">
        <v>114</v>
      </c>
      <c r="B15">
        <v>50</v>
      </c>
      <c r="C15">
        <v>47.85</v>
      </c>
      <c r="D15">
        <v>47.85</v>
      </c>
      <c r="E15">
        <v>0.95699999999999996</v>
      </c>
      <c r="F15">
        <v>1010.8312</v>
      </c>
      <c r="G15">
        <v>0</v>
      </c>
      <c r="H15">
        <v>0</v>
      </c>
      <c r="I15">
        <v>77.756250000000009</v>
      </c>
      <c r="J15">
        <v>1</v>
      </c>
      <c r="K15">
        <v>0</v>
      </c>
      <c r="L15">
        <v>155.51249999999999</v>
      </c>
      <c r="M15">
        <v>0</v>
      </c>
      <c r="N15">
        <v>0.76969696969696999</v>
      </c>
      <c r="O15">
        <v>77.756200000000007</v>
      </c>
      <c r="P15">
        <v>31.11</v>
      </c>
      <c r="Q15">
        <v>4</v>
      </c>
      <c r="R15">
        <v>0</v>
      </c>
      <c r="S15">
        <v>1356.9662000000001</v>
      </c>
      <c r="T15">
        <v>50</v>
      </c>
      <c r="U15">
        <v>77.756200000000007</v>
      </c>
      <c r="V15">
        <v>47.85</v>
      </c>
      <c r="W15">
        <v>0</v>
      </c>
      <c r="X15">
        <v>0</v>
      </c>
      <c r="Y15">
        <v>155.51249999999999</v>
      </c>
      <c r="Z15">
        <v>0</v>
      </c>
      <c r="AA15" s="2">
        <v>45642</v>
      </c>
      <c r="AB15" t="s">
        <v>1812</v>
      </c>
      <c r="AC15">
        <v>81</v>
      </c>
      <c r="AD15">
        <v>50.67</v>
      </c>
      <c r="AE15">
        <v>2.82</v>
      </c>
      <c r="AF15">
        <v>7</v>
      </c>
      <c r="AG15">
        <v>74</v>
      </c>
      <c r="AH15">
        <v>36.83</v>
      </c>
      <c r="AI15">
        <v>11.02</v>
      </c>
      <c r="AJ15">
        <v>3.49</v>
      </c>
      <c r="AK15">
        <v>3.17</v>
      </c>
      <c r="AL15">
        <v>1.6</v>
      </c>
      <c r="AM15">
        <v>87</v>
      </c>
      <c r="AN15">
        <v>0</v>
      </c>
      <c r="AO15">
        <v>0</v>
      </c>
      <c r="AP15">
        <v>47.85</v>
      </c>
      <c r="AQ15">
        <v>0.1</v>
      </c>
      <c r="AR15">
        <v>0.05</v>
      </c>
      <c r="AS15">
        <v>0.7</v>
      </c>
      <c r="AT15">
        <v>32.5</v>
      </c>
      <c r="AU15">
        <v>0</v>
      </c>
      <c r="AV15">
        <v>0.65</v>
      </c>
      <c r="AW15">
        <v>0.98</v>
      </c>
      <c r="AX15">
        <v>0.96</v>
      </c>
      <c r="AY15">
        <v>0.94</v>
      </c>
      <c r="AZ15">
        <v>0.2</v>
      </c>
      <c r="BA15">
        <v>0.1</v>
      </c>
      <c r="BB15">
        <v>0.05</v>
      </c>
      <c r="BC15">
        <v>0.05</v>
      </c>
      <c r="BD15">
        <v>50</v>
      </c>
      <c r="BE15">
        <v>0</v>
      </c>
      <c r="BF15">
        <v>0</v>
      </c>
      <c r="BG15">
        <v>838.33</v>
      </c>
    </row>
    <row r="16" spans="1:59" hidden="1" x14ac:dyDescent="0.25">
      <c r="A16" t="s">
        <v>114</v>
      </c>
      <c r="B16">
        <v>50</v>
      </c>
      <c r="C16">
        <v>48.290000000000006</v>
      </c>
      <c r="D16">
        <v>48.290000000000006</v>
      </c>
      <c r="E16">
        <v>0.96579999999999999</v>
      </c>
      <c r="F16">
        <v>1020.1262</v>
      </c>
      <c r="G16">
        <v>0</v>
      </c>
      <c r="H16">
        <v>156.94250000000002</v>
      </c>
      <c r="I16">
        <v>0</v>
      </c>
      <c r="J16">
        <v>1</v>
      </c>
      <c r="K16">
        <v>4.6511627906976702E-2</v>
      </c>
      <c r="L16">
        <v>0</v>
      </c>
      <c r="M16">
        <v>78.471199999999996</v>
      </c>
      <c r="N16">
        <v>0.67446676330503197</v>
      </c>
      <c r="O16">
        <v>0</v>
      </c>
      <c r="P16">
        <v>42</v>
      </c>
      <c r="Q16">
        <v>7.06</v>
      </c>
      <c r="R16">
        <v>0</v>
      </c>
      <c r="S16">
        <v>1304.5999999999999</v>
      </c>
      <c r="T16">
        <v>50</v>
      </c>
      <c r="U16">
        <v>156.9425</v>
      </c>
      <c r="V16">
        <v>0</v>
      </c>
      <c r="W16">
        <v>48.290000000000006</v>
      </c>
      <c r="X16">
        <v>0</v>
      </c>
      <c r="Y16">
        <v>78.471199999999996</v>
      </c>
      <c r="Z16">
        <v>0</v>
      </c>
      <c r="AA16" s="2">
        <v>45642</v>
      </c>
      <c r="AB16" t="s">
        <v>1699</v>
      </c>
      <c r="AC16">
        <v>58</v>
      </c>
      <c r="AD16">
        <v>50.02</v>
      </c>
      <c r="AE16">
        <v>1.73</v>
      </c>
      <c r="AF16">
        <v>8</v>
      </c>
      <c r="AG16">
        <v>50</v>
      </c>
      <c r="AH16">
        <v>32.57</v>
      </c>
      <c r="AI16">
        <v>15.73</v>
      </c>
      <c r="AJ16">
        <v>12.7</v>
      </c>
      <c r="AK16">
        <v>8.6199999999999992</v>
      </c>
      <c r="AL16">
        <v>1.1599999999999999</v>
      </c>
      <c r="AM16">
        <v>86</v>
      </c>
      <c r="AN16">
        <v>0</v>
      </c>
      <c r="AO16">
        <v>4</v>
      </c>
      <c r="AP16">
        <v>0</v>
      </c>
      <c r="AQ16">
        <v>0.1</v>
      </c>
      <c r="AR16">
        <v>0.05</v>
      </c>
      <c r="AS16">
        <v>0.7</v>
      </c>
      <c r="AT16">
        <v>32.5</v>
      </c>
      <c r="AU16">
        <v>0</v>
      </c>
      <c r="AV16">
        <v>0.65</v>
      </c>
      <c r="AW16">
        <v>0.98</v>
      </c>
      <c r="AX16">
        <v>0.96</v>
      </c>
      <c r="AY16">
        <v>0.94</v>
      </c>
      <c r="AZ16">
        <v>0.2</v>
      </c>
      <c r="BA16">
        <v>0.1</v>
      </c>
      <c r="BB16">
        <v>0.05</v>
      </c>
      <c r="BC16">
        <v>0.05</v>
      </c>
      <c r="BD16">
        <v>50</v>
      </c>
      <c r="BE16">
        <v>0</v>
      </c>
      <c r="BF16">
        <v>0</v>
      </c>
      <c r="BG16">
        <v>681.96</v>
      </c>
    </row>
    <row r="17" spans="1:59" hidden="1" x14ac:dyDescent="0.25">
      <c r="A17" t="s">
        <v>114</v>
      </c>
      <c r="B17">
        <v>51</v>
      </c>
      <c r="C17">
        <v>50.92</v>
      </c>
      <c r="D17">
        <v>50.92</v>
      </c>
      <c r="E17">
        <v>1</v>
      </c>
      <c r="F17">
        <v>1075.6849999999999</v>
      </c>
      <c r="G17">
        <v>330.98</v>
      </c>
      <c r="H17">
        <v>0</v>
      </c>
      <c r="I17">
        <v>0</v>
      </c>
      <c r="J17">
        <v>1</v>
      </c>
      <c r="K17">
        <v>0</v>
      </c>
      <c r="L17">
        <v>165.49</v>
      </c>
      <c r="M17">
        <v>0</v>
      </c>
      <c r="N17">
        <v>0.74980361351139002</v>
      </c>
      <c r="O17">
        <v>82.745000000000005</v>
      </c>
      <c r="P17">
        <v>43.56</v>
      </c>
      <c r="Q17">
        <v>0</v>
      </c>
      <c r="R17">
        <v>0</v>
      </c>
      <c r="S17">
        <v>1698.46</v>
      </c>
      <c r="T17">
        <v>50</v>
      </c>
      <c r="U17">
        <v>330.98</v>
      </c>
      <c r="V17">
        <v>50.92</v>
      </c>
      <c r="W17">
        <v>0</v>
      </c>
      <c r="X17">
        <v>0</v>
      </c>
      <c r="Y17">
        <v>165.49</v>
      </c>
      <c r="Z17">
        <v>1</v>
      </c>
      <c r="AA17" s="2">
        <v>45642</v>
      </c>
      <c r="AB17" t="s">
        <v>1748</v>
      </c>
      <c r="AC17">
        <v>74</v>
      </c>
      <c r="AD17">
        <v>50.92</v>
      </c>
      <c r="AE17">
        <v>0</v>
      </c>
      <c r="AF17">
        <v>12</v>
      </c>
      <c r="AG17">
        <v>62</v>
      </c>
      <c r="AH17">
        <v>38.18</v>
      </c>
      <c r="AI17">
        <v>12.74</v>
      </c>
      <c r="AJ17">
        <v>19.13</v>
      </c>
      <c r="AK17">
        <v>13.7</v>
      </c>
      <c r="AL17">
        <v>1.45</v>
      </c>
      <c r="AM17">
        <v>71</v>
      </c>
      <c r="AN17">
        <v>0</v>
      </c>
      <c r="AO17">
        <v>0</v>
      </c>
      <c r="AP17">
        <v>50.92</v>
      </c>
      <c r="AQ17">
        <v>0.1</v>
      </c>
      <c r="AR17">
        <v>0.05</v>
      </c>
      <c r="AS17">
        <v>0.7</v>
      </c>
      <c r="AT17">
        <v>32.5</v>
      </c>
      <c r="AU17">
        <v>0</v>
      </c>
      <c r="AV17">
        <v>0.65</v>
      </c>
      <c r="AW17">
        <v>0.98</v>
      </c>
      <c r="AX17">
        <v>0.96</v>
      </c>
      <c r="AY17">
        <v>0.94</v>
      </c>
      <c r="AZ17">
        <v>0.2</v>
      </c>
      <c r="BA17">
        <v>0.1</v>
      </c>
      <c r="BB17">
        <v>0.05</v>
      </c>
      <c r="BC17">
        <v>0.05</v>
      </c>
      <c r="BD17">
        <v>50</v>
      </c>
      <c r="BE17">
        <v>0</v>
      </c>
      <c r="BF17">
        <v>0</v>
      </c>
      <c r="BG17">
        <v>897.86</v>
      </c>
    </row>
    <row r="18" spans="1:59" hidden="1" x14ac:dyDescent="0.25">
      <c r="A18" t="s">
        <v>114</v>
      </c>
      <c r="B18">
        <v>51</v>
      </c>
      <c r="C18">
        <v>50.61</v>
      </c>
      <c r="D18">
        <v>50.61</v>
      </c>
      <c r="E18">
        <v>1</v>
      </c>
      <c r="F18">
        <v>1069.1361999999999</v>
      </c>
      <c r="G18">
        <v>328.96499999999997</v>
      </c>
      <c r="H18">
        <v>0</v>
      </c>
      <c r="I18">
        <v>0</v>
      </c>
      <c r="J18">
        <v>1</v>
      </c>
      <c r="K18">
        <v>0</v>
      </c>
      <c r="L18">
        <v>164.48249999999999</v>
      </c>
      <c r="M18">
        <v>0</v>
      </c>
      <c r="N18">
        <v>0.780478166370282</v>
      </c>
      <c r="O18">
        <v>82.241200000000006</v>
      </c>
      <c r="P18">
        <v>19</v>
      </c>
      <c r="Q18">
        <v>0</v>
      </c>
      <c r="R18">
        <v>0</v>
      </c>
      <c r="S18">
        <v>1663.825</v>
      </c>
      <c r="T18">
        <v>50</v>
      </c>
      <c r="U18">
        <v>328.96499999999997</v>
      </c>
      <c r="V18">
        <v>50.61</v>
      </c>
      <c r="W18">
        <v>0</v>
      </c>
      <c r="X18">
        <v>0</v>
      </c>
      <c r="Y18">
        <v>164.48249999999999</v>
      </c>
      <c r="Z18">
        <v>1</v>
      </c>
      <c r="AA18" s="2">
        <v>45642</v>
      </c>
      <c r="AB18" t="s">
        <v>1749</v>
      </c>
      <c r="AC18">
        <v>48</v>
      </c>
      <c r="AD18">
        <v>50.61</v>
      </c>
      <c r="AE18">
        <v>0</v>
      </c>
      <c r="AF18">
        <v>29</v>
      </c>
      <c r="AG18">
        <v>19</v>
      </c>
      <c r="AH18">
        <v>39.5</v>
      </c>
      <c r="AI18">
        <v>11.11</v>
      </c>
      <c r="AJ18">
        <v>38.6</v>
      </c>
      <c r="AK18">
        <v>31.65</v>
      </c>
      <c r="AL18">
        <v>0.95</v>
      </c>
      <c r="AM18">
        <v>65</v>
      </c>
      <c r="AN18">
        <v>0</v>
      </c>
      <c r="AO18">
        <v>0</v>
      </c>
      <c r="AP18">
        <v>50.61</v>
      </c>
      <c r="AQ18">
        <v>0.1</v>
      </c>
      <c r="AR18">
        <v>0.05</v>
      </c>
      <c r="AS18">
        <v>0.7</v>
      </c>
      <c r="AT18">
        <v>32.5</v>
      </c>
      <c r="AU18">
        <v>0</v>
      </c>
      <c r="AV18">
        <v>0.65</v>
      </c>
      <c r="AW18">
        <v>0.98</v>
      </c>
      <c r="AX18">
        <v>0.96</v>
      </c>
      <c r="AY18">
        <v>0.94</v>
      </c>
      <c r="AZ18">
        <v>0.2</v>
      </c>
      <c r="BA18">
        <v>0.1</v>
      </c>
      <c r="BB18">
        <v>0.05</v>
      </c>
      <c r="BC18">
        <v>0.05</v>
      </c>
      <c r="BD18">
        <v>50</v>
      </c>
      <c r="BE18">
        <v>0</v>
      </c>
      <c r="BF18">
        <v>0</v>
      </c>
      <c r="BG18">
        <v>720.28</v>
      </c>
    </row>
    <row r="19" spans="1:59" hidden="1" x14ac:dyDescent="0.25">
      <c r="A19" t="s">
        <v>114</v>
      </c>
      <c r="B19">
        <v>100</v>
      </c>
      <c r="C19">
        <v>99.389999999999986</v>
      </c>
      <c r="D19">
        <v>99.389999999999986</v>
      </c>
      <c r="E19">
        <v>0.99390000000000001</v>
      </c>
      <c r="F19">
        <v>2099.6138000000001</v>
      </c>
      <c r="G19">
        <v>646.03499999999985</v>
      </c>
      <c r="H19">
        <v>0</v>
      </c>
      <c r="I19">
        <v>0</v>
      </c>
      <c r="J19">
        <v>1</v>
      </c>
      <c r="K19">
        <v>1.8072289156626498E-2</v>
      </c>
      <c r="L19">
        <v>323.01749999999998</v>
      </c>
      <c r="M19">
        <v>0</v>
      </c>
      <c r="N19">
        <v>0.75067914277090297</v>
      </c>
      <c r="O19">
        <v>161.50880000000001</v>
      </c>
      <c r="P19">
        <v>70.989999999999995</v>
      </c>
      <c r="Q19">
        <v>0</v>
      </c>
      <c r="R19">
        <v>0</v>
      </c>
      <c r="S19">
        <v>3301.165</v>
      </c>
      <c r="T19">
        <v>100</v>
      </c>
      <c r="U19">
        <v>646.03499999999997</v>
      </c>
      <c r="V19">
        <v>99.389999999999986</v>
      </c>
      <c r="W19">
        <v>0</v>
      </c>
      <c r="X19">
        <v>0</v>
      </c>
      <c r="Y19">
        <v>323.01749999999998</v>
      </c>
      <c r="Z19">
        <v>0</v>
      </c>
      <c r="AA19" s="2">
        <v>45642</v>
      </c>
      <c r="AB19" t="s">
        <v>1814</v>
      </c>
      <c r="AC19">
        <v>140</v>
      </c>
      <c r="AD19">
        <v>99.449999999999989</v>
      </c>
      <c r="AE19">
        <v>6.0000000000000005E-2</v>
      </c>
      <c r="AF19">
        <v>38</v>
      </c>
      <c r="AG19">
        <v>102</v>
      </c>
      <c r="AH19">
        <v>74.61</v>
      </c>
      <c r="AI19">
        <v>24.790000000000003</v>
      </c>
      <c r="AJ19">
        <v>40.43</v>
      </c>
      <c r="AK19">
        <v>31.47</v>
      </c>
      <c r="AL19">
        <v>3.83</v>
      </c>
      <c r="AM19">
        <v>166</v>
      </c>
      <c r="AN19">
        <v>0</v>
      </c>
      <c r="AO19">
        <v>3</v>
      </c>
      <c r="AP19">
        <v>79.930000000000007</v>
      </c>
      <c r="AQ19">
        <v>0.1</v>
      </c>
      <c r="AR19">
        <v>0.05</v>
      </c>
      <c r="AS19">
        <v>0.7</v>
      </c>
      <c r="AT19">
        <v>32.5</v>
      </c>
      <c r="AU19">
        <v>0</v>
      </c>
      <c r="AV19">
        <v>0.65</v>
      </c>
      <c r="AW19">
        <v>0.98</v>
      </c>
      <c r="AX19">
        <v>0.96</v>
      </c>
      <c r="AY19">
        <v>0.94</v>
      </c>
      <c r="AZ19">
        <v>0.2</v>
      </c>
      <c r="BA19">
        <v>0.1</v>
      </c>
      <c r="BB19">
        <v>0.05</v>
      </c>
      <c r="BC19">
        <v>0.05</v>
      </c>
      <c r="BD19">
        <v>100</v>
      </c>
      <c r="BE19">
        <v>0</v>
      </c>
      <c r="BF19">
        <v>0</v>
      </c>
      <c r="BG19">
        <v>1544.7</v>
      </c>
    </row>
    <row r="20" spans="1:59" hidden="1" x14ac:dyDescent="0.25">
      <c r="A20" t="s">
        <v>114</v>
      </c>
      <c r="B20">
        <v>560</v>
      </c>
      <c r="C20">
        <v>558.02</v>
      </c>
      <c r="D20">
        <v>558.02</v>
      </c>
      <c r="E20">
        <v>1</v>
      </c>
      <c r="F20">
        <v>11962.2747</v>
      </c>
      <c r="G20">
        <v>3680.69992</v>
      </c>
      <c r="H20">
        <v>0</v>
      </c>
      <c r="I20">
        <v>0</v>
      </c>
      <c r="J20">
        <v>0.99216027874564405</v>
      </c>
      <c r="K20">
        <v>2.1071115013169401E-2</v>
      </c>
      <c r="L20">
        <v>1840.35</v>
      </c>
      <c r="M20">
        <v>0</v>
      </c>
      <c r="N20">
        <v>0.95455360022938196</v>
      </c>
      <c r="O20">
        <v>920.17499999999995</v>
      </c>
      <c r="P20">
        <v>672.86</v>
      </c>
      <c r="Q20">
        <v>76.599999999999994</v>
      </c>
      <c r="R20">
        <v>0</v>
      </c>
      <c r="S20">
        <v>19152.959599999998</v>
      </c>
      <c r="T20">
        <v>540</v>
      </c>
      <c r="U20">
        <v>3680.6999000000001</v>
      </c>
      <c r="V20">
        <v>558.02</v>
      </c>
      <c r="W20">
        <v>0</v>
      </c>
      <c r="X20">
        <v>3</v>
      </c>
      <c r="Y20">
        <v>1840.35</v>
      </c>
      <c r="Z20">
        <v>20</v>
      </c>
      <c r="AA20" s="2">
        <v>45642</v>
      </c>
      <c r="AB20" t="s">
        <v>1600</v>
      </c>
      <c r="AC20">
        <v>948</v>
      </c>
      <c r="AD20">
        <v>566.47</v>
      </c>
      <c r="AE20">
        <v>8.4499999999999993</v>
      </c>
      <c r="AF20">
        <v>254</v>
      </c>
      <c r="AG20">
        <v>694</v>
      </c>
      <c r="AH20">
        <v>532.66</v>
      </c>
      <c r="AI20">
        <v>25.36</v>
      </c>
      <c r="AJ20">
        <v>255.09000000000003</v>
      </c>
      <c r="AK20">
        <v>245.45</v>
      </c>
      <c r="AL20">
        <v>20.260000000000002</v>
      </c>
      <c r="AM20">
        <v>1139</v>
      </c>
      <c r="AN20">
        <v>6</v>
      </c>
      <c r="AO20">
        <v>24</v>
      </c>
      <c r="AP20">
        <v>372.15999999999997</v>
      </c>
      <c r="AQ20">
        <v>0.1</v>
      </c>
      <c r="AR20">
        <v>0.05</v>
      </c>
      <c r="AS20">
        <v>0.7</v>
      </c>
      <c r="AT20">
        <v>32.979999999999997</v>
      </c>
      <c r="AU20">
        <v>0</v>
      </c>
      <c r="AV20">
        <v>0.65</v>
      </c>
      <c r="AW20">
        <v>0.98</v>
      </c>
      <c r="AX20">
        <v>0.96</v>
      </c>
      <c r="AY20">
        <v>0.94</v>
      </c>
      <c r="AZ20">
        <v>0.2</v>
      </c>
      <c r="BA20">
        <v>0.1</v>
      </c>
      <c r="BB20">
        <v>0.05</v>
      </c>
      <c r="BC20">
        <v>0.05</v>
      </c>
      <c r="BD20">
        <v>540</v>
      </c>
      <c r="BE20">
        <v>0</v>
      </c>
      <c r="BF20">
        <v>0</v>
      </c>
      <c r="BG20">
        <v>11851.31</v>
      </c>
    </row>
    <row r="21" spans="1:59" hidden="1" x14ac:dyDescent="0.25">
      <c r="A21" t="s">
        <v>114</v>
      </c>
      <c r="B21">
        <v>806</v>
      </c>
      <c r="C21">
        <v>794.84000000000015</v>
      </c>
      <c r="D21">
        <v>794.84000000000015</v>
      </c>
      <c r="E21">
        <v>0.99355000000000004</v>
      </c>
      <c r="F21">
        <v>17824.287</v>
      </c>
      <c r="G21">
        <v>5484.3960000000015</v>
      </c>
      <c r="H21">
        <v>0</v>
      </c>
      <c r="I21">
        <v>0</v>
      </c>
      <c r="J21">
        <v>0.95382078064870801</v>
      </c>
      <c r="K21">
        <v>4.6109510086455301E-2</v>
      </c>
      <c r="L21">
        <v>0</v>
      </c>
      <c r="M21">
        <v>1371.0989999999999</v>
      </c>
      <c r="N21">
        <v>0.933382819183735</v>
      </c>
      <c r="O21">
        <v>1371.0989999999999</v>
      </c>
      <c r="P21">
        <v>951.2</v>
      </c>
      <c r="Q21">
        <v>59.9</v>
      </c>
      <c r="R21">
        <v>0</v>
      </c>
      <c r="S21">
        <v>27061.981</v>
      </c>
      <c r="T21">
        <v>800</v>
      </c>
      <c r="U21">
        <v>5484.3959999999997</v>
      </c>
      <c r="V21">
        <v>0</v>
      </c>
      <c r="W21">
        <v>794.84000000000015</v>
      </c>
      <c r="X21">
        <v>46</v>
      </c>
      <c r="Y21">
        <v>1371.0989999999999</v>
      </c>
      <c r="Z21">
        <v>6</v>
      </c>
      <c r="AA21" s="2">
        <v>45642</v>
      </c>
      <c r="AB21" t="s">
        <v>1599</v>
      </c>
      <c r="AC21">
        <v>1335</v>
      </c>
      <c r="AD21">
        <v>801.47000000000014</v>
      </c>
      <c r="AE21">
        <v>6.63</v>
      </c>
      <c r="AF21">
        <v>312</v>
      </c>
      <c r="AG21">
        <v>1023</v>
      </c>
      <c r="AH21">
        <v>741.89000000000021</v>
      </c>
      <c r="AI21">
        <v>52.919999999999995</v>
      </c>
      <c r="AJ21">
        <v>344.89</v>
      </c>
      <c r="AK21">
        <v>324.67000000000007</v>
      </c>
      <c r="AL21">
        <v>46.589999999999996</v>
      </c>
      <c r="AM21">
        <v>1735</v>
      </c>
      <c r="AN21">
        <v>38</v>
      </c>
      <c r="AO21">
        <v>80</v>
      </c>
      <c r="AP21">
        <v>421.17</v>
      </c>
      <c r="AQ21">
        <v>0.1</v>
      </c>
      <c r="AR21">
        <v>0.05</v>
      </c>
      <c r="AS21">
        <v>0.7</v>
      </c>
      <c r="AT21">
        <v>34.5</v>
      </c>
      <c r="AU21">
        <v>0</v>
      </c>
      <c r="AV21">
        <v>0.65</v>
      </c>
      <c r="AW21">
        <v>0.98</v>
      </c>
      <c r="AX21">
        <v>0.96</v>
      </c>
      <c r="AY21">
        <v>0.94</v>
      </c>
      <c r="AZ21">
        <v>0.2</v>
      </c>
      <c r="BA21">
        <v>0.1</v>
      </c>
      <c r="BB21">
        <v>0.05</v>
      </c>
      <c r="BC21">
        <v>0.05</v>
      </c>
      <c r="BD21">
        <v>800</v>
      </c>
      <c r="BE21">
        <v>0</v>
      </c>
      <c r="BF21">
        <v>0</v>
      </c>
      <c r="BG21">
        <v>15693.289999999999</v>
      </c>
    </row>
    <row r="22" spans="1:59" hidden="1" x14ac:dyDescent="0.25">
      <c r="A22" t="s">
        <v>114</v>
      </c>
      <c r="B22">
        <v>50</v>
      </c>
      <c r="C22">
        <v>50.1</v>
      </c>
      <c r="D22">
        <v>50</v>
      </c>
      <c r="E22">
        <v>1</v>
      </c>
      <c r="F22">
        <v>1056.25</v>
      </c>
      <c r="G22">
        <v>325</v>
      </c>
      <c r="H22">
        <v>0</v>
      </c>
      <c r="I22">
        <v>0</v>
      </c>
      <c r="J22">
        <v>1</v>
      </c>
      <c r="K22">
        <v>2.7027027027027001E-2</v>
      </c>
      <c r="L22">
        <v>162.5</v>
      </c>
      <c r="M22">
        <v>0</v>
      </c>
      <c r="N22">
        <v>0.57504990019960101</v>
      </c>
      <c r="O22">
        <v>0</v>
      </c>
      <c r="P22">
        <v>31</v>
      </c>
      <c r="Q22">
        <v>0</v>
      </c>
      <c r="R22">
        <v>0</v>
      </c>
      <c r="S22">
        <v>1574.75</v>
      </c>
      <c r="T22">
        <v>50</v>
      </c>
      <c r="U22">
        <v>325</v>
      </c>
      <c r="V22">
        <v>50</v>
      </c>
      <c r="W22">
        <v>0</v>
      </c>
      <c r="X22">
        <v>0</v>
      </c>
      <c r="Y22">
        <v>162.5</v>
      </c>
      <c r="Z22">
        <v>0</v>
      </c>
      <c r="AA22" s="2">
        <v>45642</v>
      </c>
      <c r="AB22" t="s">
        <v>1815</v>
      </c>
      <c r="AC22">
        <v>51</v>
      </c>
      <c r="AD22">
        <v>50.11</v>
      </c>
      <c r="AE22">
        <v>0.01</v>
      </c>
      <c r="AF22">
        <v>17</v>
      </c>
      <c r="AG22">
        <v>34</v>
      </c>
      <c r="AH22">
        <v>28.81</v>
      </c>
      <c r="AI22">
        <v>21.3</v>
      </c>
      <c r="AJ22">
        <v>29.28</v>
      </c>
      <c r="AK22">
        <v>18.68</v>
      </c>
      <c r="AL22">
        <v>1.02</v>
      </c>
      <c r="AM22">
        <v>74</v>
      </c>
      <c r="AN22">
        <v>0</v>
      </c>
      <c r="AO22">
        <v>2</v>
      </c>
      <c r="AP22">
        <v>50.1</v>
      </c>
      <c r="AQ22">
        <v>0.1</v>
      </c>
      <c r="AR22">
        <v>0.05</v>
      </c>
      <c r="AS22">
        <v>0.7</v>
      </c>
      <c r="AT22">
        <v>32.5</v>
      </c>
      <c r="AU22">
        <v>0</v>
      </c>
      <c r="AV22">
        <v>0.65</v>
      </c>
      <c r="AW22">
        <v>0.98</v>
      </c>
      <c r="AX22">
        <v>0.96</v>
      </c>
      <c r="AY22">
        <v>0.94</v>
      </c>
      <c r="AZ22">
        <v>0.2</v>
      </c>
      <c r="BA22">
        <v>0.1</v>
      </c>
      <c r="BB22">
        <v>0.05</v>
      </c>
      <c r="BC22">
        <v>0.05</v>
      </c>
      <c r="BD22">
        <v>50</v>
      </c>
      <c r="BE22">
        <v>0</v>
      </c>
      <c r="BF22">
        <v>0</v>
      </c>
      <c r="BG22">
        <v>545.98</v>
      </c>
    </row>
    <row r="23" spans="1:59" hidden="1" x14ac:dyDescent="0.25">
      <c r="A23" t="s">
        <v>115</v>
      </c>
      <c r="B23">
        <v>60</v>
      </c>
      <c r="C23">
        <v>59.9</v>
      </c>
      <c r="D23">
        <v>59.9</v>
      </c>
      <c r="E23">
        <v>1</v>
      </c>
      <c r="F23">
        <v>1265.3875</v>
      </c>
      <c r="G23">
        <v>389.34999999999997</v>
      </c>
      <c r="H23">
        <v>0</v>
      </c>
      <c r="I23">
        <v>0</v>
      </c>
      <c r="J23">
        <v>0.893805309734513</v>
      </c>
      <c r="K23">
        <v>2.9702970297029702E-2</v>
      </c>
      <c r="L23">
        <v>0</v>
      </c>
      <c r="M23">
        <v>0</v>
      </c>
      <c r="N23">
        <v>0.67495826377295498</v>
      </c>
      <c r="O23">
        <v>0</v>
      </c>
      <c r="P23">
        <v>73.8</v>
      </c>
      <c r="Q23">
        <v>6</v>
      </c>
      <c r="R23">
        <v>0</v>
      </c>
      <c r="S23">
        <v>1734.5374999999999</v>
      </c>
      <c r="T23">
        <v>50</v>
      </c>
      <c r="U23">
        <v>389.35</v>
      </c>
      <c r="V23">
        <v>0</v>
      </c>
      <c r="W23">
        <v>0</v>
      </c>
      <c r="X23">
        <v>12</v>
      </c>
      <c r="Y23">
        <v>0</v>
      </c>
      <c r="Z23">
        <v>10</v>
      </c>
      <c r="AA23" s="2">
        <v>45649</v>
      </c>
      <c r="AB23" t="s">
        <v>1745</v>
      </c>
      <c r="AC23">
        <v>94</v>
      </c>
      <c r="AD23">
        <v>60</v>
      </c>
      <c r="AE23">
        <v>0.1</v>
      </c>
      <c r="AF23">
        <v>10</v>
      </c>
      <c r="AG23">
        <v>84</v>
      </c>
      <c r="AH23">
        <v>40.43</v>
      </c>
      <c r="AI23">
        <v>19.46</v>
      </c>
      <c r="AJ23">
        <v>16.78</v>
      </c>
      <c r="AK23">
        <v>13.18</v>
      </c>
      <c r="AL23">
        <v>1.57</v>
      </c>
      <c r="AM23">
        <v>101</v>
      </c>
      <c r="AN23">
        <v>0</v>
      </c>
      <c r="AO23">
        <v>3</v>
      </c>
      <c r="AP23">
        <v>0</v>
      </c>
      <c r="AQ23">
        <v>0.1</v>
      </c>
      <c r="AR23">
        <v>0.05</v>
      </c>
      <c r="AS23">
        <v>0.7</v>
      </c>
      <c r="AT23">
        <v>32.5</v>
      </c>
      <c r="AU23">
        <v>0</v>
      </c>
      <c r="AV23">
        <v>0.65</v>
      </c>
      <c r="AW23">
        <v>0.98</v>
      </c>
      <c r="AX23">
        <v>0.96</v>
      </c>
      <c r="AY23">
        <v>0.94</v>
      </c>
      <c r="AZ23">
        <v>0.2</v>
      </c>
      <c r="BA23">
        <v>0.1</v>
      </c>
      <c r="BB23">
        <v>0.05</v>
      </c>
      <c r="BC23">
        <v>0.05</v>
      </c>
      <c r="BD23">
        <v>50</v>
      </c>
      <c r="BE23">
        <v>0</v>
      </c>
      <c r="BF23">
        <v>59.9</v>
      </c>
      <c r="BG23">
        <v>1050.47</v>
      </c>
    </row>
    <row r="24" spans="1:59" hidden="1" x14ac:dyDescent="0.25">
      <c r="A24" t="s">
        <v>115</v>
      </c>
      <c r="B24">
        <v>82</v>
      </c>
      <c r="C24">
        <v>81.36</v>
      </c>
      <c r="D24">
        <v>81.36</v>
      </c>
      <c r="E24">
        <v>1</v>
      </c>
      <c r="F24">
        <v>1718.73</v>
      </c>
      <c r="G24">
        <v>528.84</v>
      </c>
      <c r="H24">
        <v>0</v>
      </c>
      <c r="I24">
        <v>0</v>
      </c>
      <c r="J24">
        <v>1</v>
      </c>
      <c r="K24">
        <v>5.9171597633136102E-3</v>
      </c>
      <c r="L24">
        <v>264.42</v>
      </c>
      <c r="M24">
        <v>0</v>
      </c>
      <c r="N24">
        <v>0.85656342182890899</v>
      </c>
      <c r="O24">
        <v>132.21</v>
      </c>
      <c r="P24">
        <v>98.93</v>
      </c>
      <c r="Q24">
        <v>5.5</v>
      </c>
      <c r="R24">
        <v>0</v>
      </c>
      <c r="S24">
        <v>2748.63</v>
      </c>
      <c r="T24">
        <v>50</v>
      </c>
      <c r="U24">
        <v>528.84</v>
      </c>
      <c r="V24">
        <v>81.36</v>
      </c>
      <c r="W24">
        <v>0</v>
      </c>
      <c r="X24">
        <v>0</v>
      </c>
      <c r="Y24">
        <v>264.42</v>
      </c>
      <c r="Z24">
        <v>32</v>
      </c>
      <c r="AA24" s="2">
        <v>45649</v>
      </c>
      <c r="AB24" t="s">
        <v>1716</v>
      </c>
      <c r="AC24">
        <v>157</v>
      </c>
      <c r="AD24">
        <v>84.84</v>
      </c>
      <c r="AE24">
        <v>3.48</v>
      </c>
      <c r="AF24">
        <v>10</v>
      </c>
      <c r="AG24">
        <v>147</v>
      </c>
      <c r="AH24">
        <v>69.69</v>
      </c>
      <c r="AI24">
        <v>11.67</v>
      </c>
      <c r="AJ24">
        <v>11.68</v>
      </c>
      <c r="AK24">
        <v>6.92</v>
      </c>
      <c r="AL24">
        <v>1.85</v>
      </c>
      <c r="AM24">
        <v>169</v>
      </c>
      <c r="AN24">
        <v>0</v>
      </c>
      <c r="AO24">
        <v>1</v>
      </c>
      <c r="AP24">
        <v>81.36</v>
      </c>
      <c r="AQ24">
        <v>0.1</v>
      </c>
      <c r="AR24">
        <v>0.05</v>
      </c>
      <c r="AS24">
        <v>0.7</v>
      </c>
      <c r="AT24">
        <v>32.5</v>
      </c>
      <c r="AU24">
        <v>0</v>
      </c>
      <c r="AV24">
        <v>0.65</v>
      </c>
      <c r="AW24">
        <v>0.98</v>
      </c>
      <c r="AX24">
        <v>0.96</v>
      </c>
      <c r="AY24">
        <v>0.94</v>
      </c>
      <c r="AZ24">
        <v>0.2</v>
      </c>
      <c r="BA24">
        <v>0.1</v>
      </c>
      <c r="BB24">
        <v>0.05</v>
      </c>
      <c r="BC24">
        <v>0.05</v>
      </c>
      <c r="BD24">
        <v>50</v>
      </c>
      <c r="BE24">
        <v>0</v>
      </c>
      <c r="BF24">
        <v>0</v>
      </c>
      <c r="BG24">
        <v>1806.49</v>
      </c>
    </row>
    <row r="25" spans="1:59" hidden="1" x14ac:dyDescent="0.25">
      <c r="A25" t="s">
        <v>115</v>
      </c>
      <c r="B25">
        <v>60</v>
      </c>
      <c r="C25">
        <v>59.99</v>
      </c>
      <c r="D25">
        <v>59.99</v>
      </c>
      <c r="E25">
        <v>1</v>
      </c>
      <c r="F25">
        <v>1267.2888</v>
      </c>
      <c r="G25">
        <v>389.935</v>
      </c>
      <c r="H25">
        <v>0</v>
      </c>
      <c r="I25">
        <v>0</v>
      </c>
      <c r="J25">
        <v>1</v>
      </c>
      <c r="K25">
        <v>0</v>
      </c>
      <c r="L25">
        <v>194.9675</v>
      </c>
      <c r="M25">
        <v>0</v>
      </c>
      <c r="N25">
        <v>0.77446241040173402</v>
      </c>
      <c r="O25">
        <v>97.483800000000002</v>
      </c>
      <c r="P25">
        <v>97.89</v>
      </c>
      <c r="Q25">
        <v>0</v>
      </c>
      <c r="R25">
        <v>0</v>
      </c>
      <c r="S25">
        <v>2047.5650000000001</v>
      </c>
      <c r="T25">
        <v>50</v>
      </c>
      <c r="U25">
        <v>389.935</v>
      </c>
      <c r="V25">
        <v>59.99</v>
      </c>
      <c r="W25">
        <v>0</v>
      </c>
      <c r="X25">
        <v>0</v>
      </c>
      <c r="Y25">
        <v>194.9675</v>
      </c>
      <c r="Z25">
        <v>10</v>
      </c>
      <c r="AA25" s="2">
        <v>45649</v>
      </c>
      <c r="AB25" t="s">
        <v>1788</v>
      </c>
      <c r="AC25">
        <v>83</v>
      </c>
      <c r="AD25">
        <v>60</v>
      </c>
      <c r="AE25">
        <v>0.01</v>
      </c>
      <c r="AF25">
        <v>20</v>
      </c>
      <c r="AG25">
        <v>63</v>
      </c>
      <c r="AH25">
        <v>46.46</v>
      </c>
      <c r="AI25">
        <v>13.52</v>
      </c>
      <c r="AJ25">
        <v>37.51</v>
      </c>
      <c r="AK25">
        <v>29.82</v>
      </c>
      <c r="AL25">
        <v>1.38</v>
      </c>
      <c r="AM25">
        <v>99</v>
      </c>
      <c r="AN25">
        <v>0</v>
      </c>
      <c r="AO25">
        <v>0</v>
      </c>
      <c r="AP25">
        <v>59.99</v>
      </c>
      <c r="AQ25">
        <v>0.1</v>
      </c>
      <c r="AR25">
        <v>0.05</v>
      </c>
      <c r="AS25">
        <v>0.7</v>
      </c>
      <c r="AT25">
        <v>32.5</v>
      </c>
      <c r="AU25">
        <v>0</v>
      </c>
      <c r="AV25">
        <v>0.65</v>
      </c>
      <c r="AW25">
        <v>0.98</v>
      </c>
      <c r="AX25">
        <v>0.96</v>
      </c>
      <c r="AY25">
        <v>0.94</v>
      </c>
      <c r="AZ25">
        <v>0.2</v>
      </c>
      <c r="BA25">
        <v>0.1</v>
      </c>
      <c r="BB25">
        <v>0.05</v>
      </c>
      <c r="BC25">
        <v>0.05</v>
      </c>
      <c r="BD25">
        <v>50</v>
      </c>
      <c r="BE25">
        <v>0</v>
      </c>
      <c r="BF25">
        <v>0</v>
      </c>
      <c r="BG25">
        <v>823.87</v>
      </c>
    </row>
    <row r="26" spans="1:59" hidden="1" x14ac:dyDescent="0.25">
      <c r="A26" t="s">
        <v>115</v>
      </c>
      <c r="B26">
        <v>540</v>
      </c>
      <c r="C26">
        <v>507.21000000000004</v>
      </c>
      <c r="D26">
        <v>507.21000000000004</v>
      </c>
      <c r="E26">
        <v>0.93927777777777799</v>
      </c>
      <c r="F26">
        <v>0</v>
      </c>
      <c r="G26">
        <v>0</v>
      </c>
      <c r="H26">
        <v>0</v>
      </c>
      <c r="I26">
        <v>0</v>
      </c>
      <c r="J26">
        <v>0.94450050454086798</v>
      </c>
      <c r="K26">
        <v>2.45726495726496E-2</v>
      </c>
      <c r="L26">
        <v>0</v>
      </c>
      <c r="M26">
        <v>0</v>
      </c>
      <c r="N26">
        <v>0.83963249935924</v>
      </c>
      <c r="O26">
        <v>0</v>
      </c>
      <c r="P26">
        <v>775.55</v>
      </c>
      <c r="Q26">
        <v>98.13</v>
      </c>
      <c r="R26">
        <v>9726.5499999999993</v>
      </c>
      <c r="S26">
        <v>10600.23</v>
      </c>
      <c r="T26">
        <v>540</v>
      </c>
      <c r="U26">
        <v>0</v>
      </c>
      <c r="V26">
        <v>0</v>
      </c>
      <c r="W26">
        <v>507.21000000000004</v>
      </c>
      <c r="X26">
        <v>48</v>
      </c>
      <c r="Y26">
        <v>0</v>
      </c>
      <c r="Z26">
        <v>0</v>
      </c>
      <c r="AA26" s="2">
        <v>45649</v>
      </c>
      <c r="AB26" t="s">
        <v>1601</v>
      </c>
      <c r="AC26">
        <v>804</v>
      </c>
      <c r="AD26">
        <v>527.20999999999992</v>
      </c>
      <c r="AE26">
        <v>19.999999999999993</v>
      </c>
      <c r="AF26">
        <v>122</v>
      </c>
      <c r="AG26">
        <v>682</v>
      </c>
      <c r="AH26">
        <v>425.86999999999995</v>
      </c>
      <c r="AI26">
        <v>81.320000000000007</v>
      </c>
      <c r="AJ26">
        <v>202.51000000000002</v>
      </c>
      <c r="AK26">
        <v>161.99</v>
      </c>
      <c r="AL26">
        <v>26.220000000000002</v>
      </c>
      <c r="AM26">
        <v>936</v>
      </c>
      <c r="AN26">
        <v>7</v>
      </c>
      <c r="AO26">
        <v>23</v>
      </c>
      <c r="AP26">
        <v>325.33000000000004</v>
      </c>
      <c r="AQ26">
        <v>0.1</v>
      </c>
      <c r="AR26">
        <v>0.05</v>
      </c>
      <c r="AS26">
        <v>0.7</v>
      </c>
      <c r="AT26">
        <v>33</v>
      </c>
      <c r="AU26">
        <v>0</v>
      </c>
      <c r="AV26">
        <v>0.65</v>
      </c>
      <c r="AW26">
        <v>0.98</v>
      </c>
      <c r="AX26">
        <v>0.96</v>
      </c>
      <c r="AY26">
        <v>0.94</v>
      </c>
      <c r="AZ26">
        <v>0.2</v>
      </c>
      <c r="BA26">
        <v>0.1</v>
      </c>
      <c r="BB26">
        <v>0.05</v>
      </c>
      <c r="BC26">
        <v>0.05</v>
      </c>
      <c r="BD26">
        <v>540</v>
      </c>
      <c r="BE26">
        <v>0</v>
      </c>
      <c r="BF26">
        <v>0</v>
      </c>
      <c r="BG26">
        <v>9726.5500000000011</v>
      </c>
    </row>
    <row r="27" spans="1:59" hidden="1" x14ac:dyDescent="0.25">
      <c r="A27" t="s">
        <v>115</v>
      </c>
      <c r="B27">
        <v>50</v>
      </c>
      <c r="C27">
        <v>50.63</v>
      </c>
      <c r="D27">
        <v>50</v>
      </c>
      <c r="E27">
        <v>1</v>
      </c>
      <c r="F27">
        <v>1056.25</v>
      </c>
      <c r="G27">
        <v>325</v>
      </c>
      <c r="H27">
        <v>0</v>
      </c>
      <c r="I27">
        <v>0</v>
      </c>
      <c r="J27">
        <v>0.96721311475409799</v>
      </c>
      <c r="K27">
        <v>0</v>
      </c>
      <c r="L27">
        <v>162.5</v>
      </c>
      <c r="M27">
        <v>0</v>
      </c>
      <c r="N27">
        <v>0.58246099150701203</v>
      </c>
      <c r="O27">
        <v>0</v>
      </c>
      <c r="P27">
        <v>30.18</v>
      </c>
      <c r="Q27">
        <v>9.9</v>
      </c>
      <c r="R27">
        <v>0</v>
      </c>
      <c r="S27">
        <v>1583.83</v>
      </c>
      <c r="T27">
        <v>50</v>
      </c>
      <c r="U27">
        <v>325</v>
      </c>
      <c r="V27">
        <v>50</v>
      </c>
      <c r="W27">
        <v>0</v>
      </c>
      <c r="X27">
        <v>0</v>
      </c>
      <c r="Y27">
        <v>162.5</v>
      </c>
      <c r="Z27">
        <v>0</v>
      </c>
      <c r="AA27" s="2">
        <v>45649</v>
      </c>
      <c r="AB27" t="s">
        <v>1816</v>
      </c>
      <c r="AC27">
        <v>55</v>
      </c>
      <c r="AD27">
        <v>50.99</v>
      </c>
      <c r="AE27">
        <v>0.36</v>
      </c>
      <c r="AF27">
        <v>2</v>
      </c>
      <c r="AG27">
        <v>53</v>
      </c>
      <c r="AH27">
        <v>29.49</v>
      </c>
      <c r="AI27">
        <v>21.14</v>
      </c>
      <c r="AJ27">
        <v>8.07</v>
      </c>
      <c r="AK27">
        <v>7</v>
      </c>
      <c r="AL27">
        <v>1.08</v>
      </c>
      <c r="AM27">
        <v>59</v>
      </c>
      <c r="AN27">
        <v>2</v>
      </c>
      <c r="AO27">
        <v>0</v>
      </c>
      <c r="AP27">
        <v>50.63</v>
      </c>
      <c r="AQ27">
        <v>0.1</v>
      </c>
      <c r="AR27">
        <v>0.05</v>
      </c>
      <c r="AS27">
        <v>0.7</v>
      </c>
      <c r="AT27">
        <v>32.5</v>
      </c>
      <c r="AU27">
        <v>0</v>
      </c>
      <c r="AV27">
        <v>0.65</v>
      </c>
      <c r="AW27">
        <v>0.98</v>
      </c>
      <c r="AX27">
        <v>0.96</v>
      </c>
      <c r="AY27">
        <v>0.94</v>
      </c>
      <c r="AZ27">
        <v>0.2</v>
      </c>
      <c r="BA27">
        <v>0.1</v>
      </c>
      <c r="BB27">
        <v>0.05</v>
      </c>
      <c r="BC27">
        <v>0.05</v>
      </c>
      <c r="BD27">
        <v>50</v>
      </c>
      <c r="BE27">
        <v>0</v>
      </c>
      <c r="BF27">
        <v>0</v>
      </c>
      <c r="BG27">
        <v>636.97</v>
      </c>
    </row>
    <row r="28" spans="1:59" hidden="1" x14ac:dyDescent="0.25">
      <c r="A28" t="s">
        <v>115</v>
      </c>
      <c r="B28">
        <v>57</v>
      </c>
      <c r="C28">
        <v>57.050000000000004</v>
      </c>
      <c r="D28">
        <v>57</v>
      </c>
      <c r="E28">
        <v>1</v>
      </c>
      <c r="F28">
        <v>1204.125</v>
      </c>
      <c r="G28">
        <v>370.5</v>
      </c>
      <c r="H28">
        <v>0</v>
      </c>
      <c r="I28">
        <v>0</v>
      </c>
      <c r="J28">
        <v>0.97826086956521696</v>
      </c>
      <c r="K28">
        <v>0</v>
      </c>
      <c r="L28">
        <v>185.25</v>
      </c>
      <c r="M28">
        <v>0</v>
      </c>
      <c r="N28">
        <v>0.78615249780894003</v>
      </c>
      <c r="O28">
        <v>92.625</v>
      </c>
      <c r="P28">
        <v>69</v>
      </c>
      <c r="Q28">
        <v>0</v>
      </c>
      <c r="R28">
        <v>0</v>
      </c>
      <c r="S28">
        <v>1921.5</v>
      </c>
      <c r="T28">
        <v>50</v>
      </c>
      <c r="U28">
        <v>370.5</v>
      </c>
      <c r="V28">
        <v>57</v>
      </c>
      <c r="W28">
        <v>0</v>
      </c>
      <c r="X28">
        <v>2</v>
      </c>
      <c r="Y28">
        <v>185.25</v>
      </c>
      <c r="Z28">
        <v>7</v>
      </c>
      <c r="AA28" s="2">
        <v>45649</v>
      </c>
      <c r="AB28" t="s">
        <v>1749</v>
      </c>
      <c r="AC28">
        <v>76</v>
      </c>
      <c r="AD28">
        <v>57.1</v>
      </c>
      <c r="AE28">
        <v>0.05</v>
      </c>
      <c r="AF28">
        <v>24</v>
      </c>
      <c r="AG28">
        <v>52</v>
      </c>
      <c r="AH28">
        <v>44.85</v>
      </c>
      <c r="AI28">
        <v>12.2</v>
      </c>
      <c r="AJ28">
        <v>45.5</v>
      </c>
      <c r="AK28">
        <v>37.85</v>
      </c>
      <c r="AL28">
        <v>1.33</v>
      </c>
      <c r="AM28">
        <v>90</v>
      </c>
      <c r="AN28">
        <v>0</v>
      </c>
      <c r="AO28">
        <v>0</v>
      </c>
      <c r="AP28">
        <v>57.050000000000004</v>
      </c>
      <c r="AQ28">
        <v>0.1</v>
      </c>
      <c r="AR28">
        <v>0.05</v>
      </c>
      <c r="AS28">
        <v>0.7</v>
      </c>
      <c r="AT28">
        <v>32.5</v>
      </c>
      <c r="AU28">
        <v>0</v>
      </c>
      <c r="AV28">
        <v>0.65</v>
      </c>
      <c r="AW28">
        <v>0.98</v>
      </c>
      <c r="AX28">
        <v>0.96</v>
      </c>
      <c r="AY28">
        <v>0.94</v>
      </c>
      <c r="AZ28">
        <v>0.2</v>
      </c>
      <c r="BA28">
        <v>0.1</v>
      </c>
      <c r="BB28">
        <v>0.05</v>
      </c>
      <c r="BC28">
        <v>0.05</v>
      </c>
      <c r="BD28">
        <v>50</v>
      </c>
      <c r="BE28">
        <v>0</v>
      </c>
      <c r="BF28">
        <v>0</v>
      </c>
      <c r="BG28">
        <v>904.31</v>
      </c>
    </row>
    <row r="29" spans="1:59" hidden="1" x14ac:dyDescent="0.25">
      <c r="A29" t="s">
        <v>115</v>
      </c>
      <c r="B29">
        <v>160</v>
      </c>
      <c r="C29">
        <v>158.84</v>
      </c>
      <c r="D29">
        <v>158.84</v>
      </c>
      <c r="E29">
        <v>1</v>
      </c>
      <c r="F29">
        <v>3355.4949999999999</v>
      </c>
      <c r="G29">
        <v>1032.46</v>
      </c>
      <c r="H29">
        <v>0</v>
      </c>
      <c r="I29">
        <v>0</v>
      </c>
      <c r="J29">
        <v>0.87114845938375396</v>
      </c>
      <c r="K29">
        <v>3.2154340836012901E-2</v>
      </c>
      <c r="L29">
        <v>0</v>
      </c>
      <c r="M29">
        <v>0</v>
      </c>
      <c r="N29">
        <v>0.79262150591790503</v>
      </c>
      <c r="O29">
        <v>258.11500000000001</v>
      </c>
      <c r="P29">
        <v>152.74</v>
      </c>
      <c r="Q29">
        <v>27.2</v>
      </c>
      <c r="R29">
        <v>0</v>
      </c>
      <c r="S29">
        <v>4826.01</v>
      </c>
      <c r="T29">
        <v>150</v>
      </c>
      <c r="U29">
        <v>1032.46</v>
      </c>
      <c r="V29">
        <v>0</v>
      </c>
      <c r="W29">
        <v>0</v>
      </c>
      <c r="X29">
        <v>43</v>
      </c>
      <c r="Y29">
        <v>0</v>
      </c>
      <c r="Z29">
        <v>10</v>
      </c>
      <c r="AA29" s="2">
        <v>45649</v>
      </c>
      <c r="AB29" t="s">
        <v>1747</v>
      </c>
      <c r="AC29">
        <v>262</v>
      </c>
      <c r="AD29">
        <v>160.67000000000002</v>
      </c>
      <c r="AE29">
        <v>1.83</v>
      </c>
      <c r="AF29">
        <v>39</v>
      </c>
      <c r="AG29">
        <v>223</v>
      </c>
      <c r="AH29">
        <v>125.9</v>
      </c>
      <c r="AI29">
        <v>32.92</v>
      </c>
      <c r="AJ29">
        <v>68.3</v>
      </c>
      <c r="AK29">
        <v>53.64</v>
      </c>
      <c r="AL29">
        <v>4.83</v>
      </c>
      <c r="AM29">
        <v>311</v>
      </c>
      <c r="AN29">
        <v>3</v>
      </c>
      <c r="AO29">
        <v>10</v>
      </c>
      <c r="AP29">
        <v>48.37</v>
      </c>
      <c r="AQ29">
        <v>0.1</v>
      </c>
      <c r="AR29">
        <v>0.05</v>
      </c>
      <c r="AS29">
        <v>0.7</v>
      </c>
      <c r="AT29">
        <v>32.5</v>
      </c>
      <c r="AU29">
        <v>0</v>
      </c>
      <c r="AV29">
        <v>0.65</v>
      </c>
      <c r="AW29">
        <v>0.98</v>
      </c>
      <c r="AX29">
        <v>0.96</v>
      </c>
      <c r="AY29">
        <v>0.94</v>
      </c>
      <c r="AZ29">
        <v>0.2</v>
      </c>
      <c r="BA29">
        <v>0.1</v>
      </c>
      <c r="BB29">
        <v>0.05</v>
      </c>
      <c r="BC29">
        <v>0.05</v>
      </c>
      <c r="BD29">
        <v>150</v>
      </c>
      <c r="BE29">
        <v>0</v>
      </c>
      <c r="BF29">
        <v>158.84</v>
      </c>
      <c r="BG29">
        <v>3051.4300000000003</v>
      </c>
    </row>
    <row r="30" spans="1:59" hidden="1" x14ac:dyDescent="0.25">
      <c r="A30" t="s">
        <v>115</v>
      </c>
      <c r="B30">
        <v>50</v>
      </c>
      <c r="C30">
        <v>49.85</v>
      </c>
      <c r="D30">
        <v>49.85</v>
      </c>
      <c r="E30">
        <v>0.997</v>
      </c>
      <c r="F30">
        <v>1053.0812000000001</v>
      </c>
      <c r="G30">
        <v>324.02500000000003</v>
      </c>
      <c r="H30">
        <v>0</v>
      </c>
      <c r="I30">
        <v>0</v>
      </c>
      <c r="J30">
        <v>0.88888888888888895</v>
      </c>
      <c r="K30">
        <v>6.25E-2</v>
      </c>
      <c r="L30">
        <v>0</v>
      </c>
      <c r="M30">
        <v>0</v>
      </c>
      <c r="N30">
        <v>0.111735205616851</v>
      </c>
      <c r="O30">
        <v>0</v>
      </c>
      <c r="P30">
        <v>13.75</v>
      </c>
      <c r="Q30">
        <v>6</v>
      </c>
      <c r="R30">
        <v>0</v>
      </c>
      <c r="S30">
        <v>1396.8561999999999</v>
      </c>
      <c r="T30">
        <v>50</v>
      </c>
      <c r="U30">
        <v>324.02499999999998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45649</v>
      </c>
      <c r="AB30" t="s">
        <v>1746</v>
      </c>
      <c r="AC30">
        <v>13</v>
      </c>
      <c r="AD30">
        <v>50.02</v>
      </c>
      <c r="AE30">
        <v>0.17</v>
      </c>
      <c r="AF30">
        <v>0</v>
      </c>
      <c r="AG30">
        <v>13</v>
      </c>
      <c r="AH30">
        <v>5.57</v>
      </c>
      <c r="AI30">
        <v>44.28</v>
      </c>
      <c r="AJ30">
        <v>17.440000000000001</v>
      </c>
      <c r="AK30">
        <v>2.2400000000000002</v>
      </c>
      <c r="AL30">
        <v>0.26</v>
      </c>
      <c r="AM30">
        <v>16</v>
      </c>
      <c r="AN30">
        <v>2</v>
      </c>
      <c r="AO30">
        <v>1</v>
      </c>
      <c r="AP30">
        <v>0</v>
      </c>
      <c r="AQ30">
        <v>0.1</v>
      </c>
      <c r="AR30">
        <v>0.05</v>
      </c>
      <c r="AS30">
        <v>0.7</v>
      </c>
      <c r="AT30">
        <v>32.5</v>
      </c>
      <c r="AU30">
        <v>0</v>
      </c>
      <c r="AV30">
        <v>0.65</v>
      </c>
      <c r="AW30">
        <v>0.98</v>
      </c>
      <c r="AX30">
        <v>0.96</v>
      </c>
      <c r="AY30">
        <v>0.94</v>
      </c>
      <c r="AZ30">
        <v>0.2</v>
      </c>
      <c r="BA30">
        <v>0.1</v>
      </c>
      <c r="BB30">
        <v>0.05</v>
      </c>
      <c r="BC30">
        <v>0.05</v>
      </c>
      <c r="BD30">
        <v>50</v>
      </c>
      <c r="BE30">
        <v>0</v>
      </c>
      <c r="BF30">
        <v>49.85</v>
      </c>
      <c r="BG30">
        <v>138.04</v>
      </c>
    </row>
    <row r="31" spans="1:59" hidden="1" x14ac:dyDescent="0.25">
      <c r="A31" t="s">
        <v>115</v>
      </c>
      <c r="B31">
        <v>100</v>
      </c>
      <c r="C31">
        <v>101.98</v>
      </c>
      <c r="D31">
        <v>100</v>
      </c>
      <c r="E31">
        <v>1</v>
      </c>
      <c r="F31">
        <v>2112.5</v>
      </c>
      <c r="G31">
        <v>650</v>
      </c>
      <c r="H31">
        <v>0</v>
      </c>
      <c r="I31">
        <v>0</v>
      </c>
      <c r="J31">
        <v>0.99502487562189101</v>
      </c>
      <c r="K31">
        <v>7.0000000000000007E-2</v>
      </c>
      <c r="L31">
        <v>0</v>
      </c>
      <c r="M31">
        <v>0</v>
      </c>
      <c r="N31">
        <v>0.74593057462247503</v>
      </c>
      <c r="O31">
        <v>162.5</v>
      </c>
      <c r="P31">
        <v>141.54</v>
      </c>
      <c r="Q31">
        <v>5.4</v>
      </c>
      <c r="R31">
        <v>0</v>
      </c>
      <c r="S31">
        <v>3071.94</v>
      </c>
      <c r="T31">
        <v>100</v>
      </c>
      <c r="U31">
        <v>650</v>
      </c>
      <c r="V31">
        <v>0</v>
      </c>
      <c r="W31">
        <v>0</v>
      </c>
      <c r="X31">
        <v>0</v>
      </c>
      <c r="Y31">
        <v>0</v>
      </c>
      <c r="Z31">
        <v>0</v>
      </c>
      <c r="AA31" s="2">
        <v>45649</v>
      </c>
      <c r="AB31" t="s">
        <v>1787</v>
      </c>
      <c r="AC31">
        <v>161</v>
      </c>
      <c r="AD31">
        <v>102.21000000000001</v>
      </c>
      <c r="AE31">
        <v>0.23</v>
      </c>
      <c r="AF31">
        <v>22</v>
      </c>
      <c r="AG31">
        <v>139</v>
      </c>
      <c r="AH31">
        <v>76.069999999999993</v>
      </c>
      <c r="AI31">
        <v>25.91</v>
      </c>
      <c r="AJ31">
        <v>40.479999999999997</v>
      </c>
      <c r="AK31">
        <v>28.950000000000003</v>
      </c>
      <c r="AL31">
        <v>3.1500000000000004</v>
      </c>
      <c r="AM31">
        <v>200</v>
      </c>
      <c r="AN31">
        <v>1</v>
      </c>
      <c r="AO31">
        <v>14</v>
      </c>
      <c r="AP31">
        <v>50.370000000000005</v>
      </c>
      <c r="AQ31">
        <v>0.1</v>
      </c>
      <c r="AR31">
        <v>0.05</v>
      </c>
      <c r="AS31">
        <v>0.7</v>
      </c>
      <c r="AT31">
        <v>32.5</v>
      </c>
      <c r="AU31">
        <v>0</v>
      </c>
      <c r="AV31">
        <v>0.65</v>
      </c>
      <c r="AW31">
        <v>0.98</v>
      </c>
      <c r="AX31">
        <v>0.96</v>
      </c>
      <c r="AY31">
        <v>0.94</v>
      </c>
      <c r="AZ31">
        <v>0.2</v>
      </c>
      <c r="BA31">
        <v>0.1</v>
      </c>
      <c r="BB31">
        <v>0.05</v>
      </c>
      <c r="BC31">
        <v>0.05</v>
      </c>
      <c r="BD31">
        <v>100</v>
      </c>
      <c r="BE31">
        <v>0</v>
      </c>
      <c r="BF31">
        <v>100</v>
      </c>
      <c r="BG31">
        <v>1761.09</v>
      </c>
    </row>
    <row r="32" spans="1:59" hidden="1" x14ac:dyDescent="0.25">
      <c r="A32" t="s">
        <v>115</v>
      </c>
      <c r="B32">
        <v>53</v>
      </c>
      <c r="C32">
        <v>53.41</v>
      </c>
      <c r="D32">
        <v>53</v>
      </c>
      <c r="E32">
        <v>1</v>
      </c>
      <c r="F32">
        <v>1119.625</v>
      </c>
      <c r="G32">
        <v>344.5</v>
      </c>
      <c r="H32">
        <v>0</v>
      </c>
      <c r="I32">
        <v>0</v>
      </c>
      <c r="J32">
        <v>1</v>
      </c>
      <c r="K32">
        <v>0</v>
      </c>
      <c r="L32">
        <v>172.25</v>
      </c>
      <c r="M32">
        <v>0</v>
      </c>
      <c r="N32">
        <v>0.69799662984459798</v>
      </c>
      <c r="O32">
        <v>0</v>
      </c>
      <c r="P32">
        <v>55.81</v>
      </c>
      <c r="Q32">
        <v>0</v>
      </c>
      <c r="R32">
        <v>0</v>
      </c>
      <c r="S32">
        <v>1692.1849999999999</v>
      </c>
      <c r="T32">
        <v>50</v>
      </c>
      <c r="U32">
        <v>344.5</v>
      </c>
      <c r="V32">
        <v>53</v>
      </c>
      <c r="W32">
        <v>0</v>
      </c>
      <c r="X32">
        <v>0</v>
      </c>
      <c r="Y32">
        <v>172.25</v>
      </c>
      <c r="Z32">
        <v>3</v>
      </c>
      <c r="AA32" s="2">
        <v>45649</v>
      </c>
      <c r="AB32" t="s">
        <v>1751</v>
      </c>
      <c r="AC32">
        <v>54</v>
      </c>
      <c r="AD32">
        <v>53.41</v>
      </c>
      <c r="AE32">
        <v>0</v>
      </c>
      <c r="AF32">
        <v>14</v>
      </c>
      <c r="AG32">
        <v>40</v>
      </c>
      <c r="AH32">
        <v>37.28</v>
      </c>
      <c r="AI32">
        <v>16.14</v>
      </c>
      <c r="AJ32">
        <v>38.31</v>
      </c>
      <c r="AK32">
        <v>26.83</v>
      </c>
      <c r="AL32">
        <v>1.01</v>
      </c>
      <c r="AM32">
        <v>63</v>
      </c>
      <c r="AN32">
        <v>0</v>
      </c>
      <c r="AO32">
        <v>0</v>
      </c>
      <c r="AP32">
        <v>53.41</v>
      </c>
      <c r="AQ32">
        <v>0.1</v>
      </c>
      <c r="AR32">
        <v>0.05</v>
      </c>
      <c r="AS32">
        <v>0.7</v>
      </c>
      <c r="AT32">
        <v>32.5</v>
      </c>
      <c r="AU32">
        <v>0</v>
      </c>
      <c r="AV32">
        <v>0.65</v>
      </c>
      <c r="AW32">
        <v>0.98</v>
      </c>
      <c r="AX32">
        <v>0.96</v>
      </c>
      <c r="AY32">
        <v>0.94</v>
      </c>
      <c r="AZ32">
        <v>0.2</v>
      </c>
      <c r="BA32">
        <v>0.1</v>
      </c>
      <c r="BB32">
        <v>0.05</v>
      </c>
      <c r="BC32">
        <v>0.05</v>
      </c>
      <c r="BD32">
        <v>50</v>
      </c>
      <c r="BE32">
        <v>0</v>
      </c>
      <c r="BF32">
        <v>0</v>
      </c>
      <c r="BG32">
        <v>730.3</v>
      </c>
    </row>
    <row r="33" spans="1:59" hidden="1" x14ac:dyDescent="0.25">
      <c r="A33" t="s">
        <v>115</v>
      </c>
      <c r="B33">
        <v>50</v>
      </c>
      <c r="C33">
        <v>50.03</v>
      </c>
      <c r="D33">
        <v>50</v>
      </c>
      <c r="E33">
        <v>1</v>
      </c>
      <c r="F33">
        <v>1056.25</v>
      </c>
      <c r="G33">
        <v>325</v>
      </c>
      <c r="H33">
        <v>0</v>
      </c>
      <c r="I33">
        <v>0</v>
      </c>
      <c r="J33">
        <v>1</v>
      </c>
      <c r="K33">
        <v>4.47761194029851E-2</v>
      </c>
      <c r="L33">
        <v>0</v>
      </c>
      <c r="M33">
        <v>81.25</v>
      </c>
      <c r="N33">
        <v>0.58344993004197498</v>
      </c>
      <c r="O33">
        <v>0</v>
      </c>
      <c r="P33">
        <v>45.02</v>
      </c>
      <c r="Q33">
        <v>0</v>
      </c>
      <c r="R33">
        <v>0</v>
      </c>
      <c r="S33">
        <v>1507.52</v>
      </c>
      <c r="T33">
        <v>50</v>
      </c>
      <c r="U33">
        <v>325</v>
      </c>
      <c r="V33">
        <v>0</v>
      </c>
      <c r="W33">
        <v>50</v>
      </c>
      <c r="X33">
        <v>0</v>
      </c>
      <c r="Y33">
        <v>81.25</v>
      </c>
      <c r="Z33">
        <v>0</v>
      </c>
      <c r="AA33" s="2">
        <v>45649</v>
      </c>
      <c r="AB33" t="s">
        <v>1815</v>
      </c>
      <c r="AC33">
        <v>54</v>
      </c>
      <c r="AD33">
        <v>50.03</v>
      </c>
      <c r="AE33">
        <v>0</v>
      </c>
      <c r="AF33">
        <v>19</v>
      </c>
      <c r="AG33">
        <v>35</v>
      </c>
      <c r="AH33">
        <v>29.19</v>
      </c>
      <c r="AI33">
        <v>20.84</v>
      </c>
      <c r="AJ33">
        <v>37.49</v>
      </c>
      <c r="AK33">
        <v>24.53</v>
      </c>
      <c r="AL33">
        <v>1.08</v>
      </c>
      <c r="AM33">
        <v>67</v>
      </c>
      <c r="AN33">
        <v>0</v>
      </c>
      <c r="AO33">
        <v>3</v>
      </c>
      <c r="AP33">
        <v>0</v>
      </c>
      <c r="AQ33">
        <v>0.1</v>
      </c>
      <c r="AR33">
        <v>0.05</v>
      </c>
      <c r="AS33">
        <v>0.7</v>
      </c>
      <c r="AT33">
        <v>32.5</v>
      </c>
      <c r="AU33">
        <v>0</v>
      </c>
      <c r="AV33">
        <v>0.65</v>
      </c>
      <c r="AW33">
        <v>0.98</v>
      </c>
      <c r="AX33">
        <v>0.96</v>
      </c>
      <c r="AY33">
        <v>0.94</v>
      </c>
      <c r="AZ33">
        <v>0.2</v>
      </c>
      <c r="BA33">
        <v>0.1</v>
      </c>
      <c r="BB33">
        <v>0.05</v>
      </c>
      <c r="BC33">
        <v>0.05</v>
      </c>
      <c r="BD33">
        <v>50</v>
      </c>
      <c r="BE33">
        <v>0</v>
      </c>
      <c r="BF33">
        <v>0</v>
      </c>
      <c r="BG33">
        <v>631.01</v>
      </c>
    </row>
    <row r="34" spans="1:59" hidden="1" x14ac:dyDescent="0.25">
      <c r="A34" t="s">
        <v>115</v>
      </c>
      <c r="B34">
        <v>510</v>
      </c>
      <c r="C34">
        <v>509.03000000000003</v>
      </c>
      <c r="D34">
        <v>509.03000000000003</v>
      </c>
      <c r="E34">
        <v>0.99809803921568596</v>
      </c>
      <c r="F34">
        <v>10912.0761</v>
      </c>
      <c r="G34">
        <v>3357.5618800000002</v>
      </c>
      <c r="H34">
        <v>0</v>
      </c>
      <c r="I34">
        <v>0</v>
      </c>
      <c r="J34">
        <v>0.98223801065719396</v>
      </c>
      <c r="K34">
        <v>1.5370705244123E-2</v>
      </c>
      <c r="L34">
        <v>1678.7809</v>
      </c>
      <c r="M34">
        <v>0</v>
      </c>
      <c r="N34">
        <v>0.93279374496591505</v>
      </c>
      <c r="O34">
        <v>839.39049999999997</v>
      </c>
      <c r="P34">
        <v>758.28</v>
      </c>
      <c r="Q34">
        <v>68.7</v>
      </c>
      <c r="R34">
        <v>0</v>
      </c>
      <c r="S34">
        <v>17614.789400000001</v>
      </c>
      <c r="T34">
        <v>510</v>
      </c>
      <c r="U34">
        <v>3357.5619000000002</v>
      </c>
      <c r="V34">
        <v>509.03000000000003</v>
      </c>
      <c r="W34">
        <v>0</v>
      </c>
      <c r="X34">
        <v>6</v>
      </c>
      <c r="Y34">
        <v>1678.7809</v>
      </c>
      <c r="Z34">
        <v>0</v>
      </c>
      <c r="AA34" s="2">
        <v>45649</v>
      </c>
      <c r="AB34" t="s">
        <v>1600</v>
      </c>
      <c r="AC34">
        <v>955</v>
      </c>
      <c r="AD34">
        <v>517.31000000000006</v>
      </c>
      <c r="AE34">
        <v>8.2800000000000011</v>
      </c>
      <c r="AF34">
        <v>177</v>
      </c>
      <c r="AG34">
        <v>778</v>
      </c>
      <c r="AH34">
        <v>474.81999999999994</v>
      </c>
      <c r="AI34">
        <v>34.19</v>
      </c>
      <c r="AJ34">
        <v>247.41</v>
      </c>
      <c r="AK34">
        <v>223.01999999999998</v>
      </c>
      <c r="AL34">
        <v>20.37</v>
      </c>
      <c r="AM34">
        <v>1106</v>
      </c>
      <c r="AN34">
        <v>14</v>
      </c>
      <c r="AO34">
        <v>17</v>
      </c>
      <c r="AP34">
        <v>509.03000000000003</v>
      </c>
      <c r="AQ34">
        <v>0.1</v>
      </c>
      <c r="AR34">
        <v>0.05</v>
      </c>
      <c r="AS34">
        <v>0.7</v>
      </c>
      <c r="AT34">
        <v>32.979999999999997</v>
      </c>
      <c r="AU34">
        <v>0</v>
      </c>
      <c r="AV34">
        <v>0.65</v>
      </c>
      <c r="AW34">
        <v>0.98</v>
      </c>
      <c r="AX34">
        <v>0.96</v>
      </c>
      <c r="AY34">
        <v>0.94</v>
      </c>
      <c r="AZ34">
        <v>0.2</v>
      </c>
      <c r="BA34">
        <v>0.1</v>
      </c>
      <c r="BB34">
        <v>0.05</v>
      </c>
      <c r="BC34">
        <v>0.05</v>
      </c>
      <c r="BD34">
        <v>510</v>
      </c>
      <c r="BE34">
        <v>0</v>
      </c>
      <c r="BF34">
        <v>0</v>
      </c>
      <c r="BG34">
        <v>11166.119999999999</v>
      </c>
    </row>
    <row r="35" spans="1:59" hidden="1" x14ac:dyDescent="0.25">
      <c r="A35" t="s">
        <v>115</v>
      </c>
      <c r="B35">
        <v>70</v>
      </c>
      <c r="C35">
        <v>69.92</v>
      </c>
      <c r="D35">
        <v>69.92</v>
      </c>
      <c r="E35">
        <v>1</v>
      </c>
      <c r="F35">
        <v>1477.06</v>
      </c>
      <c r="G35">
        <v>454.48</v>
      </c>
      <c r="H35">
        <v>0</v>
      </c>
      <c r="I35">
        <v>0</v>
      </c>
      <c r="J35">
        <v>1</v>
      </c>
      <c r="K35">
        <v>1.1111111111111099E-2</v>
      </c>
      <c r="L35">
        <v>227.24</v>
      </c>
      <c r="M35">
        <v>0</v>
      </c>
      <c r="N35">
        <v>0.59253432494279201</v>
      </c>
      <c r="O35">
        <v>0</v>
      </c>
      <c r="P35">
        <v>71.69</v>
      </c>
      <c r="Q35">
        <v>6</v>
      </c>
      <c r="R35">
        <v>0</v>
      </c>
      <c r="S35">
        <v>2236.4699999999998</v>
      </c>
      <c r="T35">
        <v>50</v>
      </c>
      <c r="U35">
        <v>454.48</v>
      </c>
      <c r="V35">
        <v>69.92</v>
      </c>
      <c r="W35">
        <v>0</v>
      </c>
      <c r="X35">
        <v>0</v>
      </c>
      <c r="Y35">
        <v>227.24</v>
      </c>
      <c r="Z35">
        <v>20</v>
      </c>
      <c r="AA35" s="2">
        <v>45649</v>
      </c>
      <c r="AB35" t="s">
        <v>1742</v>
      </c>
      <c r="AC35">
        <v>80</v>
      </c>
      <c r="AD35">
        <v>70.08</v>
      </c>
      <c r="AE35">
        <v>0.16</v>
      </c>
      <c r="AF35">
        <v>14</v>
      </c>
      <c r="AG35">
        <v>66</v>
      </c>
      <c r="AH35">
        <v>41.43</v>
      </c>
      <c r="AI35">
        <v>28.49</v>
      </c>
      <c r="AJ35">
        <v>38.35</v>
      </c>
      <c r="AK35">
        <v>24.44</v>
      </c>
      <c r="AL35">
        <v>1.1399999999999999</v>
      </c>
      <c r="AM35">
        <v>90</v>
      </c>
      <c r="AN35">
        <v>0</v>
      </c>
      <c r="AO35">
        <v>1</v>
      </c>
      <c r="AP35">
        <v>69.92</v>
      </c>
      <c r="AQ35">
        <v>0.1</v>
      </c>
      <c r="AR35">
        <v>0.05</v>
      </c>
      <c r="AS35">
        <v>0.7</v>
      </c>
      <c r="AT35">
        <v>32.5</v>
      </c>
      <c r="AU35">
        <v>0</v>
      </c>
      <c r="AV35">
        <v>0.65</v>
      </c>
      <c r="AW35">
        <v>0.98</v>
      </c>
      <c r="AX35">
        <v>0.96</v>
      </c>
      <c r="AY35">
        <v>0.94</v>
      </c>
      <c r="AZ35">
        <v>0.2</v>
      </c>
      <c r="BA35">
        <v>0.1</v>
      </c>
      <c r="BB35">
        <v>0.05</v>
      </c>
      <c r="BC35">
        <v>0.05</v>
      </c>
      <c r="BD35">
        <v>50</v>
      </c>
      <c r="BE35">
        <v>0</v>
      </c>
      <c r="BF35">
        <v>0</v>
      </c>
      <c r="BG35">
        <v>892.86</v>
      </c>
    </row>
    <row r="36" spans="1:59" hidden="1" x14ac:dyDescent="0.25">
      <c r="A36" t="s">
        <v>115</v>
      </c>
      <c r="B36">
        <v>50</v>
      </c>
      <c r="C36">
        <v>50.06</v>
      </c>
      <c r="D36">
        <v>50</v>
      </c>
      <c r="E36">
        <v>1</v>
      </c>
      <c r="F36">
        <v>1056.25</v>
      </c>
      <c r="G36">
        <v>325</v>
      </c>
      <c r="H36">
        <v>0</v>
      </c>
      <c r="I36">
        <v>0</v>
      </c>
      <c r="J36">
        <v>1</v>
      </c>
      <c r="K36">
        <v>7.1428571428571397E-2</v>
      </c>
      <c r="L36">
        <v>0</v>
      </c>
      <c r="M36">
        <v>0</v>
      </c>
      <c r="N36">
        <v>0.66939672393128202</v>
      </c>
      <c r="O36">
        <v>0</v>
      </c>
      <c r="P36">
        <v>60.36</v>
      </c>
      <c r="Q36">
        <v>3.8</v>
      </c>
      <c r="R36">
        <v>0</v>
      </c>
      <c r="S36">
        <v>1445.41</v>
      </c>
      <c r="T36">
        <v>50</v>
      </c>
      <c r="U36">
        <v>325</v>
      </c>
      <c r="V36">
        <v>0</v>
      </c>
      <c r="W36">
        <v>0</v>
      </c>
      <c r="X36">
        <v>0</v>
      </c>
      <c r="Y36">
        <v>0</v>
      </c>
      <c r="Z36">
        <v>0</v>
      </c>
      <c r="AA36" s="2">
        <v>45649</v>
      </c>
      <c r="AB36" t="s">
        <v>1699</v>
      </c>
      <c r="AC36">
        <v>70</v>
      </c>
      <c r="AD36">
        <v>50.07</v>
      </c>
      <c r="AE36">
        <v>0.01</v>
      </c>
      <c r="AF36">
        <v>10</v>
      </c>
      <c r="AG36">
        <v>60</v>
      </c>
      <c r="AH36">
        <v>33.51</v>
      </c>
      <c r="AI36">
        <v>16.54</v>
      </c>
      <c r="AJ36">
        <v>15.75</v>
      </c>
      <c r="AK36">
        <v>11.36</v>
      </c>
      <c r="AL36">
        <v>1.4</v>
      </c>
      <c r="AM36">
        <v>84</v>
      </c>
      <c r="AN36">
        <v>0</v>
      </c>
      <c r="AO36">
        <v>6</v>
      </c>
      <c r="AP36">
        <v>0</v>
      </c>
      <c r="AQ36">
        <v>0.1</v>
      </c>
      <c r="AR36">
        <v>0.05</v>
      </c>
      <c r="AS36">
        <v>0.7</v>
      </c>
      <c r="AT36">
        <v>32.5</v>
      </c>
      <c r="AU36">
        <v>0</v>
      </c>
      <c r="AV36">
        <v>0.65</v>
      </c>
      <c r="AW36">
        <v>0.98</v>
      </c>
      <c r="AX36">
        <v>0.96</v>
      </c>
      <c r="AY36">
        <v>0.94</v>
      </c>
      <c r="AZ36">
        <v>0.2</v>
      </c>
      <c r="BA36">
        <v>0.1</v>
      </c>
      <c r="BB36">
        <v>0.05</v>
      </c>
      <c r="BC36">
        <v>0.05</v>
      </c>
      <c r="BD36">
        <v>50</v>
      </c>
      <c r="BE36">
        <v>0</v>
      </c>
      <c r="BF36">
        <v>50</v>
      </c>
      <c r="BG36">
        <v>816.34</v>
      </c>
    </row>
    <row r="37" spans="1:59" hidden="1" x14ac:dyDescent="0.25">
      <c r="A37" t="s">
        <v>115</v>
      </c>
      <c r="B37">
        <v>825</v>
      </c>
      <c r="C37">
        <v>824.95</v>
      </c>
      <c r="D37">
        <v>824.95</v>
      </c>
      <c r="E37">
        <v>1</v>
      </c>
      <c r="F37">
        <v>18499.503799999999</v>
      </c>
      <c r="G37">
        <v>5692.1550000000007</v>
      </c>
      <c r="H37">
        <v>0</v>
      </c>
      <c r="I37">
        <v>0</v>
      </c>
      <c r="J37">
        <v>0.92080253431890202</v>
      </c>
      <c r="K37">
        <v>4.7591743119266103E-2</v>
      </c>
      <c r="L37">
        <v>0</v>
      </c>
      <c r="M37">
        <v>1423.0388</v>
      </c>
      <c r="N37">
        <v>0.90229710891569204</v>
      </c>
      <c r="O37">
        <v>1423.0388</v>
      </c>
      <c r="P37">
        <v>1061.71</v>
      </c>
      <c r="Q37">
        <v>160.5</v>
      </c>
      <c r="R37">
        <v>0</v>
      </c>
      <c r="S37">
        <v>28259.9463</v>
      </c>
      <c r="T37">
        <v>800</v>
      </c>
      <c r="U37">
        <v>5692.1549999999997</v>
      </c>
      <c r="V37">
        <v>0</v>
      </c>
      <c r="W37">
        <v>824.95</v>
      </c>
      <c r="X37">
        <v>64</v>
      </c>
      <c r="Y37">
        <v>1423.0388</v>
      </c>
      <c r="Z37">
        <v>25</v>
      </c>
      <c r="AA37" s="2">
        <v>45649</v>
      </c>
      <c r="AB37" t="s">
        <v>1599</v>
      </c>
      <c r="AC37">
        <v>1436</v>
      </c>
      <c r="AD37">
        <v>831.04</v>
      </c>
      <c r="AE37">
        <v>6.089999999999999</v>
      </c>
      <c r="AF37">
        <v>242</v>
      </c>
      <c r="AG37">
        <v>1194</v>
      </c>
      <c r="AH37">
        <v>744.35</v>
      </c>
      <c r="AI37">
        <v>80.550000000000011</v>
      </c>
      <c r="AJ37">
        <v>292.80999999999995</v>
      </c>
      <c r="AK37">
        <v>260.54999999999995</v>
      </c>
      <c r="AL37">
        <v>49.13</v>
      </c>
      <c r="AM37">
        <v>1744</v>
      </c>
      <c r="AN37">
        <v>86</v>
      </c>
      <c r="AO37">
        <v>83</v>
      </c>
      <c r="AP37">
        <v>360.81000000000006</v>
      </c>
      <c r="AQ37">
        <v>0.1</v>
      </c>
      <c r="AR37">
        <v>0.05</v>
      </c>
      <c r="AS37">
        <v>0.7</v>
      </c>
      <c r="AT37">
        <v>34.5</v>
      </c>
      <c r="AU37">
        <v>0</v>
      </c>
      <c r="AV37">
        <v>0.65</v>
      </c>
      <c r="AW37">
        <v>0.98</v>
      </c>
      <c r="AX37">
        <v>0.96</v>
      </c>
      <c r="AY37">
        <v>0.94</v>
      </c>
      <c r="AZ37">
        <v>0.2</v>
      </c>
      <c r="BA37">
        <v>0.1</v>
      </c>
      <c r="BB37">
        <v>0.05</v>
      </c>
      <c r="BC37">
        <v>0.05</v>
      </c>
      <c r="BD37">
        <v>800</v>
      </c>
      <c r="BE37">
        <v>0</v>
      </c>
      <c r="BF37">
        <v>0</v>
      </c>
      <c r="BG37">
        <v>17204.329999999998</v>
      </c>
    </row>
    <row r="38" spans="1:59" hidden="1" x14ac:dyDescent="0.25">
      <c r="A38" t="s">
        <v>115</v>
      </c>
      <c r="B38">
        <v>50</v>
      </c>
      <c r="C38">
        <v>50.05</v>
      </c>
      <c r="D38">
        <v>50</v>
      </c>
      <c r="E38">
        <v>1</v>
      </c>
      <c r="F38">
        <v>1056.25</v>
      </c>
      <c r="G38">
        <v>325</v>
      </c>
      <c r="H38">
        <v>0</v>
      </c>
      <c r="I38">
        <v>0</v>
      </c>
      <c r="J38">
        <v>1</v>
      </c>
      <c r="K38">
        <v>0</v>
      </c>
      <c r="L38">
        <v>162.5</v>
      </c>
      <c r="M38">
        <v>0</v>
      </c>
      <c r="N38">
        <v>0.72107892107892102</v>
      </c>
      <c r="O38">
        <v>81.25</v>
      </c>
      <c r="P38">
        <v>66</v>
      </c>
      <c r="Q38">
        <v>0</v>
      </c>
      <c r="R38">
        <v>0</v>
      </c>
      <c r="S38">
        <v>1691</v>
      </c>
      <c r="T38">
        <v>50</v>
      </c>
      <c r="U38">
        <v>325</v>
      </c>
      <c r="V38">
        <v>50</v>
      </c>
      <c r="W38">
        <v>0</v>
      </c>
      <c r="X38">
        <v>0</v>
      </c>
      <c r="Y38">
        <v>162.5</v>
      </c>
      <c r="Z38">
        <v>0</v>
      </c>
      <c r="AA38" s="2">
        <v>45649</v>
      </c>
      <c r="AB38" t="s">
        <v>1750</v>
      </c>
      <c r="AC38">
        <v>71</v>
      </c>
      <c r="AD38">
        <v>50.05</v>
      </c>
      <c r="AE38">
        <v>0</v>
      </c>
      <c r="AF38">
        <v>13</v>
      </c>
      <c r="AG38">
        <v>58</v>
      </c>
      <c r="AH38">
        <v>36.090000000000003</v>
      </c>
      <c r="AI38">
        <v>13.95</v>
      </c>
      <c r="AJ38">
        <v>18.87</v>
      </c>
      <c r="AK38">
        <v>15.3</v>
      </c>
      <c r="AL38">
        <v>1.42</v>
      </c>
      <c r="AM38">
        <v>76</v>
      </c>
      <c r="AN38">
        <v>0</v>
      </c>
      <c r="AO38">
        <v>0</v>
      </c>
      <c r="AP38">
        <v>50.05</v>
      </c>
      <c r="AQ38">
        <v>0.1</v>
      </c>
      <c r="AR38">
        <v>0.05</v>
      </c>
      <c r="AS38">
        <v>0.7</v>
      </c>
      <c r="AT38">
        <v>32.5</v>
      </c>
      <c r="AU38">
        <v>0</v>
      </c>
      <c r="AV38">
        <v>0.65</v>
      </c>
      <c r="AW38">
        <v>0.98</v>
      </c>
      <c r="AX38">
        <v>0.96</v>
      </c>
      <c r="AY38">
        <v>0.94</v>
      </c>
      <c r="AZ38">
        <v>0.2</v>
      </c>
      <c r="BA38">
        <v>0.1</v>
      </c>
      <c r="BB38">
        <v>0.05</v>
      </c>
      <c r="BC38">
        <v>0.05</v>
      </c>
      <c r="BD38">
        <v>50</v>
      </c>
      <c r="BE38">
        <v>0</v>
      </c>
      <c r="BF38">
        <v>0</v>
      </c>
      <c r="BG38">
        <v>781.02</v>
      </c>
    </row>
    <row r="39" spans="1:59" hidden="1" x14ac:dyDescent="0.25">
      <c r="A39" t="s">
        <v>115</v>
      </c>
      <c r="B39">
        <v>105</v>
      </c>
      <c r="C39">
        <v>101.62</v>
      </c>
      <c r="D39">
        <v>101.62</v>
      </c>
      <c r="E39">
        <v>1</v>
      </c>
      <c r="F39">
        <v>2146.7224999999999</v>
      </c>
      <c r="G39">
        <v>660.53</v>
      </c>
      <c r="H39">
        <v>0</v>
      </c>
      <c r="I39">
        <v>0</v>
      </c>
      <c r="J39">
        <v>1</v>
      </c>
      <c r="K39">
        <v>6.1349693251533796E-3</v>
      </c>
      <c r="L39">
        <v>330.26499999999999</v>
      </c>
      <c r="M39">
        <v>0</v>
      </c>
      <c r="N39">
        <v>0.64150757724857299</v>
      </c>
      <c r="O39">
        <v>0</v>
      </c>
      <c r="P39">
        <v>123.94</v>
      </c>
      <c r="Q39">
        <v>7.1</v>
      </c>
      <c r="R39">
        <v>0</v>
      </c>
      <c r="S39">
        <v>3268.5574999999999</v>
      </c>
      <c r="T39">
        <v>100</v>
      </c>
      <c r="U39">
        <v>660.53</v>
      </c>
      <c r="V39">
        <v>101.62</v>
      </c>
      <c r="W39">
        <v>0</v>
      </c>
      <c r="X39">
        <v>0</v>
      </c>
      <c r="Y39">
        <v>330.26499999999999</v>
      </c>
      <c r="Z39">
        <v>5</v>
      </c>
      <c r="AA39" s="2">
        <v>45649</v>
      </c>
      <c r="AB39" t="s">
        <v>1814</v>
      </c>
      <c r="AC39">
        <v>143</v>
      </c>
      <c r="AD39">
        <v>101.69999999999999</v>
      </c>
      <c r="AE39">
        <v>0.08</v>
      </c>
      <c r="AF39">
        <v>24</v>
      </c>
      <c r="AG39">
        <v>119</v>
      </c>
      <c r="AH39">
        <v>65.19</v>
      </c>
      <c r="AI39">
        <v>36.42</v>
      </c>
      <c r="AJ39">
        <v>43.03</v>
      </c>
      <c r="AK39">
        <v>29.6</v>
      </c>
      <c r="AL39">
        <v>2.8099999999999996</v>
      </c>
      <c r="AM39">
        <v>163</v>
      </c>
      <c r="AN39">
        <v>0</v>
      </c>
      <c r="AO39">
        <v>1</v>
      </c>
      <c r="AP39">
        <v>101.62</v>
      </c>
      <c r="AQ39">
        <v>0.1</v>
      </c>
      <c r="AR39">
        <v>0.05</v>
      </c>
      <c r="AS39">
        <v>0.7</v>
      </c>
      <c r="AT39">
        <v>32.5</v>
      </c>
      <c r="AU39">
        <v>0</v>
      </c>
      <c r="AV39">
        <v>0.65</v>
      </c>
      <c r="AW39">
        <v>0.98</v>
      </c>
      <c r="AX39">
        <v>0.96</v>
      </c>
      <c r="AY39">
        <v>0.94</v>
      </c>
      <c r="AZ39">
        <v>0.2</v>
      </c>
      <c r="BA39">
        <v>0.1</v>
      </c>
      <c r="BB39">
        <v>0.05</v>
      </c>
      <c r="BC39">
        <v>0.05</v>
      </c>
      <c r="BD39">
        <v>100</v>
      </c>
      <c r="BE39">
        <v>0</v>
      </c>
      <c r="BF39">
        <v>0</v>
      </c>
      <c r="BG39">
        <v>1509.05</v>
      </c>
    </row>
    <row r="40" spans="1:59" hidden="1" x14ac:dyDescent="0.25">
      <c r="A40" t="s">
        <v>115</v>
      </c>
      <c r="B40">
        <v>50</v>
      </c>
      <c r="C40">
        <v>44.510000000000005</v>
      </c>
      <c r="D40">
        <v>44.510000000000005</v>
      </c>
      <c r="E40">
        <v>0.89019999999999999</v>
      </c>
      <c r="F40">
        <v>0</v>
      </c>
      <c r="G40">
        <v>0</v>
      </c>
      <c r="H40">
        <v>0</v>
      </c>
      <c r="I40">
        <v>0</v>
      </c>
      <c r="J40">
        <v>0.98387096774193605</v>
      </c>
      <c r="K40">
        <v>0</v>
      </c>
      <c r="L40">
        <v>0</v>
      </c>
      <c r="M40">
        <v>0</v>
      </c>
      <c r="N40">
        <v>0.83419456301954598</v>
      </c>
      <c r="O40">
        <v>0</v>
      </c>
      <c r="P40">
        <v>124.74</v>
      </c>
      <c r="Q40">
        <v>6</v>
      </c>
      <c r="R40">
        <v>1084.3499999999999</v>
      </c>
      <c r="S40">
        <v>1215.0899999999999</v>
      </c>
      <c r="T40">
        <v>50</v>
      </c>
      <c r="U40">
        <v>0</v>
      </c>
      <c r="V40">
        <v>44.510000000000005</v>
      </c>
      <c r="W40">
        <v>0</v>
      </c>
      <c r="X40">
        <v>1</v>
      </c>
      <c r="Y40">
        <v>0</v>
      </c>
      <c r="Z40">
        <v>0</v>
      </c>
      <c r="AA40" s="2">
        <v>45649</v>
      </c>
      <c r="AB40" t="s">
        <v>1667</v>
      </c>
      <c r="AC40">
        <v>70</v>
      </c>
      <c r="AD40">
        <v>48.92</v>
      </c>
      <c r="AE40">
        <v>4.41</v>
      </c>
      <c r="AF40">
        <v>17</v>
      </c>
      <c r="AG40">
        <v>53</v>
      </c>
      <c r="AH40">
        <v>37.130000000000003</v>
      </c>
      <c r="AI40">
        <v>7.37</v>
      </c>
      <c r="AJ40">
        <v>20.76</v>
      </c>
      <c r="AK40">
        <v>14.29</v>
      </c>
      <c r="AL40">
        <v>1.43</v>
      </c>
      <c r="AM40">
        <v>61</v>
      </c>
      <c r="AN40">
        <v>0</v>
      </c>
      <c r="AO40">
        <v>0</v>
      </c>
      <c r="AP40">
        <v>44.510000000000005</v>
      </c>
      <c r="AQ40">
        <v>0.1</v>
      </c>
      <c r="AR40">
        <v>0.05</v>
      </c>
      <c r="AS40">
        <v>0.7</v>
      </c>
      <c r="AT40">
        <v>32.5</v>
      </c>
      <c r="AU40">
        <v>0</v>
      </c>
      <c r="AV40">
        <v>0.65</v>
      </c>
      <c r="AW40">
        <v>0.98</v>
      </c>
      <c r="AX40">
        <v>0.96</v>
      </c>
      <c r="AY40">
        <v>0.94</v>
      </c>
      <c r="AZ40">
        <v>0.2</v>
      </c>
      <c r="BA40">
        <v>0.1</v>
      </c>
      <c r="BB40">
        <v>0.05</v>
      </c>
      <c r="BC40">
        <v>0.05</v>
      </c>
      <c r="BD40">
        <v>50</v>
      </c>
      <c r="BE40">
        <v>0</v>
      </c>
      <c r="BF40">
        <v>0</v>
      </c>
      <c r="BG40">
        <v>1084.3499999999999</v>
      </c>
    </row>
    <row r="41" spans="1:59" hidden="1" x14ac:dyDescent="0.25">
      <c r="A41" t="s">
        <v>115</v>
      </c>
      <c r="B41">
        <v>55</v>
      </c>
      <c r="C41">
        <v>53.23</v>
      </c>
      <c r="D41">
        <v>53.23</v>
      </c>
      <c r="E41">
        <v>1</v>
      </c>
      <c r="F41">
        <v>1124.4838</v>
      </c>
      <c r="G41">
        <v>345.995</v>
      </c>
      <c r="H41">
        <v>0</v>
      </c>
      <c r="I41">
        <v>0</v>
      </c>
      <c r="J41">
        <v>0.97916666666666596</v>
      </c>
      <c r="K41">
        <v>1.0638297872340399E-2</v>
      </c>
      <c r="L41">
        <v>172.9975</v>
      </c>
      <c r="M41">
        <v>0</v>
      </c>
      <c r="N41">
        <v>0.713319556640992</v>
      </c>
      <c r="O41">
        <v>86.498800000000003</v>
      </c>
      <c r="P41">
        <v>84.74</v>
      </c>
      <c r="Q41">
        <v>6</v>
      </c>
      <c r="R41">
        <v>0</v>
      </c>
      <c r="S41">
        <v>1820.7149999999999</v>
      </c>
      <c r="T41">
        <v>50</v>
      </c>
      <c r="U41">
        <v>345.995</v>
      </c>
      <c r="V41">
        <v>53.23</v>
      </c>
      <c r="W41">
        <v>0</v>
      </c>
      <c r="X41">
        <v>2</v>
      </c>
      <c r="Y41">
        <v>172.9975</v>
      </c>
      <c r="Z41">
        <v>5</v>
      </c>
      <c r="AA41" s="2">
        <v>45649</v>
      </c>
      <c r="AB41" t="s">
        <v>1812</v>
      </c>
      <c r="AC41">
        <v>79</v>
      </c>
      <c r="AD41">
        <v>53.51</v>
      </c>
      <c r="AE41">
        <v>0.28000000000000003</v>
      </c>
      <c r="AF41">
        <v>6</v>
      </c>
      <c r="AG41">
        <v>73</v>
      </c>
      <c r="AH41">
        <v>37.97</v>
      </c>
      <c r="AI41">
        <v>15.26</v>
      </c>
      <c r="AJ41">
        <v>9.24</v>
      </c>
      <c r="AK41">
        <v>6.51</v>
      </c>
      <c r="AL41">
        <v>1.48</v>
      </c>
      <c r="AM41">
        <v>94</v>
      </c>
      <c r="AN41">
        <v>0</v>
      </c>
      <c r="AO41">
        <v>1</v>
      </c>
      <c r="AP41">
        <v>53.23</v>
      </c>
      <c r="AQ41">
        <v>0.1</v>
      </c>
      <c r="AR41">
        <v>0.05</v>
      </c>
      <c r="AS41">
        <v>0.7</v>
      </c>
      <c r="AT41">
        <v>32.5</v>
      </c>
      <c r="AU41">
        <v>0</v>
      </c>
      <c r="AV41">
        <v>0.65</v>
      </c>
      <c r="AW41">
        <v>0.98</v>
      </c>
      <c r="AX41">
        <v>0.96</v>
      </c>
      <c r="AY41">
        <v>0.94</v>
      </c>
      <c r="AZ41">
        <v>0.2</v>
      </c>
      <c r="BA41">
        <v>0.1</v>
      </c>
      <c r="BB41">
        <v>0.05</v>
      </c>
      <c r="BC41">
        <v>0.05</v>
      </c>
      <c r="BD41">
        <v>50</v>
      </c>
      <c r="BE41">
        <v>0</v>
      </c>
      <c r="BF41">
        <v>0</v>
      </c>
      <c r="BG41">
        <v>874.32</v>
      </c>
    </row>
    <row r="42" spans="1:59" hidden="1" x14ac:dyDescent="0.25">
      <c r="A42" t="s">
        <v>115</v>
      </c>
      <c r="B42">
        <v>61</v>
      </c>
      <c r="C42">
        <v>61.13</v>
      </c>
      <c r="D42">
        <v>61</v>
      </c>
      <c r="E42">
        <v>1</v>
      </c>
      <c r="F42">
        <v>1288.625</v>
      </c>
      <c r="G42">
        <v>396.5</v>
      </c>
      <c r="H42">
        <v>0</v>
      </c>
      <c r="I42">
        <v>0</v>
      </c>
      <c r="J42">
        <v>0.98888888888888904</v>
      </c>
      <c r="K42">
        <v>0</v>
      </c>
      <c r="L42">
        <v>198.25</v>
      </c>
      <c r="M42">
        <v>0</v>
      </c>
      <c r="N42">
        <v>0.68984132177326996</v>
      </c>
      <c r="O42">
        <v>0</v>
      </c>
      <c r="P42">
        <v>74.39</v>
      </c>
      <c r="Q42">
        <v>0</v>
      </c>
      <c r="R42">
        <v>0</v>
      </c>
      <c r="S42">
        <v>1957.7650000000001</v>
      </c>
      <c r="T42">
        <v>50</v>
      </c>
      <c r="U42">
        <v>396.5</v>
      </c>
      <c r="V42">
        <v>61</v>
      </c>
      <c r="W42">
        <v>0</v>
      </c>
      <c r="X42">
        <v>0</v>
      </c>
      <c r="Y42">
        <v>198.25</v>
      </c>
      <c r="Z42">
        <v>11</v>
      </c>
      <c r="AA42" s="2">
        <v>45649</v>
      </c>
      <c r="AB42" t="s">
        <v>1748</v>
      </c>
      <c r="AC42">
        <v>86</v>
      </c>
      <c r="AD42">
        <v>61.13</v>
      </c>
      <c r="AE42">
        <v>0</v>
      </c>
      <c r="AF42">
        <v>9</v>
      </c>
      <c r="AG42">
        <v>77</v>
      </c>
      <c r="AH42">
        <v>42.17</v>
      </c>
      <c r="AI42">
        <v>18.96</v>
      </c>
      <c r="AJ42">
        <v>19.79</v>
      </c>
      <c r="AK42">
        <v>13.77</v>
      </c>
      <c r="AL42">
        <v>1.41</v>
      </c>
      <c r="AM42">
        <v>89</v>
      </c>
      <c r="AN42">
        <v>1</v>
      </c>
      <c r="AO42">
        <v>0</v>
      </c>
      <c r="AP42">
        <v>61.13</v>
      </c>
      <c r="AQ42">
        <v>0.1</v>
      </c>
      <c r="AR42">
        <v>0.05</v>
      </c>
      <c r="AS42">
        <v>0.7</v>
      </c>
      <c r="AT42">
        <v>32.5</v>
      </c>
      <c r="AU42">
        <v>0</v>
      </c>
      <c r="AV42">
        <v>0.65</v>
      </c>
      <c r="AW42">
        <v>0.98</v>
      </c>
      <c r="AX42">
        <v>0.96</v>
      </c>
      <c r="AY42">
        <v>0.94</v>
      </c>
      <c r="AZ42">
        <v>0.2</v>
      </c>
      <c r="BA42">
        <v>0.1</v>
      </c>
      <c r="BB42">
        <v>0.05</v>
      </c>
      <c r="BC42">
        <v>0.05</v>
      </c>
      <c r="BD42">
        <v>50</v>
      </c>
      <c r="BE42">
        <v>0</v>
      </c>
      <c r="BF42">
        <v>0</v>
      </c>
      <c r="BG42">
        <v>1029.2</v>
      </c>
    </row>
    <row r="43" spans="1:59" hidden="1" x14ac:dyDescent="0.25">
      <c r="A43" t="s">
        <v>115</v>
      </c>
      <c r="B43">
        <v>461</v>
      </c>
      <c r="C43">
        <v>461.48999999999995</v>
      </c>
      <c r="D43">
        <v>461</v>
      </c>
      <c r="E43">
        <v>1</v>
      </c>
      <c r="F43">
        <v>9738.625</v>
      </c>
      <c r="G43">
        <v>2996.5</v>
      </c>
      <c r="H43">
        <v>0</v>
      </c>
      <c r="I43">
        <v>0</v>
      </c>
      <c r="J43">
        <v>0.90297542043984502</v>
      </c>
      <c r="K43">
        <v>3.1518624641833803E-2</v>
      </c>
      <c r="L43">
        <v>0</v>
      </c>
      <c r="M43">
        <v>0</v>
      </c>
      <c r="N43">
        <v>0.70996121259398903</v>
      </c>
      <c r="O43">
        <v>749.125</v>
      </c>
      <c r="P43">
        <v>586.95000000000005</v>
      </c>
      <c r="Q43">
        <v>54.8</v>
      </c>
      <c r="R43">
        <v>0</v>
      </c>
      <c r="S43">
        <v>14126</v>
      </c>
      <c r="T43">
        <v>425</v>
      </c>
      <c r="U43">
        <v>2996.5</v>
      </c>
      <c r="V43">
        <v>0</v>
      </c>
      <c r="W43">
        <v>0</v>
      </c>
      <c r="X43">
        <v>69</v>
      </c>
      <c r="Y43">
        <v>0</v>
      </c>
      <c r="Z43">
        <v>36</v>
      </c>
      <c r="AA43" s="2">
        <v>45649</v>
      </c>
      <c r="AB43" t="s">
        <v>1670</v>
      </c>
      <c r="AC43">
        <v>616</v>
      </c>
      <c r="AD43">
        <v>471.84999999999997</v>
      </c>
      <c r="AE43">
        <v>10.36</v>
      </c>
      <c r="AF43">
        <v>125</v>
      </c>
      <c r="AG43">
        <v>491</v>
      </c>
      <c r="AH43">
        <v>327.64</v>
      </c>
      <c r="AI43">
        <v>133.85</v>
      </c>
      <c r="AJ43">
        <v>220.32</v>
      </c>
      <c r="AK43">
        <v>169.54999999999998</v>
      </c>
      <c r="AL43">
        <v>11.86</v>
      </c>
      <c r="AM43">
        <v>698</v>
      </c>
      <c r="AN43">
        <v>6</v>
      </c>
      <c r="AO43">
        <v>22</v>
      </c>
      <c r="AP43">
        <v>219.47000000000003</v>
      </c>
      <c r="AQ43">
        <v>0.1</v>
      </c>
      <c r="AR43">
        <v>0.05</v>
      </c>
      <c r="AS43">
        <v>0.7</v>
      </c>
      <c r="AT43">
        <v>32.5</v>
      </c>
      <c r="AU43">
        <v>0</v>
      </c>
      <c r="AV43">
        <v>0.65</v>
      </c>
      <c r="AW43">
        <v>0.98</v>
      </c>
      <c r="AX43">
        <v>0.96</v>
      </c>
      <c r="AY43">
        <v>0.94</v>
      </c>
      <c r="AZ43">
        <v>0.2</v>
      </c>
      <c r="BA43">
        <v>0.1</v>
      </c>
      <c r="BB43">
        <v>0.05</v>
      </c>
      <c r="BC43">
        <v>0.05</v>
      </c>
      <c r="BD43">
        <v>425</v>
      </c>
      <c r="BE43">
        <v>0</v>
      </c>
      <c r="BF43">
        <v>461</v>
      </c>
      <c r="BG43">
        <v>7339.3200000000006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FCCD-5006-4308-927B-7D523E2574D7}">
  <sheetPr codeName="Sheet16"/>
  <dimension ref="A1:I2"/>
  <sheetViews>
    <sheetView showGridLines="0" workbookViewId="0">
      <selection activeCell="F11" sqref="F11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9" bestFit="1" customWidth="1"/>
  </cols>
  <sheetData>
    <row r="1" spans="1:9" x14ac:dyDescent="0.25">
      <c r="A1" t="s">
        <v>1807</v>
      </c>
      <c r="B1" t="s">
        <v>1808</v>
      </c>
      <c r="C1" t="s">
        <v>1809</v>
      </c>
      <c r="D1" t="s">
        <v>9</v>
      </c>
      <c r="E1" t="s">
        <v>113</v>
      </c>
      <c r="F1" t="s">
        <v>17</v>
      </c>
    </row>
    <row r="2" spans="1:9" ht="18.75" x14ac:dyDescent="0.3">
      <c r="A2" s="2"/>
      <c r="B2" s="2"/>
      <c r="I2" s="85" t="s">
        <v>1811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G2"/>
  <sheetViews>
    <sheetView workbookViewId="0">
      <selection activeCell="E2" sqref="E2"/>
    </sheetView>
  </sheetViews>
  <sheetFormatPr defaultRowHeight="15" x14ac:dyDescent="0.25"/>
  <cols>
    <col min="1" max="1" width="17.5703125" bestFit="1" customWidth="1"/>
    <col min="2" max="2" width="19" bestFit="1" customWidth="1"/>
    <col min="3" max="3" width="45.7109375" bestFit="1" customWidth="1"/>
    <col min="4" max="4" width="45.28515625" bestFit="1" customWidth="1"/>
    <col min="5" max="5" width="42.5703125" bestFit="1" customWidth="1"/>
    <col min="6" max="6" width="45.85546875" bestFit="1" customWidth="1"/>
    <col min="7" max="7" width="37.5703125" bestFit="1" customWidth="1"/>
    <col min="8" max="8" width="43.28515625" bestFit="1" customWidth="1"/>
    <col min="13" max="13" width="23.85546875" bestFit="1" customWidth="1"/>
  </cols>
  <sheetData>
    <row r="1" spans="1:7" s="82" customFormat="1" x14ac:dyDescent="0.25">
      <c r="A1" s="82" t="s">
        <v>16</v>
      </c>
      <c r="B1" s="82" t="s">
        <v>17</v>
      </c>
      <c r="C1" s="82" t="s">
        <v>122</v>
      </c>
      <c r="D1" s="82" t="s">
        <v>123</v>
      </c>
      <c r="E1" s="82" t="s">
        <v>1782</v>
      </c>
      <c r="F1" s="82" t="s">
        <v>1783</v>
      </c>
      <c r="G1" s="82" t="s">
        <v>1784</v>
      </c>
    </row>
    <row r="2" spans="1:7" x14ac:dyDescent="0.25">
      <c r="C2" t="s">
        <v>2145</v>
      </c>
      <c r="E2">
        <v>0.02</v>
      </c>
      <c r="F2">
        <v>0</v>
      </c>
      <c r="G2" t="s">
        <v>114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H72"/>
  <sheetViews>
    <sheetView showGridLines="0" workbookViewId="0">
      <selection activeCell="B2" sqref="B2:F2"/>
    </sheetView>
  </sheetViews>
  <sheetFormatPr defaultColWidth="8.85546875" defaultRowHeight="15" x14ac:dyDescent="0.25"/>
  <cols>
    <col min="1" max="1" width="1.5703125" style="6" customWidth="1"/>
    <col min="2" max="2" width="15.28515625" style="7" customWidth="1"/>
    <col min="3" max="3" width="18.85546875" style="6" customWidth="1"/>
    <col min="4" max="4" width="16.85546875" style="6" customWidth="1"/>
    <col min="5" max="5" width="14.140625" style="6" customWidth="1"/>
    <col min="6" max="6" width="12.7109375" style="57" customWidth="1"/>
    <col min="7" max="7" width="13.42578125" style="58" customWidth="1"/>
    <col min="8" max="8" width="22.28515625" style="5" customWidth="1"/>
    <col min="9" max="9" width="22.42578125" style="5" customWidth="1"/>
    <col min="10" max="10" width="22.7109375" style="4" customWidth="1"/>
    <col min="11" max="11" width="18.28515625" style="4" customWidth="1"/>
    <col min="12" max="12" width="12.7109375" style="3" customWidth="1"/>
    <col min="13" max="13" width="15" style="3" customWidth="1"/>
    <col min="14" max="14" width="12.85546875" style="8" customWidth="1"/>
    <col min="15" max="15" width="11.5703125" style="8" bestFit="1" customWidth="1"/>
    <col min="16" max="16" width="13.7109375" style="8" bestFit="1" customWidth="1"/>
    <col min="17" max="17" width="10.140625" style="8" bestFit="1" customWidth="1"/>
    <col min="18" max="18" width="13.5703125" style="8" customWidth="1"/>
    <col min="19" max="19" width="13.42578125" style="8" customWidth="1"/>
    <col min="20" max="21" width="12.42578125" style="8" customWidth="1"/>
    <col min="22" max="22" width="22.85546875" style="6" bestFit="1" customWidth="1"/>
    <col min="23" max="23" width="19.7109375" style="6" customWidth="1"/>
    <col min="24" max="24" width="9.5703125" style="44" bestFit="1" customWidth="1"/>
    <col min="25" max="25" width="18.5703125" style="6" customWidth="1"/>
    <col min="26" max="26" width="17.28515625" style="6" customWidth="1"/>
    <col min="27" max="27" width="10.5703125" style="3" customWidth="1"/>
    <col min="28" max="28" width="16.28515625" style="6" customWidth="1"/>
    <col min="29" max="29" width="9.5703125" style="44" bestFit="1" customWidth="1"/>
    <col min="30" max="33" width="8.85546875" style="6"/>
    <col min="34" max="34" width="8.85546875" style="56"/>
    <col min="35" max="16384" width="8.85546875" style="6"/>
  </cols>
  <sheetData>
    <row r="1" spans="2:34" ht="9" customHeight="1" thickBot="1" x14ac:dyDescent="0.3">
      <c r="V1" s="8"/>
      <c r="W1" s="8"/>
      <c r="X1" s="8"/>
      <c r="AA1" s="6"/>
      <c r="AB1" s="8"/>
      <c r="AC1" s="3"/>
      <c r="AD1" s="8"/>
      <c r="AH1" s="6"/>
    </row>
    <row r="2" spans="2:34" ht="21" customHeight="1" thickBot="1" x14ac:dyDescent="0.3">
      <c r="B2" s="97" t="s">
        <v>1747</v>
      </c>
      <c r="C2" s="97"/>
      <c r="D2" s="97"/>
      <c r="E2" s="97"/>
      <c r="F2" s="97"/>
      <c r="H2" s="23" t="s">
        <v>67</v>
      </c>
      <c r="I2" s="24">
        <v>9709.6200000000008</v>
      </c>
      <c r="M2" s="8"/>
      <c r="V2" s="63" t="s">
        <v>51</v>
      </c>
      <c r="W2" s="63"/>
      <c r="Y2" s="94" t="s">
        <v>47</v>
      </c>
      <c r="Z2" s="94"/>
      <c r="AB2" s="94" t="s">
        <v>127</v>
      </c>
      <c r="AC2" s="94"/>
      <c r="AD2" s="8"/>
      <c r="AF2" s="9"/>
      <c r="AG2" s="9"/>
      <c r="AH2" s="9"/>
    </row>
    <row r="3" spans="2:34" x14ac:dyDescent="0.25">
      <c r="F3" s="59"/>
      <c r="G3" s="60"/>
      <c r="V3" s="13" t="s">
        <v>52</v>
      </c>
      <c r="W3" s="17">
        <v>0</v>
      </c>
      <c r="Y3" s="9" t="s">
        <v>48</v>
      </c>
      <c r="Z3" s="10">
        <v>0</v>
      </c>
      <c r="AB3" s="9" t="s">
        <v>9</v>
      </c>
      <c r="AC3" s="10">
        <v>0</v>
      </c>
      <c r="AD3" s="8"/>
      <c r="AH3" s="6"/>
    </row>
    <row r="4" spans="2:34" ht="20.45" customHeight="1" x14ac:dyDescent="0.25">
      <c r="F4" s="6"/>
      <c r="H4" s="98" t="s">
        <v>219</v>
      </c>
      <c r="I4" s="99"/>
      <c r="J4" s="100"/>
      <c r="K4" s="101" t="s">
        <v>220</v>
      </c>
      <c r="L4" s="102"/>
      <c r="M4" s="102"/>
      <c r="N4" s="103"/>
      <c r="V4" s="14" t="s">
        <v>53</v>
      </c>
      <c r="W4" s="17">
        <v>309</v>
      </c>
      <c r="Y4" s="9" t="s">
        <v>49</v>
      </c>
      <c r="Z4" s="10">
        <v>927</v>
      </c>
      <c r="AB4" s="9" t="s">
        <v>124</v>
      </c>
      <c r="AC4" s="10">
        <v>0</v>
      </c>
      <c r="AD4" s="8"/>
      <c r="AH4" s="6"/>
    </row>
    <row r="5" spans="2:34" ht="34.9" customHeight="1" thickBot="1" x14ac:dyDescent="0.3">
      <c r="B5" s="15" t="s">
        <v>42</v>
      </c>
      <c r="C5" s="19" t="s">
        <v>215</v>
      </c>
      <c r="D5" s="62" t="s">
        <v>39</v>
      </c>
      <c r="E5" s="62" t="s">
        <v>202</v>
      </c>
      <c r="F5" s="61" t="s">
        <v>1790</v>
      </c>
      <c r="G5" s="61" t="s">
        <v>1648</v>
      </c>
      <c r="H5" s="68" t="s">
        <v>1793</v>
      </c>
      <c r="I5" s="68" t="s">
        <v>1791</v>
      </c>
      <c r="J5" s="68" t="s">
        <v>1792</v>
      </c>
      <c r="K5" s="68" t="s">
        <v>164</v>
      </c>
      <c r="L5" s="19" t="s">
        <v>165</v>
      </c>
      <c r="M5" s="19" t="s">
        <v>1791</v>
      </c>
      <c r="N5" s="68" t="s">
        <v>1792</v>
      </c>
      <c r="O5" s="68" t="s">
        <v>211</v>
      </c>
      <c r="P5" s="68" t="s">
        <v>213</v>
      </c>
      <c r="Q5" s="68" t="s">
        <v>179</v>
      </c>
      <c r="R5" s="68" t="s">
        <v>9</v>
      </c>
      <c r="S5" s="68" t="s">
        <v>1650</v>
      </c>
      <c r="T5" s="68" t="s">
        <v>214</v>
      </c>
      <c r="U5" s="6"/>
      <c r="V5" s="14" t="s">
        <v>54</v>
      </c>
      <c r="W5" s="18">
        <v>0</v>
      </c>
      <c r="Y5" s="9" t="s">
        <v>66</v>
      </c>
      <c r="Z5" s="10">
        <v>0</v>
      </c>
      <c r="AB5" s="9" t="s">
        <v>125</v>
      </c>
      <c r="AC5" s="10">
        <v>0</v>
      </c>
      <c r="AD5" s="8"/>
      <c r="AH5" s="6"/>
    </row>
    <row r="6" spans="2:34" x14ac:dyDescent="0.25">
      <c r="B6" s="7" t="s">
        <v>114</v>
      </c>
      <c r="C6" s="60">
        <v>173</v>
      </c>
      <c r="D6" s="4">
        <v>173.22</v>
      </c>
      <c r="E6" s="4">
        <v>173</v>
      </c>
      <c r="F6" s="58">
        <v>1</v>
      </c>
      <c r="G6" s="66">
        <v>3654.63</v>
      </c>
      <c r="H6" s="8">
        <v>1124.5</v>
      </c>
      <c r="I6" s="8">
        <v>0</v>
      </c>
      <c r="J6" s="66">
        <v>0</v>
      </c>
      <c r="K6" s="58">
        <v>0.94900849858356895</v>
      </c>
      <c r="L6" s="77">
        <v>4.7761194029850698E-2</v>
      </c>
      <c r="M6" s="8">
        <v>0</v>
      </c>
      <c r="N6" s="66">
        <v>281.13</v>
      </c>
      <c r="O6" s="77">
        <v>0.84984412885348104</v>
      </c>
      <c r="P6" s="8">
        <v>281.13</v>
      </c>
      <c r="Q6" s="8">
        <v>144.33000000000001</v>
      </c>
      <c r="R6" s="8">
        <v>15.9</v>
      </c>
      <c r="S6" s="8">
        <v>0</v>
      </c>
      <c r="T6" s="8">
        <v>5501.61</v>
      </c>
      <c r="U6" s="6"/>
      <c r="V6" s="46" t="s">
        <v>55</v>
      </c>
      <c r="W6" s="47">
        <v>309</v>
      </c>
      <c r="Y6" s="11" t="s">
        <v>126</v>
      </c>
      <c r="Z6" s="12">
        <v>0</v>
      </c>
      <c r="AB6" s="11" t="s">
        <v>128</v>
      </c>
      <c r="AC6" s="12">
        <v>0</v>
      </c>
      <c r="AD6" s="8"/>
      <c r="AH6" s="6"/>
    </row>
    <row r="7" spans="2:34" ht="15.75" thickBot="1" x14ac:dyDescent="0.3">
      <c r="B7" s="7" t="s">
        <v>115</v>
      </c>
      <c r="C7" s="60">
        <v>160</v>
      </c>
      <c r="D7" s="4">
        <v>158.84</v>
      </c>
      <c r="E7" s="4">
        <v>158.84</v>
      </c>
      <c r="F7" s="58">
        <v>1</v>
      </c>
      <c r="G7" s="66">
        <v>3355.5</v>
      </c>
      <c r="H7" s="8">
        <v>1032.46</v>
      </c>
      <c r="I7" s="8">
        <v>0</v>
      </c>
      <c r="J7" s="66">
        <v>0</v>
      </c>
      <c r="K7" s="77">
        <v>0.87114845938375396</v>
      </c>
      <c r="L7" s="77">
        <v>3.2154340836012901E-2</v>
      </c>
      <c r="M7" s="8">
        <v>0</v>
      </c>
      <c r="N7" s="66">
        <v>0</v>
      </c>
      <c r="O7" s="77">
        <v>0.79262150591790503</v>
      </c>
      <c r="P7" s="8">
        <v>258.12</v>
      </c>
      <c r="Q7" s="8">
        <v>152.74</v>
      </c>
      <c r="R7" s="8">
        <v>27.2</v>
      </c>
      <c r="S7" s="8">
        <v>0</v>
      </c>
      <c r="T7" s="8">
        <v>4826.01</v>
      </c>
      <c r="V7" s="8"/>
      <c r="W7" s="8"/>
      <c r="X7" s="8"/>
      <c r="Y7" s="9" t="s">
        <v>47</v>
      </c>
      <c r="Z7" s="10">
        <v>927</v>
      </c>
      <c r="AB7" s="9" t="s">
        <v>126</v>
      </c>
      <c r="AC7" s="10">
        <v>0</v>
      </c>
      <c r="AD7" s="8"/>
      <c r="AH7" s="6"/>
    </row>
    <row r="8" spans="2:34" x14ac:dyDescent="0.25">
      <c r="B8" s="20" t="s">
        <v>45</v>
      </c>
      <c r="C8" s="67">
        <v>333</v>
      </c>
      <c r="D8" s="21">
        <v>332.06</v>
      </c>
      <c r="E8" s="21">
        <v>331.84000000000003</v>
      </c>
      <c r="F8" s="67"/>
      <c r="G8" s="76">
        <v>7010.12</v>
      </c>
      <c r="H8" s="22">
        <v>2156.96</v>
      </c>
      <c r="I8" s="22">
        <v>0</v>
      </c>
      <c r="J8" s="22">
        <v>0</v>
      </c>
      <c r="K8" s="21"/>
      <c r="L8" s="78"/>
      <c r="M8" s="22">
        <v>0</v>
      </c>
      <c r="N8" s="22">
        <v>281.13</v>
      </c>
      <c r="O8" s="78"/>
      <c r="P8" s="22">
        <v>539.24</v>
      </c>
      <c r="Q8" s="22">
        <v>297.07</v>
      </c>
      <c r="R8" s="22">
        <v>43.1</v>
      </c>
      <c r="S8" s="22">
        <v>0</v>
      </c>
      <c r="T8" s="22">
        <v>10327.620000000001</v>
      </c>
      <c r="U8" s="6"/>
      <c r="V8" s="8"/>
      <c r="X8" s="6"/>
      <c r="AA8" s="6"/>
      <c r="AB8" s="8"/>
      <c r="AC8" s="3"/>
      <c r="AD8" s="8"/>
      <c r="AH8" s="6"/>
    </row>
    <row r="9" spans="2:34" ht="22.9" customHeight="1" thickBot="1" x14ac:dyDescent="0.3">
      <c r="D9" s="83"/>
      <c r="F9" s="59"/>
      <c r="G9" s="60"/>
      <c r="V9" s="8"/>
      <c r="W9" s="8"/>
      <c r="X9" s="8"/>
      <c r="AA9" s="6"/>
      <c r="AC9" s="6"/>
      <c r="AH9" s="6"/>
    </row>
    <row r="10" spans="2:34" ht="21.75" thickBot="1" x14ac:dyDescent="0.3">
      <c r="B10" s="104" t="s">
        <v>56</v>
      </c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6"/>
      <c r="N10" s="6"/>
      <c r="O10" s="6"/>
      <c r="P10" s="6"/>
      <c r="Q10" s="6"/>
      <c r="R10" s="6"/>
      <c r="S10" s="6"/>
      <c r="T10" s="6"/>
      <c r="U10" s="6"/>
      <c r="V10" s="95" t="s">
        <v>119</v>
      </c>
      <c r="W10" s="96"/>
      <c r="X10" s="96"/>
      <c r="AA10" s="6"/>
      <c r="AC10" s="6"/>
      <c r="AH10" s="6"/>
    </row>
    <row r="11" spans="2:34" ht="45.75" thickBot="1" x14ac:dyDescent="0.3">
      <c r="B11" s="69" t="s">
        <v>35</v>
      </c>
      <c r="C11" s="70" t="s">
        <v>162</v>
      </c>
      <c r="D11" s="71" t="s">
        <v>163</v>
      </c>
      <c r="E11" s="71" t="s">
        <v>38</v>
      </c>
      <c r="F11" s="72" t="s">
        <v>164</v>
      </c>
      <c r="G11" s="72" t="s">
        <v>165</v>
      </c>
      <c r="H11" s="73" t="s">
        <v>166</v>
      </c>
      <c r="I11" s="73" t="s">
        <v>167</v>
      </c>
      <c r="J11" s="74" t="s">
        <v>39</v>
      </c>
      <c r="K11" s="75" t="s">
        <v>168</v>
      </c>
      <c r="L11" s="69" t="s">
        <v>169</v>
      </c>
      <c r="M11" s="86" t="s">
        <v>9</v>
      </c>
      <c r="N11" s="6"/>
      <c r="O11" s="6"/>
      <c r="P11" s="6"/>
      <c r="Q11" s="6"/>
      <c r="R11" s="6"/>
      <c r="S11" s="6"/>
      <c r="T11" s="6"/>
      <c r="U11" s="6"/>
      <c r="V11" s="16" t="s">
        <v>61</v>
      </c>
      <c r="W11" s="45" t="s">
        <v>120</v>
      </c>
      <c r="X11" s="16" t="s">
        <v>62</v>
      </c>
      <c r="AA11" s="6"/>
      <c r="AC11" s="6"/>
      <c r="AH11" s="6"/>
    </row>
    <row r="12" spans="2:34" x14ac:dyDescent="0.25">
      <c r="B12" s="7">
        <v>45642</v>
      </c>
      <c r="C12" s="6" t="s">
        <v>2047</v>
      </c>
      <c r="D12" s="6" t="s">
        <v>2048</v>
      </c>
      <c r="E12" s="6">
        <v>68</v>
      </c>
      <c r="F12" s="57">
        <v>0.91176470588235292</v>
      </c>
      <c r="G12" s="58">
        <v>3.2258064516129031E-2</v>
      </c>
      <c r="H12" s="5">
        <v>54.06</v>
      </c>
      <c r="I12" s="4">
        <v>0.08</v>
      </c>
      <c r="J12" s="4">
        <v>53.980000000000004</v>
      </c>
      <c r="K12" s="4">
        <v>878.51</v>
      </c>
      <c r="L12" s="3">
        <v>19</v>
      </c>
      <c r="M12" s="3">
        <v>1.9</v>
      </c>
      <c r="V12" s="8">
        <v>309</v>
      </c>
      <c r="W12" s="3">
        <v>2</v>
      </c>
      <c r="X12" s="8">
        <v>618</v>
      </c>
      <c r="AA12" s="6"/>
      <c r="AC12" s="6"/>
      <c r="AH12" s="6"/>
    </row>
    <row r="13" spans="2:34" x14ac:dyDescent="0.25">
      <c r="B13" s="7">
        <v>45649</v>
      </c>
      <c r="C13" s="6" t="s">
        <v>2047</v>
      </c>
      <c r="D13" s="6" t="s">
        <v>2048</v>
      </c>
      <c r="E13" s="6">
        <v>74</v>
      </c>
      <c r="F13" s="57">
        <v>0.65354330708661412</v>
      </c>
      <c r="G13" s="58">
        <v>2.4096385542168676E-2</v>
      </c>
      <c r="H13" s="5">
        <v>51.86</v>
      </c>
      <c r="I13" s="4">
        <v>0.06</v>
      </c>
      <c r="J13" s="4">
        <v>51.8</v>
      </c>
      <c r="K13" s="4">
        <v>887.9</v>
      </c>
      <c r="L13" s="3">
        <v>56.95</v>
      </c>
      <c r="M13" s="3">
        <v>2.7</v>
      </c>
      <c r="V13" s="8">
        <v>154.5</v>
      </c>
      <c r="W13" s="3">
        <v>2</v>
      </c>
      <c r="X13" s="8">
        <v>309</v>
      </c>
      <c r="AA13" s="6"/>
      <c r="AC13" s="6"/>
      <c r="AH13" s="6"/>
    </row>
    <row r="14" spans="2:34" x14ac:dyDescent="0.25">
      <c r="B14" s="7">
        <v>45642</v>
      </c>
      <c r="C14" s="6" t="s">
        <v>2059</v>
      </c>
      <c r="D14" s="6" t="s">
        <v>2060</v>
      </c>
      <c r="E14" s="6">
        <v>144</v>
      </c>
      <c r="F14" s="57">
        <v>1</v>
      </c>
      <c r="G14" s="58">
        <v>7.0588235294117646E-2</v>
      </c>
      <c r="H14" s="5">
        <v>69.62</v>
      </c>
      <c r="I14" s="4">
        <v>0</v>
      </c>
      <c r="J14" s="4">
        <v>69.62</v>
      </c>
      <c r="K14" s="4">
        <v>1633.72</v>
      </c>
      <c r="L14" s="3">
        <v>103.05</v>
      </c>
      <c r="M14" s="3">
        <v>8</v>
      </c>
      <c r="V14" s="8"/>
      <c r="W14" s="3"/>
      <c r="X14" s="8"/>
      <c r="AA14" s="6"/>
      <c r="AC14" s="6"/>
      <c r="AH14" s="6"/>
    </row>
    <row r="15" spans="2:34" x14ac:dyDescent="0.25">
      <c r="B15" s="7">
        <v>45649</v>
      </c>
      <c r="C15" s="6" t="s">
        <v>2059</v>
      </c>
      <c r="D15" s="6" t="s">
        <v>2060</v>
      </c>
      <c r="E15" s="6">
        <v>122</v>
      </c>
      <c r="F15" s="57">
        <v>0.99358974358974361</v>
      </c>
      <c r="G15" s="58">
        <v>4.5161290322580643E-2</v>
      </c>
      <c r="H15" s="5">
        <v>58.67</v>
      </c>
      <c r="I15" s="4">
        <v>0</v>
      </c>
      <c r="J15" s="4">
        <v>58.67</v>
      </c>
      <c r="K15" s="4">
        <v>1393.31</v>
      </c>
      <c r="L15" s="3">
        <v>66.92</v>
      </c>
      <c r="M15" s="3">
        <v>0</v>
      </c>
      <c r="V15" s="8"/>
      <c r="W15" s="3"/>
      <c r="X15" s="8"/>
      <c r="AA15" s="6"/>
      <c r="AC15" s="6"/>
      <c r="AH15" s="6"/>
    </row>
    <row r="16" spans="2:34" x14ac:dyDescent="0.25">
      <c r="B16" s="7">
        <v>45642</v>
      </c>
      <c r="C16" s="6" t="s">
        <v>1933</v>
      </c>
      <c r="D16" s="6" t="s">
        <v>1931</v>
      </c>
      <c r="E16" s="6">
        <v>60</v>
      </c>
      <c r="F16" s="57">
        <v>0.88888888888888884</v>
      </c>
      <c r="G16" s="58">
        <v>1.3888888888888888E-2</v>
      </c>
      <c r="H16" s="5">
        <v>50.25</v>
      </c>
      <c r="I16" s="4">
        <v>0.63</v>
      </c>
      <c r="J16" s="4">
        <v>49.62</v>
      </c>
      <c r="K16" s="4">
        <v>674.37</v>
      </c>
      <c r="L16" s="3">
        <v>22.28</v>
      </c>
      <c r="M16" s="3">
        <v>6</v>
      </c>
      <c r="V16" s="8"/>
      <c r="W16" s="3"/>
      <c r="X16" s="8"/>
      <c r="AA16" s="6"/>
      <c r="AC16" s="6"/>
      <c r="AH16" s="6"/>
    </row>
    <row r="17" spans="2:34" x14ac:dyDescent="0.25">
      <c r="B17" s="7">
        <v>45649</v>
      </c>
      <c r="C17" s="6" t="s">
        <v>1933</v>
      </c>
      <c r="D17" s="6" t="s">
        <v>1931</v>
      </c>
      <c r="E17" s="6">
        <v>66</v>
      </c>
      <c r="F17" s="57">
        <v>0.98648648648648651</v>
      </c>
      <c r="G17" s="58">
        <v>1.3698630136986301E-2</v>
      </c>
      <c r="H17" s="5">
        <v>50.14</v>
      </c>
      <c r="I17" s="4">
        <v>1.77</v>
      </c>
      <c r="J17" s="4">
        <v>48.37</v>
      </c>
      <c r="K17" s="4">
        <v>770.22</v>
      </c>
      <c r="L17" s="3">
        <v>28.87</v>
      </c>
      <c r="M17" s="3">
        <v>24.5</v>
      </c>
      <c r="V17" s="8"/>
      <c r="W17" s="3"/>
      <c r="X17" s="8"/>
      <c r="AA17" s="6"/>
      <c r="AC17" s="6"/>
      <c r="AH17" s="6"/>
    </row>
    <row r="18" spans="2:34" x14ac:dyDescent="0.25">
      <c r="I18" s="4"/>
      <c r="V18" s="8"/>
      <c r="W18" s="3"/>
      <c r="X18" s="8"/>
      <c r="AA18" s="6"/>
      <c r="AC18" s="6"/>
      <c r="AH18" s="6"/>
    </row>
    <row r="19" spans="2:34" x14ac:dyDescent="0.25">
      <c r="I19" s="4"/>
      <c r="V19" s="8"/>
      <c r="W19" s="3"/>
      <c r="X19" s="8"/>
      <c r="AA19" s="6"/>
      <c r="AC19" s="6"/>
      <c r="AH19" s="6"/>
    </row>
    <row r="20" spans="2:34" x14ac:dyDescent="0.25">
      <c r="H20" s="80"/>
      <c r="I20" s="4"/>
      <c r="V20" s="8"/>
      <c r="W20" s="3"/>
      <c r="X20" s="8"/>
      <c r="AA20" s="6"/>
      <c r="AC20" s="6"/>
      <c r="AH20" s="6"/>
    </row>
    <row r="21" spans="2:34" x14ac:dyDescent="0.25">
      <c r="I21" s="4"/>
      <c r="V21" s="8"/>
      <c r="W21" s="3"/>
      <c r="X21" s="8"/>
      <c r="AA21" s="6"/>
      <c r="AC21" s="6"/>
      <c r="AH21" s="6"/>
    </row>
    <row r="22" spans="2:34" x14ac:dyDescent="0.25">
      <c r="I22" s="4"/>
      <c r="V22" s="8"/>
      <c r="W22" s="3"/>
      <c r="X22" s="8"/>
      <c r="AA22" s="6"/>
      <c r="AC22" s="6"/>
      <c r="AH22" s="6"/>
    </row>
    <row r="23" spans="2:34" x14ac:dyDescent="0.25">
      <c r="I23" s="4"/>
      <c r="V23" s="8"/>
      <c r="W23" s="3"/>
      <c r="X23" s="8"/>
      <c r="AA23" s="6"/>
      <c r="AC23" s="6"/>
      <c r="AH23" s="6"/>
    </row>
    <row r="24" spans="2:34" x14ac:dyDescent="0.25">
      <c r="I24" s="4"/>
      <c r="V24" s="8"/>
      <c r="W24" s="3"/>
      <c r="X24" s="8"/>
      <c r="AA24" s="6"/>
      <c r="AC24" s="6"/>
      <c r="AH24" s="6"/>
    </row>
    <row r="25" spans="2:34" x14ac:dyDescent="0.25">
      <c r="I25" s="4"/>
      <c r="V25" s="8"/>
      <c r="W25" s="3"/>
      <c r="X25" s="8"/>
      <c r="AA25" s="6"/>
      <c r="AC25" s="6"/>
      <c r="AH25" s="6"/>
    </row>
    <row r="26" spans="2:34" x14ac:dyDescent="0.25">
      <c r="I26" s="4"/>
      <c r="V26" s="8"/>
      <c r="W26" s="3"/>
      <c r="X26" s="8"/>
      <c r="AA26" s="6"/>
      <c r="AC26" s="6"/>
      <c r="AH26" s="6"/>
    </row>
    <row r="27" spans="2:34" x14ac:dyDescent="0.25">
      <c r="I27" s="4"/>
      <c r="V27" s="8"/>
      <c r="W27" s="3"/>
      <c r="X27" s="8"/>
      <c r="AA27" s="6"/>
      <c r="AC27" s="6"/>
      <c r="AH27" s="6"/>
    </row>
    <row r="28" spans="2:34" x14ac:dyDescent="0.25">
      <c r="I28" s="4"/>
      <c r="V28" s="8"/>
      <c r="W28" s="3"/>
      <c r="X28" s="8"/>
      <c r="AA28" s="6"/>
      <c r="AC28" s="6"/>
      <c r="AH28" s="6"/>
    </row>
    <row r="29" spans="2:34" x14ac:dyDescent="0.25">
      <c r="I29" s="4"/>
      <c r="V29" s="8"/>
      <c r="W29" s="3"/>
      <c r="X29" s="8"/>
      <c r="AA29" s="6"/>
      <c r="AC29" s="6"/>
      <c r="AH29" s="6"/>
    </row>
    <row r="30" spans="2:34" x14ac:dyDescent="0.25">
      <c r="I30" s="4"/>
      <c r="V30" s="8"/>
      <c r="W30" s="3"/>
      <c r="X30" s="8"/>
      <c r="AA30" s="6"/>
      <c r="AC30" s="6"/>
      <c r="AH30" s="6"/>
    </row>
    <row r="31" spans="2:34" x14ac:dyDescent="0.25">
      <c r="I31" s="4"/>
      <c r="V31" s="8"/>
      <c r="W31" s="3"/>
      <c r="X31" s="8"/>
      <c r="AA31" s="6"/>
      <c r="AC31" s="6"/>
      <c r="AH31" s="6"/>
    </row>
    <row r="32" spans="2:34" x14ac:dyDescent="0.25">
      <c r="I32" s="4"/>
      <c r="V32" s="8"/>
      <c r="W32" s="3"/>
      <c r="X32" s="8"/>
      <c r="AA32" s="6"/>
      <c r="AC32" s="6"/>
      <c r="AH32" s="6"/>
    </row>
    <row r="33" spans="9:34" x14ac:dyDescent="0.25">
      <c r="I33" s="4"/>
      <c r="V33" s="8"/>
      <c r="W33" s="3"/>
      <c r="X33" s="8"/>
      <c r="AA33" s="6"/>
      <c r="AC33" s="6"/>
      <c r="AH33" s="6"/>
    </row>
    <row r="34" spans="9:34" x14ac:dyDescent="0.25">
      <c r="I34" s="4"/>
      <c r="V34" s="8"/>
      <c r="W34" s="3"/>
      <c r="X34" s="8"/>
      <c r="AA34" s="6"/>
      <c r="AC34" s="6"/>
      <c r="AH34" s="6"/>
    </row>
    <row r="35" spans="9:34" x14ac:dyDescent="0.25">
      <c r="I35" s="4"/>
      <c r="V35" s="8"/>
      <c r="W35" s="3"/>
      <c r="X35" s="8"/>
      <c r="AA35" s="6"/>
      <c r="AC35" s="6"/>
      <c r="AH35" s="6"/>
    </row>
    <row r="36" spans="9:34" x14ac:dyDescent="0.25">
      <c r="I36" s="4"/>
      <c r="V36" s="8"/>
      <c r="W36" s="3"/>
      <c r="X36" s="8"/>
      <c r="AA36" s="6"/>
      <c r="AC36" s="6"/>
      <c r="AH36" s="6"/>
    </row>
    <row r="37" spans="9:34" x14ac:dyDescent="0.25">
      <c r="I37" s="4"/>
      <c r="V37" s="8"/>
      <c r="W37" s="3"/>
      <c r="X37" s="8"/>
      <c r="AA37" s="6"/>
      <c r="AC37" s="6"/>
      <c r="AH37" s="6"/>
    </row>
    <row r="38" spans="9:34" x14ac:dyDescent="0.25">
      <c r="I38" s="4"/>
      <c r="V38" s="8"/>
      <c r="W38" s="3"/>
      <c r="X38" s="8"/>
      <c r="AA38" s="6"/>
      <c r="AC38" s="6"/>
      <c r="AH38" s="6"/>
    </row>
    <row r="39" spans="9:34" x14ac:dyDescent="0.25">
      <c r="I39" s="4"/>
      <c r="V39" s="8"/>
      <c r="W39" s="3"/>
      <c r="X39" s="8"/>
      <c r="AA39" s="6"/>
      <c r="AC39" s="6"/>
      <c r="AH39" s="6"/>
    </row>
    <row r="40" spans="9:34" x14ac:dyDescent="0.25">
      <c r="I40" s="4"/>
      <c r="V40" s="8"/>
      <c r="W40" s="3"/>
      <c r="X40" s="8"/>
      <c r="AA40" s="6"/>
      <c r="AC40" s="6"/>
      <c r="AH40" s="6"/>
    </row>
    <row r="41" spans="9:34" x14ac:dyDescent="0.25">
      <c r="I41" s="4"/>
      <c r="V41" s="8"/>
      <c r="W41" s="3"/>
      <c r="X41" s="8"/>
      <c r="AA41" s="6"/>
      <c r="AC41" s="6"/>
      <c r="AH41" s="6"/>
    </row>
    <row r="42" spans="9:34" x14ac:dyDescent="0.25">
      <c r="I42" s="4"/>
      <c r="V42" s="8"/>
      <c r="W42" s="3"/>
      <c r="X42" s="8"/>
      <c r="AA42" s="6"/>
      <c r="AC42" s="6"/>
      <c r="AH42" s="6"/>
    </row>
    <row r="43" spans="9:34" x14ac:dyDescent="0.25">
      <c r="I43" s="4"/>
      <c r="V43" s="8"/>
      <c r="W43" s="3"/>
      <c r="X43" s="8"/>
      <c r="AA43" s="6"/>
      <c r="AC43" s="6"/>
      <c r="AH43" s="6"/>
    </row>
    <row r="44" spans="9:34" x14ac:dyDescent="0.25">
      <c r="I44" s="4"/>
      <c r="V44" s="8"/>
      <c r="W44" s="3"/>
      <c r="X44" s="8"/>
      <c r="AA44" s="6"/>
      <c r="AC44" s="6"/>
      <c r="AH44" s="6"/>
    </row>
    <row r="45" spans="9:34" x14ac:dyDescent="0.25">
      <c r="I45" s="4"/>
      <c r="V45" s="8"/>
      <c r="W45" s="3"/>
      <c r="X45" s="8"/>
      <c r="AA45" s="6"/>
      <c r="AC45" s="6"/>
      <c r="AH45" s="6"/>
    </row>
    <row r="46" spans="9:34" x14ac:dyDescent="0.25">
      <c r="I46" s="4"/>
      <c r="V46" s="8"/>
      <c r="W46" s="3"/>
      <c r="X46" s="8"/>
      <c r="AA46" s="6"/>
      <c r="AC46" s="6"/>
      <c r="AH46" s="6"/>
    </row>
    <row r="47" spans="9:34" x14ac:dyDescent="0.25">
      <c r="I47" s="4"/>
      <c r="V47" s="8"/>
      <c r="W47" s="3"/>
      <c r="X47" s="8"/>
      <c r="AA47" s="6"/>
      <c r="AC47" s="6"/>
      <c r="AH47" s="6"/>
    </row>
    <row r="48" spans="9:34" x14ac:dyDescent="0.25">
      <c r="I48" s="4"/>
      <c r="V48" s="8"/>
      <c r="W48" s="3"/>
      <c r="X48" s="8"/>
      <c r="AA48" s="6"/>
      <c r="AC48" s="6"/>
      <c r="AH48" s="6"/>
    </row>
    <row r="49" spans="9:34" x14ac:dyDescent="0.25">
      <c r="I49" s="4"/>
      <c r="V49" s="8"/>
      <c r="W49" s="3"/>
      <c r="X49" s="8"/>
      <c r="AA49" s="6"/>
      <c r="AC49" s="6"/>
      <c r="AH49" s="6"/>
    </row>
    <row r="50" spans="9:34" x14ac:dyDescent="0.25">
      <c r="I50" s="4"/>
      <c r="V50" s="8"/>
      <c r="W50" s="3"/>
      <c r="X50" s="8"/>
      <c r="AA50" s="6"/>
      <c r="AC50" s="6"/>
      <c r="AH50" s="6"/>
    </row>
    <row r="51" spans="9:34" x14ac:dyDescent="0.25">
      <c r="I51" s="4"/>
      <c r="V51" s="8"/>
      <c r="W51" s="3"/>
      <c r="X51" s="8"/>
      <c r="AA51" s="6"/>
      <c r="AC51" s="6"/>
      <c r="AH51" s="6"/>
    </row>
    <row r="52" spans="9:34" x14ac:dyDescent="0.25">
      <c r="I52" s="4"/>
      <c r="V52" s="8"/>
      <c r="W52" s="3"/>
      <c r="X52" s="8"/>
      <c r="AA52" s="6"/>
      <c r="AC52" s="6"/>
      <c r="AH52" s="6"/>
    </row>
    <row r="53" spans="9:34" x14ac:dyDescent="0.25">
      <c r="V53" s="8"/>
      <c r="W53" s="3"/>
      <c r="X53" s="8"/>
      <c r="AA53" s="6"/>
      <c r="AC53" s="6"/>
      <c r="AH53" s="6"/>
    </row>
    <row r="54" spans="9:34" x14ac:dyDescent="0.25">
      <c r="V54" s="8"/>
      <c r="W54" s="3"/>
      <c r="X54" s="8"/>
      <c r="AA54" s="6"/>
      <c r="AC54" s="6"/>
      <c r="AH54" s="6"/>
    </row>
    <row r="55" spans="9:34" x14ac:dyDescent="0.25">
      <c r="V55" s="8"/>
      <c r="W55" s="3"/>
      <c r="X55" s="8"/>
      <c r="AA55" s="6"/>
      <c r="AC55" s="6"/>
      <c r="AH55" s="6"/>
    </row>
    <row r="56" spans="9:34" x14ac:dyDescent="0.25">
      <c r="V56" s="8"/>
      <c r="W56" s="3"/>
      <c r="X56" s="8"/>
      <c r="AA56" s="6"/>
      <c r="AC56" s="6"/>
      <c r="AH56" s="6"/>
    </row>
    <row r="57" spans="9:34" x14ac:dyDescent="0.25">
      <c r="V57" s="8"/>
      <c r="W57" s="3"/>
      <c r="X57" s="8"/>
      <c r="AA57" s="6"/>
      <c r="AC57" s="6"/>
      <c r="AH57" s="6"/>
    </row>
    <row r="58" spans="9:34" x14ac:dyDescent="0.25">
      <c r="V58" s="8"/>
      <c r="W58" s="3"/>
      <c r="X58" s="8"/>
      <c r="AA58" s="6"/>
      <c r="AC58" s="6"/>
      <c r="AH58" s="6"/>
    </row>
    <row r="59" spans="9:34" x14ac:dyDescent="0.25">
      <c r="V59" s="8"/>
      <c r="W59" s="3"/>
      <c r="X59" s="8"/>
      <c r="AA59" s="6"/>
      <c r="AC59" s="6"/>
      <c r="AH59" s="6"/>
    </row>
    <row r="60" spans="9:34" x14ac:dyDescent="0.25">
      <c r="V60" s="8"/>
      <c r="W60" s="3"/>
      <c r="X60" s="8"/>
      <c r="AA60" s="6"/>
      <c r="AC60" s="6"/>
      <c r="AH60" s="6"/>
    </row>
    <row r="61" spans="9:34" x14ac:dyDescent="0.25">
      <c r="V61" s="8"/>
      <c r="W61" s="3"/>
      <c r="X61" s="8"/>
      <c r="AA61" s="6"/>
      <c r="AC61" s="6"/>
      <c r="AH61" s="6"/>
    </row>
    <row r="62" spans="9:34" x14ac:dyDescent="0.25">
      <c r="V62" s="8"/>
      <c r="W62" s="3"/>
      <c r="X62" s="8"/>
      <c r="AA62" s="6"/>
      <c r="AC62" s="6"/>
      <c r="AH62" s="6"/>
    </row>
    <row r="63" spans="9:34" x14ac:dyDescent="0.25">
      <c r="V63" s="8"/>
      <c r="W63" s="3"/>
      <c r="X63" s="8"/>
      <c r="AA63" s="6"/>
      <c r="AC63" s="6"/>
      <c r="AH63" s="6"/>
    </row>
    <row r="64" spans="9:34" x14ac:dyDescent="0.25">
      <c r="V64" s="8"/>
      <c r="W64" s="3"/>
      <c r="X64" s="8"/>
      <c r="AA64" s="6"/>
      <c r="AC64" s="6"/>
      <c r="AH64" s="6"/>
    </row>
    <row r="65" spans="22:34" x14ac:dyDescent="0.25">
      <c r="V65" s="8"/>
      <c r="W65" s="3"/>
      <c r="X65" s="8"/>
      <c r="AA65" s="6"/>
      <c r="AC65" s="6"/>
      <c r="AH65" s="6"/>
    </row>
    <row r="66" spans="22:34" x14ac:dyDescent="0.25">
      <c r="V66" s="8"/>
      <c r="W66" s="3"/>
      <c r="X66" s="8"/>
      <c r="AA66" s="6"/>
      <c r="AC66" s="6"/>
      <c r="AH66" s="6"/>
    </row>
    <row r="67" spans="22:34" x14ac:dyDescent="0.25">
      <c r="V67" s="8"/>
      <c r="W67" s="3"/>
      <c r="X67" s="8"/>
      <c r="AA67" s="6"/>
      <c r="AC67" s="6"/>
      <c r="AH67" s="6"/>
    </row>
    <row r="68" spans="22:34" x14ac:dyDescent="0.25">
      <c r="V68" s="8"/>
      <c r="W68" s="3"/>
      <c r="X68" s="8"/>
      <c r="AA68" s="6"/>
      <c r="AC68" s="6"/>
      <c r="AH68" s="6"/>
    </row>
    <row r="69" spans="22:34" x14ac:dyDescent="0.25">
      <c r="W69" s="8"/>
      <c r="X69" s="3"/>
      <c r="Y69" s="8"/>
      <c r="AA69" s="6"/>
      <c r="AC69" s="6"/>
      <c r="AH69" s="6"/>
    </row>
    <row r="70" spans="22:34" x14ac:dyDescent="0.25">
      <c r="W70" s="8"/>
      <c r="X70" s="3"/>
      <c r="Y70" s="8"/>
      <c r="AA70" s="6"/>
      <c r="AC70" s="6"/>
      <c r="AH70" s="6"/>
    </row>
    <row r="71" spans="22:34" x14ac:dyDescent="0.25">
      <c r="W71" s="8"/>
      <c r="X71" s="3"/>
      <c r="Y71" s="8"/>
      <c r="AA71" s="6"/>
      <c r="AC71" s="6"/>
      <c r="AH71" s="6"/>
    </row>
    <row r="72" spans="22:34" x14ac:dyDescent="0.25">
      <c r="W72" s="8"/>
      <c r="X72" s="3"/>
      <c r="Y72" s="8"/>
      <c r="AA72" s="6"/>
      <c r="AC72" s="6"/>
      <c r="AH72" s="6"/>
    </row>
  </sheetData>
  <mergeCells count="7">
    <mergeCell ref="Y2:Z2"/>
    <mergeCell ref="AB2:AC2"/>
    <mergeCell ref="B10:M10"/>
    <mergeCell ref="V10:X10"/>
    <mergeCell ref="H4:J4"/>
    <mergeCell ref="K4:N4"/>
    <mergeCell ref="B2:F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24"/>
  <sheetViews>
    <sheetView workbookViewId="0">
      <selection activeCell="G15" sqref="G15"/>
    </sheetView>
  </sheetViews>
  <sheetFormatPr defaultRowHeight="15" x14ac:dyDescent="0.25"/>
  <cols>
    <col min="1" max="1" width="30.5703125" bestFit="1" customWidth="1"/>
    <col min="2" max="2" width="8.140625" bestFit="1" customWidth="1"/>
    <col min="3" max="3" width="32.5703125" bestFit="1" customWidth="1"/>
    <col min="4" max="4" width="14" bestFit="1" customWidth="1"/>
    <col min="5" max="5" width="13.42578125" bestFit="1" customWidth="1"/>
    <col min="6" max="6" width="6.28515625" bestFit="1" customWidth="1"/>
    <col min="7" max="8" width="12" bestFit="1" customWidth="1"/>
    <col min="9" max="9" width="12.7109375" bestFit="1" customWidth="1"/>
    <col min="10" max="10" width="4.140625" bestFit="1" customWidth="1"/>
    <col min="11" max="11" width="4.5703125" bestFit="1" customWidth="1"/>
    <col min="12" max="12" width="5.42578125" bestFit="1" customWidth="1"/>
  </cols>
  <sheetData>
    <row r="1" spans="1:5" x14ac:dyDescent="0.25">
      <c r="A1" t="s">
        <v>16</v>
      </c>
      <c r="B1" t="s">
        <v>20</v>
      </c>
      <c r="C1" t="s">
        <v>19</v>
      </c>
      <c r="D1" t="s">
        <v>94</v>
      </c>
      <c r="E1" t="s">
        <v>93</v>
      </c>
    </row>
    <row r="2" spans="1:5" x14ac:dyDescent="0.25">
      <c r="A2" t="s">
        <v>1599</v>
      </c>
      <c r="B2">
        <v>1202</v>
      </c>
      <c r="C2" t="s">
        <v>1645</v>
      </c>
      <c r="D2" t="s">
        <v>21</v>
      </c>
      <c r="E2">
        <v>0</v>
      </c>
    </row>
    <row r="3" spans="1:5" x14ac:dyDescent="0.25">
      <c r="A3" t="s">
        <v>1600</v>
      </c>
      <c r="B3">
        <v>3114</v>
      </c>
      <c r="C3" t="s">
        <v>1643</v>
      </c>
      <c r="D3" t="s">
        <v>21</v>
      </c>
      <c r="E3">
        <v>0</v>
      </c>
    </row>
    <row r="4" spans="1:5" x14ac:dyDescent="0.25">
      <c r="A4" t="s">
        <v>1665</v>
      </c>
      <c r="B4">
        <v>6125</v>
      </c>
      <c r="C4" t="s">
        <v>2110</v>
      </c>
      <c r="D4" t="s">
        <v>21</v>
      </c>
      <c r="E4">
        <v>0</v>
      </c>
    </row>
    <row r="5" spans="1:5" x14ac:dyDescent="0.25">
      <c r="A5" t="s">
        <v>1601</v>
      </c>
      <c r="B5">
        <v>9066</v>
      </c>
      <c r="C5" t="s">
        <v>1644</v>
      </c>
      <c r="D5" t="s">
        <v>21</v>
      </c>
      <c r="E5">
        <v>0</v>
      </c>
    </row>
    <row r="6" spans="1:5" x14ac:dyDescent="0.25">
      <c r="A6" t="s">
        <v>1667</v>
      </c>
      <c r="B6">
        <v>12060</v>
      </c>
      <c r="C6" t="s">
        <v>1646</v>
      </c>
      <c r="D6" t="s">
        <v>21</v>
      </c>
      <c r="E6">
        <v>0</v>
      </c>
    </row>
    <row r="7" spans="1:5" x14ac:dyDescent="0.25">
      <c r="A7" t="s">
        <v>1670</v>
      </c>
      <c r="B7">
        <v>12078</v>
      </c>
      <c r="C7" t="s">
        <v>1671</v>
      </c>
      <c r="D7" t="s">
        <v>21</v>
      </c>
      <c r="E7">
        <v>0</v>
      </c>
    </row>
    <row r="8" spans="1:5" x14ac:dyDescent="0.25">
      <c r="A8" t="s">
        <v>1751</v>
      </c>
      <c r="B8">
        <v>12081</v>
      </c>
      <c r="C8" t="s">
        <v>1669</v>
      </c>
      <c r="D8" t="s">
        <v>21</v>
      </c>
      <c r="E8">
        <v>0</v>
      </c>
    </row>
    <row r="9" spans="1:5" x14ac:dyDescent="0.25">
      <c r="A9" t="s">
        <v>1749</v>
      </c>
      <c r="B9">
        <v>12088</v>
      </c>
      <c r="C9" t="s">
        <v>1647</v>
      </c>
      <c r="D9" t="s">
        <v>21</v>
      </c>
      <c r="E9">
        <v>0</v>
      </c>
    </row>
    <row r="10" spans="1:5" x14ac:dyDescent="0.25">
      <c r="A10" t="s">
        <v>1814</v>
      </c>
      <c r="B10">
        <v>12101</v>
      </c>
      <c r="C10" t="s">
        <v>1703</v>
      </c>
      <c r="D10" t="s">
        <v>21</v>
      </c>
      <c r="E10">
        <v>0</v>
      </c>
    </row>
    <row r="11" spans="1:5" x14ac:dyDescent="0.25">
      <c r="A11" t="s">
        <v>1750</v>
      </c>
      <c r="B11">
        <v>12106</v>
      </c>
      <c r="C11" t="s">
        <v>1668</v>
      </c>
      <c r="D11" t="s">
        <v>21</v>
      </c>
      <c r="E11">
        <v>0</v>
      </c>
    </row>
    <row r="12" spans="1:5" x14ac:dyDescent="0.25">
      <c r="A12" t="s">
        <v>1716</v>
      </c>
      <c r="B12">
        <v>12114</v>
      </c>
      <c r="C12" t="s">
        <v>1728</v>
      </c>
      <c r="D12" t="s">
        <v>21</v>
      </c>
      <c r="E12">
        <v>0</v>
      </c>
    </row>
    <row r="13" spans="1:5" x14ac:dyDescent="0.25">
      <c r="A13" t="s">
        <v>1746</v>
      </c>
      <c r="B13">
        <v>12118</v>
      </c>
      <c r="C13" t="s">
        <v>1696</v>
      </c>
      <c r="D13" t="s">
        <v>21</v>
      </c>
      <c r="E13">
        <v>0</v>
      </c>
    </row>
    <row r="14" spans="1:5" x14ac:dyDescent="0.25">
      <c r="A14" t="s">
        <v>1699</v>
      </c>
      <c r="B14">
        <v>12119</v>
      </c>
      <c r="C14" t="s">
        <v>1700</v>
      </c>
      <c r="D14" t="s">
        <v>21</v>
      </c>
      <c r="E14">
        <v>0</v>
      </c>
    </row>
    <row r="15" spans="1:5" x14ac:dyDescent="0.25">
      <c r="A15" t="s">
        <v>1815</v>
      </c>
      <c r="B15">
        <v>12124</v>
      </c>
      <c r="C15" t="s">
        <v>1744</v>
      </c>
      <c r="D15" t="s">
        <v>21</v>
      </c>
      <c r="E15">
        <v>0</v>
      </c>
    </row>
    <row r="16" spans="1:5" x14ac:dyDescent="0.25">
      <c r="A16" t="s">
        <v>1816</v>
      </c>
      <c r="B16">
        <v>12138</v>
      </c>
      <c r="C16" t="s">
        <v>1786</v>
      </c>
      <c r="D16" t="s">
        <v>21</v>
      </c>
      <c r="E16">
        <v>0</v>
      </c>
    </row>
    <row r="17" spans="1:5" x14ac:dyDescent="0.25">
      <c r="A17" t="s">
        <v>1747</v>
      </c>
      <c r="B17">
        <v>12141</v>
      </c>
      <c r="C17" t="s">
        <v>1698</v>
      </c>
      <c r="D17" t="s">
        <v>21</v>
      </c>
      <c r="E17">
        <v>0</v>
      </c>
    </row>
    <row r="18" spans="1:5" x14ac:dyDescent="0.25">
      <c r="A18" t="s">
        <v>1787</v>
      </c>
      <c r="B18">
        <v>12145</v>
      </c>
      <c r="C18" t="s">
        <v>1785</v>
      </c>
      <c r="D18" t="s">
        <v>21</v>
      </c>
      <c r="E18">
        <v>0</v>
      </c>
    </row>
    <row r="19" spans="1:5" x14ac:dyDescent="0.25">
      <c r="A19" t="s">
        <v>1742</v>
      </c>
      <c r="B19">
        <v>12150</v>
      </c>
      <c r="C19" t="s">
        <v>1743</v>
      </c>
      <c r="D19" t="s">
        <v>21</v>
      </c>
      <c r="E19">
        <v>0</v>
      </c>
    </row>
    <row r="20" spans="1:5" x14ac:dyDescent="0.25">
      <c r="A20" t="s">
        <v>1748</v>
      </c>
      <c r="B20">
        <v>12154</v>
      </c>
      <c r="C20" t="s">
        <v>1729</v>
      </c>
      <c r="D20" t="s">
        <v>21</v>
      </c>
      <c r="E20">
        <v>0</v>
      </c>
    </row>
    <row r="21" spans="1:5" x14ac:dyDescent="0.25">
      <c r="A21" t="s">
        <v>1788</v>
      </c>
      <c r="B21">
        <v>12155</v>
      </c>
      <c r="C21" t="s">
        <v>1789</v>
      </c>
      <c r="D21" t="s">
        <v>21</v>
      </c>
      <c r="E21">
        <v>0</v>
      </c>
    </row>
    <row r="22" spans="1:5" x14ac:dyDescent="0.25">
      <c r="A22" t="s">
        <v>1745</v>
      </c>
      <c r="B22">
        <v>12157</v>
      </c>
      <c r="C22" t="s">
        <v>1701</v>
      </c>
      <c r="D22" t="s">
        <v>21</v>
      </c>
      <c r="E22">
        <v>0</v>
      </c>
    </row>
    <row r="23" spans="1:5" x14ac:dyDescent="0.25">
      <c r="A23" t="s">
        <v>1812</v>
      </c>
      <c r="B23">
        <v>12166</v>
      </c>
      <c r="C23" t="s">
        <v>1813</v>
      </c>
      <c r="D23" t="s">
        <v>21</v>
      </c>
      <c r="E23">
        <v>0</v>
      </c>
    </row>
    <row r="24" spans="1:5" x14ac:dyDescent="0.25">
      <c r="A24" t="s">
        <v>2071</v>
      </c>
      <c r="B24">
        <v>12200</v>
      </c>
      <c r="C24" t="s">
        <v>2111</v>
      </c>
      <c r="D24" t="s">
        <v>21</v>
      </c>
      <c r="E24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T201"/>
  <sheetViews>
    <sheetView workbookViewId="0">
      <selection sqref="A1:I51"/>
    </sheetView>
  </sheetViews>
  <sheetFormatPr defaultRowHeight="15" x14ac:dyDescent="0.25"/>
  <cols>
    <col min="1" max="1" width="30.5703125" bestFit="1" customWidth="1"/>
    <col min="2" max="2" width="28.28515625" bestFit="1" customWidth="1"/>
    <col min="3" max="3" width="14" bestFit="1" customWidth="1"/>
    <col min="4" max="4" width="15.140625" bestFit="1" customWidth="1"/>
    <col min="5" max="5" width="32.5703125" bestFit="1" customWidth="1"/>
    <col min="6" max="6" width="8.140625" bestFit="1" customWidth="1"/>
    <col min="7" max="9" width="11.140625" bestFit="1" customWidth="1"/>
    <col min="10" max="15" width="12.140625" bestFit="1" customWidth="1"/>
    <col min="16" max="16" width="20" bestFit="1" customWidth="1"/>
    <col min="17" max="19" width="12.140625" bestFit="1" customWidth="1"/>
    <col min="20" max="20" width="20.28515625" bestFit="1" customWidth="1"/>
    <col min="21" max="21" width="7.7109375" bestFit="1" customWidth="1"/>
    <col min="22" max="22" width="12.42578125" bestFit="1" customWidth="1"/>
    <col min="23" max="24" width="18.140625" bestFit="1" customWidth="1"/>
  </cols>
  <sheetData>
    <row r="1" spans="1:20" x14ac:dyDescent="0.25">
      <c r="A1" t="s">
        <v>16</v>
      </c>
      <c r="B1" t="s">
        <v>17</v>
      </c>
      <c r="C1" t="s">
        <v>94</v>
      </c>
      <c r="D1" t="s">
        <v>18</v>
      </c>
      <c r="E1" t="s">
        <v>19</v>
      </c>
      <c r="F1" t="s">
        <v>20</v>
      </c>
      <c r="G1" t="s">
        <v>1752</v>
      </c>
      <c r="H1" t="s">
        <v>1753</v>
      </c>
      <c r="I1" t="s">
        <v>1754</v>
      </c>
      <c r="J1" t="s">
        <v>1755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  <c r="Q1" t="s">
        <v>1762</v>
      </c>
      <c r="R1" t="s">
        <v>1763</v>
      </c>
      <c r="S1" t="s">
        <v>1764</v>
      </c>
      <c r="T1" t="s">
        <v>95</v>
      </c>
    </row>
    <row r="2" spans="1:20" x14ac:dyDescent="0.25">
      <c r="A2" t="s">
        <v>1599</v>
      </c>
      <c r="B2" t="s">
        <v>1603</v>
      </c>
      <c r="C2" t="s">
        <v>21</v>
      </c>
      <c r="D2" t="s">
        <v>22</v>
      </c>
      <c r="E2" t="s">
        <v>1645</v>
      </c>
      <c r="F2">
        <v>1202</v>
      </c>
      <c r="O2" t="s">
        <v>1765</v>
      </c>
      <c r="T2" t="s">
        <v>21</v>
      </c>
    </row>
    <row r="3" spans="1:20" x14ac:dyDescent="0.25">
      <c r="A3" t="s">
        <v>1599</v>
      </c>
      <c r="B3" t="s">
        <v>1638</v>
      </c>
      <c r="C3" t="s">
        <v>21</v>
      </c>
      <c r="D3" t="s">
        <v>22</v>
      </c>
      <c r="E3" t="s">
        <v>1645</v>
      </c>
      <c r="F3">
        <v>1202</v>
      </c>
      <c r="P3" t="s">
        <v>1766</v>
      </c>
      <c r="T3" t="s">
        <v>21</v>
      </c>
    </row>
    <row r="4" spans="1:20" x14ac:dyDescent="0.25">
      <c r="A4" t="s">
        <v>1599</v>
      </c>
      <c r="B4" t="s">
        <v>1606</v>
      </c>
      <c r="C4" t="s">
        <v>21</v>
      </c>
      <c r="D4" t="s">
        <v>22</v>
      </c>
      <c r="E4" t="s">
        <v>1645</v>
      </c>
      <c r="F4">
        <v>1202</v>
      </c>
      <c r="P4" t="s">
        <v>1767</v>
      </c>
      <c r="T4" t="s">
        <v>21</v>
      </c>
    </row>
    <row r="5" spans="1:20" x14ac:dyDescent="0.25">
      <c r="A5" t="s">
        <v>1599</v>
      </c>
      <c r="B5" t="s">
        <v>1608</v>
      </c>
      <c r="C5" t="s">
        <v>21</v>
      </c>
      <c r="D5" t="s">
        <v>22</v>
      </c>
      <c r="E5" t="s">
        <v>1645</v>
      </c>
      <c r="F5">
        <v>1202</v>
      </c>
      <c r="P5" t="s">
        <v>1768</v>
      </c>
      <c r="T5" t="s">
        <v>21</v>
      </c>
    </row>
    <row r="6" spans="1:20" x14ac:dyDescent="0.25">
      <c r="A6" t="s">
        <v>1599</v>
      </c>
      <c r="B6" t="s">
        <v>1610</v>
      </c>
      <c r="C6" t="s">
        <v>21</v>
      </c>
      <c r="D6" t="s">
        <v>22</v>
      </c>
      <c r="E6" t="s">
        <v>1645</v>
      </c>
      <c r="F6">
        <v>1202</v>
      </c>
      <c r="T6" t="s">
        <v>21</v>
      </c>
    </row>
    <row r="7" spans="1:20" x14ac:dyDescent="0.25">
      <c r="A7" t="s">
        <v>1599</v>
      </c>
      <c r="B7" t="s">
        <v>1611</v>
      </c>
      <c r="C7" t="s">
        <v>21</v>
      </c>
      <c r="D7" t="s">
        <v>22</v>
      </c>
      <c r="E7" t="s">
        <v>1645</v>
      </c>
      <c r="F7">
        <v>1202</v>
      </c>
      <c r="T7" t="s">
        <v>21</v>
      </c>
    </row>
    <row r="8" spans="1:20" x14ac:dyDescent="0.25">
      <c r="A8" t="s">
        <v>1599</v>
      </c>
      <c r="B8" t="s">
        <v>1613</v>
      </c>
      <c r="C8" t="s">
        <v>21</v>
      </c>
      <c r="D8" t="s">
        <v>22</v>
      </c>
      <c r="E8" t="s">
        <v>1645</v>
      </c>
      <c r="F8">
        <v>1202</v>
      </c>
      <c r="T8" t="s">
        <v>21</v>
      </c>
    </row>
    <row r="9" spans="1:20" x14ac:dyDescent="0.25">
      <c r="A9" t="s">
        <v>1599</v>
      </c>
      <c r="B9" t="s">
        <v>1615</v>
      </c>
      <c r="C9" t="s">
        <v>21</v>
      </c>
      <c r="D9" t="s">
        <v>22</v>
      </c>
      <c r="E9" t="s">
        <v>1645</v>
      </c>
      <c r="F9">
        <v>1202</v>
      </c>
      <c r="T9" t="s">
        <v>21</v>
      </c>
    </row>
    <row r="10" spans="1:20" x14ac:dyDescent="0.25">
      <c r="A10" t="s">
        <v>1599</v>
      </c>
      <c r="B10" t="s">
        <v>1617</v>
      </c>
      <c r="C10" t="s">
        <v>21</v>
      </c>
      <c r="D10" t="s">
        <v>22</v>
      </c>
      <c r="E10" t="s">
        <v>1645</v>
      </c>
      <c r="F10">
        <v>1202</v>
      </c>
      <c r="T10" t="s">
        <v>21</v>
      </c>
    </row>
    <row r="11" spans="1:20" x14ac:dyDescent="0.25">
      <c r="A11" t="s">
        <v>1599</v>
      </c>
      <c r="B11" t="s">
        <v>1616</v>
      </c>
      <c r="C11" t="s">
        <v>21</v>
      </c>
      <c r="D11" t="s">
        <v>22</v>
      </c>
      <c r="E11" t="s">
        <v>1645</v>
      </c>
      <c r="F11">
        <v>1202</v>
      </c>
      <c r="T11" t="s">
        <v>21</v>
      </c>
    </row>
    <row r="12" spans="1:20" x14ac:dyDescent="0.25">
      <c r="A12" t="s">
        <v>1599</v>
      </c>
      <c r="B12" t="s">
        <v>1642</v>
      </c>
      <c r="C12" t="s">
        <v>21</v>
      </c>
      <c r="D12" t="s">
        <v>22</v>
      </c>
      <c r="E12" t="s">
        <v>1645</v>
      </c>
      <c r="F12">
        <v>1202</v>
      </c>
      <c r="T12" t="s">
        <v>21</v>
      </c>
    </row>
    <row r="13" spans="1:20" x14ac:dyDescent="0.25">
      <c r="A13" t="s">
        <v>1599</v>
      </c>
      <c r="B13" t="s">
        <v>1622</v>
      </c>
      <c r="C13" t="s">
        <v>21</v>
      </c>
      <c r="D13" t="s">
        <v>22</v>
      </c>
      <c r="E13" t="s">
        <v>1645</v>
      </c>
      <c r="F13">
        <v>1202</v>
      </c>
      <c r="T13" t="s">
        <v>21</v>
      </c>
    </row>
    <row r="14" spans="1:20" x14ac:dyDescent="0.25">
      <c r="A14" t="s">
        <v>1599</v>
      </c>
      <c r="B14" t="s">
        <v>1781</v>
      </c>
      <c r="C14" t="s">
        <v>21</v>
      </c>
      <c r="D14" t="s">
        <v>22</v>
      </c>
      <c r="E14" t="s">
        <v>1645</v>
      </c>
      <c r="F14">
        <v>1202</v>
      </c>
      <c r="T14" t="s">
        <v>21</v>
      </c>
    </row>
    <row r="15" spans="1:20" x14ac:dyDescent="0.25">
      <c r="A15" t="s">
        <v>1599</v>
      </c>
      <c r="B15" t="s">
        <v>1619</v>
      </c>
      <c r="C15" t="s">
        <v>21</v>
      </c>
      <c r="D15" t="s">
        <v>22</v>
      </c>
      <c r="E15" t="s">
        <v>1645</v>
      </c>
      <c r="F15">
        <v>1202</v>
      </c>
      <c r="T15" t="s">
        <v>21</v>
      </c>
    </row>
    <row r="16" spans="1:20" x14ac:dyDescent="0.25">
      <c r="A16" t="s">
        <v>1599</v>
      </c>
      <c r="B16" t="s">
        <v>1612</v>
      </c>
      <c r="C16" t="s">
        <v>21</v>
      </c>
      <c r="D16" t="s">
        <v>22</v>
      </c>
      <c r="E16" t="s">
        <v>1645</v>
      </c>
      <c r="F16">
        <v>1202</v>
      </c>
      <c r="T16" t="s">
        <v>21</v>
      </c>
    </row>
    <row r="17" spans="1:20" x14ac:dyDescent="0.25">
      <c r="A17" t="s">
        <v>1599</v>
      </c>
      <c r="B17" t="s">
        <v>1625</v>
      </c>
      <c r="C17" t="s">
        <v>21</v>
      </c>
      <c r="D17" t="s">
        <v>22</v>
      </c>
      <c r="E17" t="s">
        <v>1645</v>
      </c>
      <c r="F17">
        <v>1202</v>
      </c>
      <c r="T17" t="s">
        <v>21</v>
      </c>
    </row>
    <row r="18" spans="1:20" x14ac:dyDescent="0.25">
      <c r="A18" t="s">
        <v>1599</v>
      </c>
      <c r="B18" t="s">
        <v>1652</v>
      </c>
      <c r="C18" t="s">
        <v>21</v>
      </c>
      <c r="D18" t="s">
        <v>22</v>
      </c>
      <c r="E18" t="s">
        <v>1645</v>
      </c>
      <c r="F18">
        <v>1202</v>
      </c>
      <c r="T18" t="s">
        <v>21</v>
      </c>
    </row>
    <row r="19" spans="1:20" x14ac:dyDescent="0.25">
      <c r="A19" t="s">
        <v>1599</v>
      </c>
      <c r="B19" t="s">
        <v>1604</v>
      </c>
      <c r="C19" t="s">
        <v>21</v>
      </c>
      <c r="D19" t="s">
        <v>22</v>
      </c>
      <c r="E19" t="s">
        <v>1645</v>
      </c>
      <c r="F19">
        <v>1202</v>
      </c>
      <c r="T19" t="s">
        <v>21</v>
      </c>
    </row>
    <row r="20" spans="1:20" x14ac:dyDescent="0.25">
      <c r="A20" t="s">
        <v>1599</v>
      </c>
      <c r="B20" t="s">
        <v>1627</v>
      </c>
      <c r="C20" t="s">
        <v>21</v>
      </c>
      <c r="D20" t="s">
        <v>22</v>
      </c>
      <c r="E20" t="s">
        <v>1645</v>
      </c>
      <c r="F20">
        <v>1202</v>
      </c>
      <c r="T20" t="s">
        <v>21</v>
      </c>
    </row>
    <row r="21" spans="1:20" x14ac:dyDescent="0.25">
      <c r="A21" t="s">
        <v>1599</v>
      </c>
      <c r="B21" t="s">
        <v>1624</v>
      </c>
      <c r="C21" t="s">
        <v>21</v>
      </c>
      <c r="D21" t="s">
        <v>22</v>
      </c>
      <c r="E21" t="s">
        <v>1645</v>
      </c>
      <c r="F21">
        <v>1202</v>
      </c>
      <c r="T21" t="s">
        <v>21</v>
      </c>
    </row>
    <row r="22" spans="1:20" x14ac:dyDescent="0.25">
      <c r="A22" t="s">
        <v>1599</v>
      </c>
      <c r="B22" t="s">
        <v>1628</v>
      </c>
      <c r="C22" t="s">
        <v>21</v>
      </c>
      <c r="D22" t="s">
        <v>22</v>
      </c>
      <c r="E22" t="s">
        <v>1645</v>
      </c>
      <c r="F22">
        <v>1202</v>
      </c>
      <c r="T22" t="s">
        <v>21</v>
      </c>
    </row>
    <row r="23" spans="1:20" x14ac:dyDescent="0.25">
      <c r="A23" t="s">
        <v>1599</v>
      </c>
      <c r="B23" t="s">
        <v>1629</v>
      </c>
      <c r="C23" t="s">
        <v>21</v>
      </c>
      <c r="D23" t="s">
        <v>22</v>
      </c>
      <c r="E23" t="s">
        <v>1645</v>
      </c>
      <c r="F23">
        <v>1202</v>
      </c>
      <c r="T23" t="s">
        <v>21</v>
      </c>
    </row>
    <row r="24" spans="1:20" x14ac:dyDescent="0.25">
      <c r="A24" t="s">
        <v>1599</v>
      </c>
      <c r="B24" t="s">
        <v>1631</v>
      </c>
      <c r="C24" t="s">
        <v>21</v>
      </c>
      <c r="D24" t="s">
        <v>22</v>
      </c>
      <c r="E24" t="s">
        <v>1645</v>
      </c>
      <c r="F24">
        <v>1202</v>
      </c>
      <c r="T24" t="s">
        <v>21</v>
      </c>
    </row>
    <row r="25" spans="1:20" x14ac:dyDescent="0.25">
      <c r="A25" t="s">
        <v>1599</v>
      </c>
      <c r="B25" t="s">
        <v>1672</v>
      </c>
      <c r="C25" t="s">
        <v>21</v>
      </c>
      <c r="D25" t="s">
        <v>22</v>
      </c>
      <c r="E25" t="s">
        <v>1645</v>
      </c>
      <c r="F25">
        <v>1202</v>
      </c>
      <c r="T25" t="s">
        <v>21</v>
      </c>
    </row>
    <row r="26" spans="1:20" x14ac:dyDescent="0.25">
      <c r="A26" t="s">
        <v>1599</v>
      </c>
      <c r="B26" t="s">
        <v>1653</v>
      </c>
      <c r="C26" t="s">
        <v>21</v>
      </c>
      <c r="D26" t="s">
        <v>22</v>
      </c>
      <c r="E26" t="s">
        <v>1645</v>
      </c>
      <c r="F26">
        <v>1202</v>
      </c>
      <c r="T26" t="s">
        <v>21</v>
      </c>
    </row>
    <row r="27" spans="1:20" x14ac:dyDescent="0.25">
      <c r="A27" t="s">
        <v>1599</v>
      </c>
      <c r="B27" t="s">
        <v>1673</v>
      </c>
      <c r="C27" t="s">
        <v>21</v>
      </c>
      <c r="D27" t="s">
        <v>22</v>
      </c>
      <c r="E27" t="s">
        <v>1645</v>
      </c>
      <c r="F27">
        <v>1202</v>
      </c>
      <c r="T27" t="s">
        <v>21</v>
      </c>
    </row>
    <row r="28" spans="1:20" x14ac:dyDescent="0.25">
      <c r="A28" t="s">
        <v>1599</v>
      </c>
      <c r="B28" t="s">
        <v>1654</v>
      </c>
      <c r="C28" t="s">
        <v>21</v>
      </c>
      <c r="D28" t="s">
        <v>22</v>
      </c>
      <c r="E28" t="s">
        <v>1645</v>
      </c>
      <c r="F28">
        <v>1202</v>
      </c>
      <c r="T28" t="s">
        <v>21</v>
      </c>
    </row>
    <row r="29" spans="1:20" x14ac:dyDescent="0.25">
      <c r="A29" t="s">
        <v>1599</v>
      </c>
      <c r="B29" t="s">
        <v>1674</v>
      </c>
      <c r="C29" t="s">
        <v>21</v>
      </c>
      <c r="D29" t="s">
        <v>22</v>
      </c>
      <c r="E29" t="s">
        <v>1645</v>
      </c>
      <c r="F29">
        <v>1202</v>
      </c>
      <c r="T29" t="s">
        <v>21</v>
      </c>
    </row>
    <row r="30" spans="1:20" x14ac:dyDescent="0.25">
      <c r="A30" t="s">
        <v>1599</v>
      </c>
      <c r="B30" t="s">
        <v>1655</v>
      </c>
      <c r="C30" t="s">
        <v>21</v>
      </c>
      <c r="D30" t="s">
        <v>22</v>
      </c>
      <c r="E30" t="s">
        <v>1645</v>
      </c>
      <c r="F30">
        <v>1202</v>
      </c>
      <c r="T30" t="s">
        <v>21</v>
      </c>
    </row>
    <row r="31" spans="1:20" x14ac:dyDescent="0.25">
      <c r="A31" t="s">
        <v>1599</v>
      </c>
      <c r="B31" t="s">
        <v>1656</v>
      </c>
      <c r="C31" t="s">
        <v>21</v>
      </c>
      <c r="D31" t="s">
        <v>22</v>
      </c>
      <c r="E31" t="s">
        <v>1645</v>
      </c>
      <c r="F31">
        <v>1202</v>
      </c>
      <c r="T31" t="s">
        <v>21</v>
      </c>
    </row>
    <row r="32" spans="1:20" x14ac:dyDescent="0.25">
      <c r="A32" t="s">
        <v>1599</v>
      </c>
      <c r="B32" t="s">
        <v>1675</v>
      </c>
      <c r="C32" t="s">
        <v>21</v>
      </c>
      <c r="D32" t="s">
        <v>22</v>
      </c>
      <c r="E32" t="s">
        <v>1645</v>
      </c>
      <c r="F32">
        <v>1202</v>
      </c>
      <c r="T32" t="s">
        <v>21</v>
      </c>
    </row>
    <row r="33" spans="1:20" x14ac:dyDescent="0.25">
      <c r="A33" t="s">
        <v>1599</v>
      </c>
      <c r="B33" t="s">
        <v>1657</v>
      </c>
      <c r="C33" t="s">
        <v>21</v>
      </c>
      <c r="D33" t="s">
        <v>22</v>
      </c>
      <c r="E33" t="s">
        <v>1645</v>
      </c>
      <c r="F33">
        <v>1202</v>
      </c>
      <c r="T33" t="s">
        <v>21</v>
      </c>
    </row>
    <row r="34" spans="1:20" x14ac:dyDescent="0.25">
      <c r="A34" t="s">
        <v>1599</v>
      </c>
      <c r="B34" t="s">
        <v>1683</v>
      </c>
      <c r="C34" t="s">
        <v>21</v>
      </c>
      <c r="D34" t="s">
        <v>22</v>
      </c>
      <c r="E34" t="s">
        <v>1645</v>
      </c>
      <c r="F34">
        <v>1202</v>
      </c>
      <c r="T34" t="s">
        <v>21</v>
      </c>
    </row>
    <row r="35" spans="1:20" x14ac:dyDescent="0.25">
      <c r="A35" t="s">
        <v>1599</v>
      </c>
      <c r="B35" t="s">
        <v>1676</v>
      </c>
      <c r="C35" t="s">
        <v>21</v>
      </c>
      <c r="D35" t="s">
        <v>22</v>
      </c>
      <c r="E35" t="s">
        <v>1645</v>
      </c>
      <c r="F35">
        <v>1202</v>
      </c>
      <c r="T35" t="s">
        <v>21</v>
      </c>
    </row>
    <row r="36" spans="1:20" x14ac:dyDescent="0.25">
      <c r="A36" t="s">
        <v>1599</v>
      </c>
      <c r="B36" t="s">
        <v>1632</v>
      </c>
      <c r="C36" t="s">
        <v>21</v>
      </c>
      <c r="D36" t="s">
        <v>22</v>
      </c>
      <c r="E36" t="s">
        <v>1645</v>
      </c>
      <c r="F36">
        <v>1202</v>
      </c>
      <c r="T36" t="s">
        <v>21</v>
      </c>
    </row>
    <row r="37" spans="1:20" x14ac:dyDescent="0.25">
      <c r="A37" t="s">
        <v>1599</v>
      </c>
      <c r="B37" t="s">
        <v>1684</v>
      </c>
      <c r="C37" t="s">
        <v>21</v>
      </c>
      <c r="D37" t="s">
        <v>22</v>
      </c>
      <c r="E37" t="s">
        <v>1645</v>
      </c>
      <c r="F37">
        <v>1202</v>
      </c>
      <c r="T37" t="s">
        <v>21</v>
      </c>
    </row>
    <row r="38" spans="1:20" x14ac:dyDescent="0.25">
      <c r="A38" t="s">
        <v>1599</v>
      </c>
      <c r="B38" t="s">
        <v>1685</v>
      </c>
      <c r="C38" t="s">
        <v>21</v>
      </c>
      <c r="D38" t="s">
        <v>22</v>
      </c>
      <c r="E38" t="s">
        <v>1645</v>
      </c>
      <c r="F38">
        <v>1202</v>
      </c>
      <c r="T38" t="s">
        <v>21</v>
      </c>
    </row>
    <row r="39" spans="1:20" x14ac:dyDescent="0.25">
      <c r="A39" t="s">
        <v>1599</v>
      </c>
      <c r="B39" t="s">
        <v>1686</v>
      </c>
      <c r="C39" t="s">
        <v>21</v>
      </c>
      <c r="D39" t="s">
        <v>22</v>
      </c>
      <c r="E39" t="s">
        <v>1645</v>
      </c>
      <c r="F39">
        <v>1202</v>
      </c>
      <c r="T39" t="s">
        <v>21</v>
      </c>
    </row>
    <row r="40" spans="1:20" x14ac:dyDescent="0.25">
      <c r="A40" t="s">
        <v>1599</v>
      </c>
      <c r="B40" t="s">
        <v>1687</v>
      </c>
      <c r="C40" t="s">
        <v>21</v>
      </c>
      <c r="D40" t="s">
        <v>22</v>
      </c>
      <c r="E40" t="s">
        <v>1645</v>
      </c>
      <c r="F40">
        <v>1202</v>
      </c>
      <c r="T40" t="s">
        <v>21</v>
      </c>
    </row>
    <row r="41" spans="1:20" x14ac:dyDescent="0.25">
      <c r="A41" t="s">
        <v>1599</v>
      </c>
      <c r="B41" t="s">
        <v>1688</v>
      </c>
      <c r="C41" t="s">
        <v>21</v>
      </c>
      <c r="D41" t="s">
        <v>22</v>
      </c>
      <c r="E41" t="s">
        <v>1645</v>
      </c>
      <c r="F41">
        <v>1202</v>
      </c>
      <c r="T41" t="s">
        <v>21</v>
      </c>
    </row>
    <row r="42" spans="1:20" x14ac:dyDescent="0.25">
      <c r="A42" t="s">
        <v>1599</v>
      </c>
      <c r="B42" t="s">
        <v>1689</v>
      </c>
      <c r="C42" t="s">
        <v>21</v>
      </c>
      <c r="D42" t="s">
        <v>22</v>
      </c>
      <c r="E42" t="s">
        <v>1645</v>
      </c>
      <c r="F42">
        <v>1202</v>
      </c>
      <c r="T42" t="s">
        <v>21</v>
      </c>
    </row>
    <row r="43" spans="1:20" x14ac:dyDescent="0.25">
      <c r="A43" t="s">
        <v>1599</v>
      </c>
      <c r="B43" t="s">
        <v>1690</v>
      </c>
      <c r="C43" t="s">
        <v>21</v>
      </c>
      <c r="D43" t="s">
        <v>22</v>
      </c>
      <c r="E43" t="s">
        <v>1645</v>
      </c>
      <c r="F43">
        <v>1202</v>
      </c>
      <c r="T43" t="s">
        <v>21</v>
      </c>
    </row>
    <row r="44" spans="1:20" x14ac:dyDescent="0.25">
      <c r="A44" t="s">
        <v>1599</v>
      </c>
      <c r="B44" t="s">
        <v>1707</v>
      </c>
      <c r="C44" t="s">
        <v>21</v>
      </c>
      <c r="D44" t="s">
        <v>22</v>
      </c>
      <c r="E44" t="s">
        <v>1645</v>
      </c>
      <c r="F44">
        <v>1202</v>
      </c>
      <c r="T44" t="s">
        <v>21</v>
      </c>
    </row>
    <row r="45" spans="1:20" x14ac:dyDescent="0.25">
      <c r="A45" t="s">
        <v>1599</v>
      </c>
      <c r="B45" t="s">
        <v>1708</v>
      </c>
      <c r="C45" t="s">
        <v>21</v>
      </c>
      <c r="D45" t="s">
        <v>22</v>
      </c>
      <c r="E45" t="s">
        <v>1645</v>
      </c>
      <c r="F45">
        <v>1202</v>
      </c>
      <c r="T45" t="s">
        <v>21</v>
      </c>
    </row>
    <row r="46" spans="1:20" x14ac:dyDescent="0.25">
      <c r="A46" t="s">
        <v>1599</v>
      </c>
      <c r="B46" t="s">
        <v>1710</v>
      </c>
      <c r="C46" t="s">
        <v>21</v>
      </c>
      <c r="D46" t="s">
        <v>22</v>
      </c>
      <c r="E46" t="s">
        <v>1645</v>
      </c>
      <c r="F46">
        <v>1202</v>
      </c>
      <c r="T46" t="s">
        <v>21</v>
      </c>
    </row>
    <row r="47" spans="1:20" x14ac:dyDescent="0.25">
      <c r="A47" t="s">
        <v>1599</v>
      </c>
      <c r="B47" t="s">
        <v>1717</v>
      </c>
      <c r="C47" t="s">
        <v>21</v>
      </c>
      <c r="D47" t="s">
        <v>22</v>
      </c>
      <c r="E47" t="s">
        <v>1645</v>
      </c>
      <c r="F47">
        <v>1202</v>
      </c>
      <c r="T47" t="s">
        <v>21</v>
      </c>
    </row>
    <row r="48" spans="1:20" x14ac:dyDescent="0.25">
      <c r="A48" t="s">
        <v>1599</v>
      </c>
      <c r="B48" t="s">
        <v>1718</v>
      </c>
      <c r="C48" t="s">
        <v>21</v>
      </c>
      <c r="D48" t="s">
        <v>22</v>
      </c>
      <c r="E48" t="s">
        <v>1645</v>
      </c>
      <c r="F48">
        <v>1202</v>
      </c>
      <c r="T48" t="s">
        <v>21</v>
      </c>
    </row>
    <row r="49" spans="1:20" x14ac:dyDescent="0.25">
      <c r="A49" t="s">
        <v>1599</v>
      </c>
      <c r="B49" t="s">
        <v>1719</v>
      </c>
      <c r="C49" t="s">
        <v>21</v>
      </c>
      <c r="D49" t="s">
        <v>22</v>
      </c>
      <c r="E49" t="s">
        <v>1645</v>
      </c>
      <c r="F49">
        <v>1202</v>
      </c>
      <c r="T49" t="s">
        <v>21</v>
      </c>
    </row>
    <row r="50" spans="1:20" x14ac:dyDescent="0.25">
      <c r="A50" t="s">
        <v>1599</v>
      </c>
      <c r="B50" t="s">
        <v>1769</v>
      </c>
      <c r="C50" t="s">
        <v>21</v>
      </c>
      <c r="D50" t="s">
        <v>22</v>
      </c>
      <c r="E50" t="s">
        <v>1645</v>
      </c>
      <c r="F50">
        <v>1202</v>
      </c>
      <c r="T50" t="s">
        <v>21</v>
      </c>
    </row>
    <row r="51" spans="1:20" x14ac:dyDescent="0.25">
      <c r="A51" t="s">
        <v>1599</v>
      </c>
      <c r="B51" t="s">
        <v>1720</v>
      </c>
      <c r="C51" t="s">
        <v>21</v>
      </c>
      <c r="D51" t="s">
        <v>22</v>
      </c>
      <c r="E51" t="s">
        <v>1645</v>
      </c>
      <c r="F51">
        <v>1202</v>
      </c>
      <c r="T51" t="s">
        <v>21</v>
      </c>
    </row>
    <row r="52" spans="1:20" x14ac:dyDescent="0.25">
      <c r="A52" t="s">
        <v>1599</v>
      </c>
      <c r="B52" t="s">
        <v>1721</v>
      </c>
      <c r="C52" t="s">
        <v>21</v>
      </c>
      <c r="D52" t="s">
        <v>22</v>
      </c>
      <c r="E52" t="s">
        <v>1645</v>
      </c>
      <c r="F52">
        <v>1202</v>
      </c>
      <c r="T52" t="s">
        <v>21</v>
      </c>
    </row>
    <row r="53" spans="1:20" x14ac:dyDescent="0.25">
      <c r="A53" t="s">
        <v>1600</v>
      </c>
      <c r="B53" t="s">
        <v>1607</v>
      </c>
      <c r="C53" t="s">
        <v>21</v>
      </c>
      <c r="D53" t="s">
        <v>22</v>
      </c>
      <c r="E53" t="s">
        <v>1643</v>
      </c>
      <c r="F53">
        <v>3114</v>
      </c>
      <c r="T53" t="s">
        <v>21</v>
      </c>
    </row>
    <row r="54" spans="1:20" x14ac:dyDescent="0.25">
      <c r="A54" t="s">
        <v>1600</v>
      </c>
      <c r="B54" t="s">
        <v>1635</v>
      </c>
      <c r="C54" t="s">
        <v>21</v>
      </c>
      <c r="D54" t="s">
        <v>22</v>
      </c>
      <c r="E54" t="s">
        <v>1643</v>
      </c>
      <c r="F54">
        <v>3114</v>
      </c>
      <c r="T54" t="s">
        <v>21</v>
      </c>
    </row>
    <row r="55" spans="1:20" x14ac:dyDescent="0.25">
      <c r="A55" t="s">
        <v>1600</v>
      </c>
      <c r="B55" t="s">
        <v>1620</v>
      </c>
      <c r="C55" t="s">
        <v>21</v>
      </c>
      <c r="D55" t="s">
        <v>22</v>
      </c>
      <c r="E55" t="s">
        <v>1643</v>
      </c>
      <c r="F55">
        <v>3114</v>
      </c>
      <c r="T55" t="s">
        <v>21</v>
      </c>
    </row>
    <row r="56" spans="1:20" x14ac:dyDescent="0.25">
      <c r="A56" t="s">
        <v>1600</v>
      </c>
      <c r="B56" t="s">
        <v>1621</v>
      </c>
      <c r="C56" t="s">
        <v>21</v>
      </c>
      <c r="D56" t="s">
        <v>22</v>
      </c>
      <c r="E56" t="s">
        <v>1643</v>
      </c>
      <c r="F56">
        <v>3114</v>
      </c>
      <c r="T56" t="s">
        <v>21</v>
      </c>
    </row>
    <row r="57" spans="1:20" x14ac:dyDescent="0.25">
      <c r="A57" t="s">
        <v>1600</v>
      </c>
      <c r="B57" t="s">
        <v>1677</v>
      </c>
      <c r="C57" t="s">
        <v>21</v>
      </c>
      <c r="D57" t="s">
        <v>22</v>
      </c>
      <c r="E57" t="s">
        <v>1643</v>
      </c>
      <c r="F57">
        <v>3114</v>
      </c>
      <c r="T57" t="s">
        <v>21</v>
      </c>
    </row>
    <row r="58" spans="1:20" x14ac:dyDescent="0.25">
      <c r="A58" t="s">
        <v>1600</v>
      </c>
      <c r="B58" t="s">
        <v>1636</v>
      </c>
      <c r="C58" t="s">
        <v>21</v>
      </c>
      <c r="D58" t="s">
        <v>22</v>
      </c>
      <c r="E58" t="s">
        <v>1643</v>
      </c>
      <c r="F58">
        <v>3114</v>
      </c>
      <c r="T58" t="s">
        <v>21</v>
      </c>
    </row>
    <row r="59" spans="1:20" x14ac:dyDescent="0.25">
      <c r="A59" t="s">
        <v>1600</v>
      </c>
      <c r="B59" t="s">
        <v>1618</v>
      </c>
      <c r="C59" t="s">
        <v>21</v>
      </c>
      <c r="D59" t="s">
        <v>22</v>
      </c>
      <c r="E59" t="s">
        <v>1643</v>
      </c>
      <c r="F59">
        <v>3114</v>
      </c>
      <c r="T59" t="s">
        <v>21</v>
      </c>
    </row>
    <row r="60" spans="1:20" x14ac:dyDescent="0.25">
      <c r="A60" t="s">
        <v>1600</v>
      </c>
      <c r="B60" t="s">
        <v>1678</v>
      </c>
      <c r="C60" t="s">
        <v>21</v>
      </c>
      <c r="D60" t="s">
        <v>22</v>
      </c>
      <c r="E60" t="s">
        <v>1643</v>
      </c>
      <c r="F60">
        <v>3114</v>
      </c>
      <c r="T60" t="s">
        <v>21</v>
      </c>
    </row>
    <row r="61" spans="1:20" x14ac:dyDescent="0.25">
      <c r="A61" t="s">
        <v>1600</v>
      </c>
      <c r="B61" t="s">
        <v>1679</v>
      </c>
      <c r="C61" t="s">
        <v>21</v>
      </c>
      <c r="D61" t="s">
        <v>22</v>
      </c>
      <c r="E61" t="s">
        <v>1643</v>
      </c>
      <c r="F61">
        <v>3114</v>
      </c>
      <c r="T61" t="s">
        <v>21</v>
      </c>
    </row>
    <row r="62" spans="1:20" x14ac:dyDescent="0.25">
      <c r="A62" t="s">
        <v>1600</v>
      </c>
      <c r="B62" t="s">
        <v>1658</v>
      </c>
      <c r="C62" t="s">
        <v>21</v>
      </c>
      <c r="D62" t="s">
        <v>22</v>
      </c>
      <c r="E62" t="s">
        <v>1643</v>
      </c>
      <c r="F62">
        <v>3114</v>
      </c>
      <c r="T62" t="s">
        <v>21</v>
      </c>
    </row>
    <row r="63" spans="1:20" x14ac:dyDescent="0.25">
      <c r="A63" t="s">
        <v>1600</v>
      </c>
      <c r="B63" t="s">
        <v>1659</v>
      </c>
      <c r="C63" t="s">
        <v>21</v>
      </c>
      <c r="D63" t="s">
        <v>22</v>
      </c>
      <c r="E63" t="s">
        <v>1643</v>
      </c>
      <c r="F63">
        <v>3114</v>
      </c>
      <c r="T63" t="s">
        <v>21</v>
      </c>
    </row>
    <row r="64" spans="1:20" x14ac:dyDescent="0.25">
      <c r="A64" t="s">
        <v>1600</v>
      </c>
      <c r="B64" t="s">
        <v>1680</v>
      </c>
      <c r="C64" t="s">
        <v>21</v>
      </c>
      <c r="D64" t="s">
        <v>22</v>
      </c>
      <c r="E64" t="s">
        <v>1643</v>
      </c>
      <c r="F64">
        <v>3114</v>
      </c>
      <c r="T64" t="s">
        <v>21</v>
      </c>
    </row>
    <row r="65" spans="1:20" x14ac:dyDescent="0.25">
      <c r="A65" t="s">
        <v>1600</v>
      </c>
      <c r="B65" t="s">
        <v>1660</v>
      </c>
      <c r="C65" t="s">
        <v>21</v>
      </c>
      <c r="D65" t="s">
        <v>22</v>
      </c>
      <c r="E65" t="s">
        <v>1643</v>
      </c>
      <c r="F65">
        <v>3114</v>
      </c>
      <c r="T65" t="s">
        <v>21</v>
      </c>
    </row>
    <row r="66" spans="1:20" x14ac:dyDescent="0.25">
      <c r="A66" t="s">
        <v>1600</v>
      </c>
      <c r="B66" t="s">
        <v>1634</v>
      </c>
      <c r="C66" t="s">
        <v>21</v>
      </c>
      <c r="D66" t="s">
        <v>22</v>
      </c>
      <c r="E66" t="s">
        <v>1643</v>
      </c>
      <c r="F66">
        <v>3114</v>
      </c>
      <c r="T66" t="s">
        <v>21</v>
      </c>
    </row>
    <row r="67" spans="1:20" x14ac:dyDescent="0.25">
      <c r="A67" t="s">
        <v>1600</v>
      </c>
      <c r="B67" t="s">
        <v>1691</v>
      </c>
      <c r="C67" t="s">
        <v>21</v>
      </c>
      <c r="D67" t="s">
        <v>22</v>
      </c>
      <c r="E67" t="s">
        <v>1643</v>
      </c>
      <c r="F67">
        <v>3114</v>
      </c>
      <c r="T67" t="s">
        <v>21</v>
      </c>
    </row>
    <row r="68" spans="1:20" x14ac:dyDescent="0.25">
      <c r="A68" t="s">
        <v>1600</v>
      </c>
      <c r="B68" t="s">
        <v>1692</v>
      </c>
      <c r="C68" t="s">
        <v>21</v>
      </c>
      <c r="D68" t="s">
        <v>22</v>
      </c>
      <c r="E68" t="s">
        <v>1643</v>
      </c>
      <c r="F68">
        <v>3114</v>
      </c>
      <c r="T68" t="s">
        <v>21</v>
      </c>
    </row>
    <row r="69" spans="1:20" x14ac:dyDescent="0.25">
      <c r="A69" t="s">
        <v>1600</v>
      </c>
      <c r="B69" t="s">
        <v>1722</v>
      </c>
      <c r="C69" t="s">
        <v>21</v>
      </c>
      <c r="D69" t="s">
        <v>22</v>
      </c>
      <c r="E69" t="s">
        <v>1643</v>
      </c>
      <c r="F69">
        <v>3114</v>
      </c>
      <c r="T69" t="s">
        <v>21</v>
      </c>
    </row>
    <row r="70" spans="1:20" x14ac:dyDescent="0.25">
      <c r="A70" t="s">
        <v>1600</v>
      </c>
      <c r="B70" t="s">
        <v>1723</v>
      </c>
      <c r="C70" t="s">
        <v>21</v>
      </c>
      <c r="D70" t="s">
        <v>22</v>
      </c>
      <c r="E70" t="s">
        <v>1643</v>
      </c>
      <c r="F70">
        <v>3114</v>
      </c>
      <c r="T70" t="s">
        <v>21</v>
      </c>
    </row>
    <row r="71" spans="1:20" x14ac:dyDescent="0.25">
      <c r="A71" t="s">
        <v>1600</v>
      </c>
      <c r="B71" t="s">
        <v>1724</v>
      </c>
      <c r="C71" t="s">
        <v>21</v>
      </c>
      <c r="D71" t="s">
        <v>22</v>
      </c>
      <c r="E71" t="s">
        <v>1643</v>
      </c>
      <c r="F71">
        <v>3114</v>
      </c>
      <c r="T71" t="s">
        <v>21</v>
      </c>
    </row>
    <row r="72" spans="1:20" x14ac:dyDescent="0.25">
      <c r="A72" t="s">
        <v>1600</v>
      </c>
      <c r="B72" t="s">
        <v>1705</v>
      </c>
      <c r="C72" t="s">
        <v>21</v>
      </c>
      <c r="D72" t="s">
        <v>22</v>
      </c>
      <c r="E72" t="s">
        <v>1643</v>
      </c>
      <c r="F72">
        <v>3114</v>
      </c>
      <c r="T72" t="s">
        <v>21</v>
      </c>
    </row>
    <row r="73" spans="1:20" x14ac:dyDescent="0.25">
      <c r="A73" t="s">
        <v>1601</v>
      </c>
      <c r="B73" t="s">
        <v>1623</v>
      </c>
      <c r="C73" t="s">
        <v>21</v>
      </c>
      <c r="D73" t="s">
        <v>22</v>
      </c>
      <c r="E73" t="s">
        <v>1644</v>
      </c>
      <c r="F73">
        <v>9066</v>
      </c>
      <c r="T73" t="s">
        <v>21</v>
      </c>
    </row>
    <row r="74" spans="1:20" x14ac:dyDescent="0.25">
      <c r="A74" t="s">
        <v>1601</v>
      </c>
      <c r="B74" t="s">
        <v>1633</v>
      </c>
      <c r="C74" t="s">
        <v>21</v>
      </c>
      <c r="D74" t="s">
        <v>22</v>
      </c>
      <c r="E74" t="s">
        <v>1644</v>
      </c>
      <c r="F74">
        <v>9066</v>
      </c>
      <c r="T74" t="s">
        <v>21</v>
      </c>
    </row>
    <row r="75" spans="1:20" x14ac:dyDescent="0.25">
      <c r="A75" t="s">
        <v>1601</v>
      </c>
      <c r="B75" t="s">
        <v>1602</v>
      </c>
      <c r="C75" t="s">
        <v>21</v>
      </c>
      <c r="D75" t="s">
        <v>22</v>
      </c>
      <c r="E75" t="s">
        <v>1644</v>
      </c>
      <c r="F75">
        <v>9066</v>
      </c>
      <c r="T75" t="s">
        <v>21</v>
      </c>
    </row>
    <row r="76" spans="1:20" x14ac:dyDescent="0.25">
      <c r="A76" t="s">
        <v>1601</v>
      </c>
      <c r="B76" t="s">
        <v>1605</v>
      </c>
      <c r="C76" t="s">
        <v>21</v>
      </c>
      <c r="D76" t="s">
        <v>22</v>
      </c>
      <c r="E76" t="s">
        <v>1644</v>
      </c>
      <c r="F76">
        <v>9066</v>
      </c>
      <c r="T76" t="s">
        <v>21</v>
      </c>
    </row>
    <row r="77" spans="1:20" x14ac:dyDescent="0.25">
      <c r="A77" t="s">
        <v>1601</v>
      </c>
      <c r="B77" t="s">
        <v>1626</v>
      </c>
      <c r="C77" t="s">
        <v>21</v>
      </c>
      <c r="D77" t="s">
        <v>22</v>
      </c>
      <c r="E77" t="s">
        <v>1644</v>
      </c>
      <c r="F77">
        <v>9066</v>
      </c>
      <c r="T77" t="s">
        <v>21</v>
      </c>
    </row>
    <row r="78" spans="1:20" x14ac:dyDescent="0.25">
      <c r="A78" t="s">
        <v>1601</v>
      </c>
      <c r="B78" t="s">
        <v>1609</v>
      </c>
      <c r="C78" t="s">
        <v>21</v>
      </c>
      <c r="D78" t="s">
        <v>22</v>
      </c>
      <c r="E78" t="s">
        <v>1644</v>
      </c>
      <c r="F78">
        <v>9066</v>
      </c>
      <c r="T78" t="s">
        <v>21</v>
      </c>
    </row>
    <row r="79" spans="1:20" x14ac:dyDescent="0.25">
      <c r="A79" t="s">
        <v>1601</v>
      </c>
      <c r="B79" t="s">
        <v>1639</v>
      </c>
      <c r="C79" t="s">
        <v>21</v>
      </c>
      <c r="D79" t="s">
        <v>22</v>
      </c>
      <c r="E79" t="s">
        <v>1644</v>
      </c>
      <c r="F79">
        <v>9066</v>
      </c>
      <c r="T79" t="s">
        <v>21</v>
      </c>
    </row>
    <row r="80" spans="1:20" x14ac:dyDescent="0.25">
      <c r="A80" t="s">
        <v>1601</v>
      </c>
      <c r="B80" t="s">
        <v>1661</v>
      </c>
      <c r="C80" t="s">
        <v>21</v>
      </c>
      <c r="D80" t="s">
        <v>22</v>
      </c>
      <c r="E80" t="s">
        <v>1644</v>
      </c>
      <c r="F80">
        <v>9066</v>
      </c>
      <c r="T80" t="s">
        <v>21</v>
      </c>
    </row>
    <row r="81" spans="1:20" x14ac:dyDescent="0.25">
      <c r="A81" t="s">
        <v>1601</v>
      </c>
      <c r="B81" t="s">
        <v>1662</v>
      </c>
      <c r="C81" t="s">
        <v>21</v>
      </c>
      <c r="D81" t="s">
        <v>22</v>
      </c>
      <c r="E81" t="s">
        <v>1644</v>
      </c>
      <c r="F81">
        <v>9066</v>
      </c>
      <c r="T81" t="s">
        <v>21</v>
      </c>
    </row>
    <row r="82" spans="1:20" x14ac:dyDescent="0.25">
      <c r="A82" t="s">
        <v>1601</v>
      </c>
      <c r="B82" t="s">
        <v>1681</v>
      </c>
      <c r="C82" t="s">
        <v>21</v>
      </c>
      <c r="D82" t="s">
        <v>22</v>
      </c>
      <c r="E82" t="s">
        <v>1644</v>
      </c>
      <c r="F82">
        <v>9066</v>
      </c>
      <c r="T82" t="s">
        <v>21</v>
      </c>
    </row>
    <row r="83" spans="1:20" x14ac:dyDescent="0.25">
      <c r="A83" t="s">
        <v>1601</v>
      </c>
      <c r="B83" t="s">
        <v>1663</v>
      </c>
      <c r="C83" t="s">
        <v>21</v>
      </c>
      <c r="D83" t="s">
        <v>22</v>
      </c>
      <c r="E83" t="s">
        <v>1644</v>
      </c>
      <c r="F83">
        <v>9066</v>
      </c>
      <c r="T83" t="s">
        <v>21</v>
      </c>
    </row>
    <row r="84" spans="1:20" x14ac:dyDescent="0.25">
      <c r="A84" t="s">
        <v>1601</v>
      </c>
      <c r="B84" t="s">
        <v>1711</v>
      </c>
      <c r="C84" t="s">
        <v>21</v>
      </c>
      <c r="D84" t="s">
        <v>22</v>
      </c>
      <c r="E84" t="s">
        <v>1644</v>
      </c>
      <c r="F84">
        <v>9066</v>
      </c>
      <c r="T84" t="s">
        <v>21</v>
      </c>
    </row>
    <row r="85" spans="1:20" x14ac:dyDescent="0.25">
      <c r="A85" t="s">
        <v>1601</v>
      </c>
      <c r="B85" t="s">
        <v>1637</v>
      </c>
      <c r="C85" t="s">
        <v>21</v>
      </c>
      <c r="D85" t="s">
        <v>22</v>
      </c>
      <c r="E85" t="s">
        <v>1644</v>
      </c>
      <c r="F85">
        <v>9066</v>
      </c>
      <c r="T85" t="s">
        <v>21</v>
      </c>
    </row>
    <row r="86" spans="1:20" x14ac:dyDescent="0.25">
      <c r="A86" t="s">
        <v>1601</v>
      </c>
      <c r="B86" t="s">
        <v>1709</v>
      </c>
      <c r="C86" t="s">
        <v>21</v>
      </c>
      <c r="D86" t="s">
        <v>22</v>
      </c>
      <c r="E86" t="s">
        <v>1644</v>
      </c>
      <c r="F86">
        <v>9066</v>
      </c>
      <c r="T86" t="s">
        <v>21</v>
      </c>
    </row>
    <row r="87" spans="1:20" x14ac:dyDescent="0.25">
      <c r="A87" t="s">
        <v>1601</v>
      </c>
      <c r="B87" t="s">
        <v>1725</v>
      </c>
      <c r="C87" t="s">
        <v>21</v>
      </c>
      <c r="D87" t="s">
        <v>22</v>
      </c>
      <c r="E87" t="s">
        <v>1644</v>
      </c>
      <c r="F87">
        <v>9066</v>
      </c>
      <c r="T87" t="s">
        <v>21</v>
      </c>
    </row>
    <row r="88" spans="1:20" x14ac:dyDescent="0.25">
      <c r="A88" t="s">
        <v>1601</v>
      </c>
      <c r="B88" t="s">
        <v>1726</v>
      </c>
      <c r="C88" t="s">
        <v>21</v>
      </c>
      <c r="D88" t="s">
        <v>22</v>
      </c>
      <c r="E88" t="s">
        <v>1644</v>
      </c>
      <c r="F88">
        <v>9066</v>
      </c>
      <c r="T88" t="s">
        <v>21</v>
      </c>
    </row>
    <row r="89" spans="1:20" x14ac:dyDescent="0.25">
      <c r="A89" t="s">
        <v>1667</v>
      </c>
      <c r="B89" t="s">
        <v>1641</v>
      </c>
      <c r="C89" t="s">
        <v>21</v>
      </c>
      <c r="D89" t="s">
        <v>22</v>
      </c>
      <c r="E89" t="s">
        <v>1646</v>
      </c>
      <c r="F89">
        <v>12060</v>
      </c>
      <c r="T89" t="s">
        <v>21</v>
      </c>
    </row>
    <row r="90" spans="1:20" x14ac:dyDescent="0.25">
      <c r="A90" t="s">
        <v>1749</v>
      </c>
      <c r="B90" t="s">
        <v>1640</v>
      </c>
      <c r="C90" t="s">
        <v>21</v>
      </c>
      <c r="D90" t="s">
        <v>22</v>
      </c>
      <c r="E90" t="s">
        <v>1647</v>
      </c>
      <c r="F90">
        <v>12088</v>
      </c>
      <c r="T90" t="s">
        <v>21</v>
      </c>
    </row>
    <row r="91" spans="1:20" x14ac:dyDescent="0.25">
      <c r="A91" t="s">
        <v>1750</v>
      </c>
      <c r="B91" t="s">
        <v>1651</v>
      </c>
      <c r="C91" t="s">
        <v>21</v>
      </c>
      <c r="D91" t="s">
        <v>22</v>
      </c>
      <c r="E91" t="s">
        <v>1668</v>
      </c>
      <c r="F91">
        <v>12106</v>
      </c>
      <c r="T91" t="s">
        <v>21</v>
      </c>
    </row>
    <row r="92" spans="1:20" x14ac:dyDescent="0.25">
      <c r="A92" t="s">
        <v>1751</v>
      </c>
      <c r="B92" t="s">
        <v>1682</v>
      </c>
      <c r="C92" t="s">
        <v>21</v>
      </c>
      <c r="D92" t="s">
        <v>22</v>
      </c>
      <c r="E92" t="s">
        <v>1669</v>
      </c>
      <c r="F92">
        <v>12081</v>
      </c>
      <c r="T92" t="s">
        <v>21</v>
      </c>
    </row>
    <row r="93" spans="1:20" x14ac:dyDescent="0.25">
      <c r="A93" t="s">
        <v>1670</v>
      </c>
      <c r="B93" t="s">
        <v>1664</v>
      </c>
      <c r="C93" t="s">
        <v>21</v>
      </c>
      <c r="D93" t="s">
        <v>22</v>
      </c>
      <c r="E93" t="s">
        <v>1671</v>
      </c>
      <c r="F93">
        <v>12078</v>
      </c>
      <c r="T93" t="s">
        <v>21</v>
      </c>
    </row>
    <row r="94" spans="1:20" x14ac:dyDescent="0.25">
      <c r="A94" t="s">
        <v>1670</v>
      </c>
      <c r="B94" t="s">
        <v>1727</v>
      </c>
      <c r="C94" t="s">
        <v>21</v>
      </c>
      <c r="D94" t="s">
        <v>22</v>
      </c>
      <c r="E94" t="s">
        <v>1671</v>
      </c>
      <c r="F94">
        <v>12078</v>
      </c>
      <c r="T94" t="s">
        <v>21</v>
      </c>
    </row>
    <row r="95" spans="1:20" x14ac:dyDescent="0.25">
      <c r="A95" t="s">
        <v>1665</v>
      </c>
      <c r="B95" t="s">
        <v>2112</v>
      </c>
      <c r="C95" t="s">
        <v>21</v>
      </c>
      <c r="D95" t="s">
        <v>22</v>
      </c>
      <c r="E95" t="s">
        <v>2110</v>
      </c>
      <c r="F95">
        <v>6125</v>
      </c>
      <c r="T95" t="s">
        <v>21</v>
      </c>
    </row>
    <row r="96" spans="1:20" x14ac:dyDescent="0.25">
      <c r="A96" t="s">
        <v>1746</v>
      </c>
      <c r="B96" t="s">
        <v>1695</v>
      </c>
      <c r="C96" t="s">
        <v>21</v>
      </c>
      <c r="D96" t="s">
        <v>22</v>
      </c>
      <c r="E96" t="s">
        <v>1696</v>
      </c>
      <c r="F96">
        <v>12118</v>
      </c>
      <c r="T96" t="s">
        <v>21</v>
      </c>
    </row>
    <row r="97" spans="1:20" x14ac:dyDescent="0.25">
      <c r="A97" t="s">
        <v>1814</v>
      </c>
      <c r="B97" t="s">
        <v>1702</v>
      </c>
      <c r="C97" t="s">
        <v>21</v>
      </c>
      <c r="D97" t="s">
        <v>22</v>
      </c>
      <c r="E97" t="s">
        <v>1703</v>
      </c>
      <c r="F97">
        <v>12101</v>
      </c>
      <c r="T97" t="s">
        <v>21</v>
      </c>
    </row>
    <row r="98" spans="1:20" x14ac:dyDescent="0.25">
      <c r="A98" t="s">
        <v>1699</v>
      </c>
      <c r="B98" t="s">
        <v>1712</v>
      </c>
      <c r="C98" t="s">
        <v>21</v>
      </c>
      <c r="D98" t="s">
        <v>22</v>
      </c>
      <c r="E98" t="s">
        <v>1700</v>
      </c>
      <c r="F98">
        <v>12119</v>
      </c>
      <c r="T98" t="s">
        <v>21</v>
      </c>
    </row>
    <row r="99" spans="1:20" x14ac:dyDescent="0.25">
      <c r="A99" t="s">
        <v>1745</v>
      </c>
      <c r="B99" t="s">
        <v>1693</v>
      </c>
      <c r="C99" t="s">
        <v>21</v>
      </c>
      <c r="D99" t="s">
        <v>22</v>
      </c>
      <c r="E99" t="s">
        <v>1701</v>
      </c>
      <c r="F99">
        <v>12157</v>
      </c>
      <c r="T99" t="s">
        <v>21</v>
      </c>
    </row>
    <row r="100" spans="1:20" x14ac:dyDescent="0.25">
      <c r="A100" t="s">
        <v>1747</v>
      </c>
      <c r="B100" t="s">
        <v>1697</v>
      </c>
      <c r="C100" t="s">
        <v>21</v>
      </c>
      <c r="D100" t="s">
        <v>22</v>
      </c>
      <c r="E100" t="s">
        <v>1698</v>
      </c>
      <c r="F100">
        <v>12141</v>
      </c>
      <c r="T100" t="s">
        <v>21</v>
      </c>
    </row>
    <row r="101" spans="1:20" x14ac:dyDescent="0.25">
      <c r="A101" t="s">
        <v>1716</v>
      </c>
      <c r="B101" t="s">
        <v>1706</v>
      </c>
      <c r="C101" t="s">
        <v>21</v>
      </c>
      <c r="D101" t="s">
        <v>22</v>
      </c>
      <c r="E101" t="s">
        <v>1728</v>
      </c>
      <c r="F101">
        <v>12114</v>
      </c>
      <c r="T101" t="s">
        <v>21</v>
      </c>
    </row>
    <row r="102" spans="1:20" x14ac:dyDescent="0.25">
      <c r="A102" t="s">
        <v>1748</v>
      </c>
      <c r="B102" t="s">
        <v>1694</v>
      </c>
      <c r="C102" t="s">
        <v>21</v>
      </c>
      <c r="D102" t="s">
        <v>22</v>
      </c>
      <c r="E102" t="s">
        <v>1729</v>
      </c>
      <c r="F102">
        <v>12154</v>
      </c>
      <c r="T102" t="s">
        <v>21</v>
      </c>
    </row>
    <row r="103" spans="1:20" x14ac:dyDescent="0.25">
      <c r="A103" t="s">
        <v>1599</v>
      </c>
      <c r="B103" t="s">
        <v>1735</v>
      </c>
      <c r="C103" t="s">
        <v>21</v>
      </c>
      <c r="D103" t="s">
        <v>22</v>
      </c>
      <c r="E103" t="s">
        <v>1645</v>
      </c>
      <c r="F103">
        <v>1202</v>
      </c>
      <c r="T103" t="s">
        <v>21</v>
      </c>
    </row>
    <row r="104" spans="1:20" x14ac:dyDescent="0.25">
      <c r="A104" t="s">
        <v>1599</v>
      </c>
      <c r="B104" t="s">
        <v>1731</v>
      </c>
      <c r="C104" t="s">
        <v>21</v>
      </c>
      <c r="D104" t="s">
        <v>22</v>
      </c>
      <c r="E104" t="s">
        <v>1645</v>
      </c>
      <c r="F104">
        <v>1202</v>
      </c>
      <c r="T104" t="s">
        <v>21</v>
      </c>
    </row>
    <row r="105" spans="1:20" x14ac:dyDescent="0.25">
      <c r="A105" t="s">
        <v>1600</v>
      </c>
      <c r="B105" t="s">
        <v>1737</v>
      </c>
      <c r="C105" t="s">
        <v>21</v>
      </c>
      <c r="D105" t="s">
        <v>22</v>
      </c>
      <c r="E105" t="s">
        <v>1643</v>
      </c>
      <c r="F105">
        <v>3114</v>
      </c>
      <c r="T105" t="s">
        <v>21</v>
      </c>
    </row>
    <row r="106" spans="1:20" x14ac:dyDescent="0.25">
      <c r="A106" t="s">
        <v>1599</v>
      </c>
      <c r="B106" t="s">
        <v>1738</v>
      </c>
      <c r="C106" t="s">
        <v>21</v>
      </c>
      <c r="D106" t="s">
        <v>22</v>
      </c>
      <c r="E106" t="s">
        <v>1645</v>
      </c>
      <c r="F106">
        <v>1202</v>
      </c>
      <c r="T106" t="s">
        <v>21</v>
      </c>
    </row>
    <row r="107" spans="1:20" x14ac:dyDescent="0.25">
      <c r="A107" t="s">
        <v>1742</v>
      </c>
      <c r="B107" t="s">
        <v>1739</v>
      </c>
      <c r="C107" t="s">
        <v>21</v>
      </c>
      <c r="D107" t="s">
        <v>22</v>
      </c>
      <c r="E107" t="s">
        <v>1743</v>
      </c>
      <c r="F107">
        <v>12150</v>
      </c>
      <c r="T107" t="s">
        <v>21</v>
      </c>
    </row>
    <row r="108" spans="1:20" x14ac:dyDescent="0.25">
      <c r="A108" t="s">
        <v>1600</v>
      </c>
      <c r="B108" t="s">
        <v>1740</v>
      </c>
      <c r="C108" t="s">
        <v>21</v>
      </c>
      <c r="D108" t="s">
        <v>22</v>
      </c>
      <c r="E108" t="s">
        <v>1643</v>
      </c>
      <c r="F108">
        <v>3114</v>
      </c>
      <c r="T108" t="s">
        <v>21</v>
      </c>
    </row>
    <row r="109" spans="1:20" x14ac:dyDescent="0.25">
      <c r="A109" t="s">
        <v>1600</v>
      </c>
      <c r="B109" t="s">
        <v>1805</v>
      </c>
      <c r="C109" t="s">
        <v>21</v>
      </c>
      <c r="D109" t="s">
        <v>22</v>
      </c>
      <c r="E109" t="s">
        <v>1643</v>
      </c>
      <c r="F109">
        <v>3114</v>
      </c>
      <c r="T109" t="s">
        <v>21</v>
      </c>
    </row>
    <row r="110" spans="1:20" x14ac:dyDescent="0.25">
      <c r="A110" t="s">
        <v>1815</v>
      </c>
      <c r="B110" t="s">
        <v>1741</v>
      </c>
      <c r="C110" t="s">
        <v>21</v>
      </c>
      <c r="D110" t="s">
        <v>22</v>
      </c>
      <c r="E110" t="s">
        <v>1744</v>
      </c>
      <c r="F110">
        <v>12124</v>
      </c>
      <c r="T110" t="s">
        <v>21</v>
      </c>
    </row>
    <row r="111" spans="1:20" x14ac:dyDescent="0.25">
      <c r="A111" t="s">
        <v>1600</v>
      </c>
      <c r="B111" t="s">
        <v>1732</v>
      </c>
      <c r="C111" t="s">
        <v>21</v>
      </c>
      <c r="D111" t="s">
        <v>22</v>
      </c>
      <c r="E111" t="s">
        <v>1643</v>
      </c>
      <c r="F111">
        <v>3114</v>
      </c>
      <c r="T111" t="s">
        <v>21</v>
      </c>
    </row>
    <row r="112" spans="1:20" x14ac:dyDescent="0.25">
      <c r="A112" t="s">
        <v>1599</v>
      </c>
      <c r="B112" t="s">
        <v>1770</v>
      </c>
      <c r="C112" t="s">
        <v>21</v>
      </c>
      <c r="D112" t="s">
        <v>22</v>
      </c>
      <c r="E112" t="s">
        <v>1645</v>
      </c>
      <c r="F112">
        <v>1202</v>
      </c>
      <c r="T112" t="s">
        <v>21</v>
      </c>
    </row>
    <row r="113" spans="1:20" x14ac:dyDescent="0.25">
      <c r="A113" t="s">
        <v>1601</v>
      </c>
      <c r="B113" t="s">
        <v>1771</v>
      </c>
      <c r="C113" t="s">
        <v>21</v>
      </c>
      <c r="D113" t="s">
        <v>22</v>
      </c>
      <c r="E113" t="s">
        <v>1644</v>
      </c>
      <c r="F113">
        <v>9066</v>
      </c>
      <c r="T113" t="s">
        <v>21</v>
      </c>
    </row>
    <row r="114" spans="1:20" x14ac:dyDescent="0.25">
      <c r="A114" t="s">
        <v>1600</v>
      </c>
      <c r="B114" t="s">
        <v>1733</v>
      </c>
      <c r="C114" t="s">
        <v>21</v>
      </c>
      <c r="D114" t="s">
        <v>22</v>
      </c>
      <c r="E114" t="s">
        <v>1643</v>
      </c>
      <c r="F114">
        <v>3114</v>
      </c>
      <c r="T114" t="s">
        <v>21</v>
      </c>
    </row>
    <row r="115" spans="1:20" x14ac:dyDescent="0.25">
      <c r="A115" t="s">
        <v>1787</v>
      </c>
      <c r="B115" t="s">
        <v>1730</v>
      </c>
      <c r="C115" t="s">
        <v>21</v>
      </c>
      <c r="D115" t="s">
        <v>22</v>
      </c>
      <c r="E115" t="s">
        <v>1785</v>
      </c>
      <c r="F115">
        <v>12145</v>
      </c>
      <c r="T115" t="s">
        <v>21</v>
      </c>
    </row>
    <row r="116" spans="1:20" x14ac:dyDescent="0.25">
      <c r="A116" t="s">
        <v>1670</v>
      </c>
      <c r="B116" t="s">
        <v>1772</v>
      </c>
      <c r="C116" t="s">
        <v>21</v>
      </c>
      <c r="D116" t="s">
        <v>22</v>
      </c>
      <c r="E116" t="s">
        <v>1671</v>
      </c>
      <c r="F116">
        <v>12078</v>
      </c>
      <c r="T116" t="s">
        <v>21</v>
      </c>
    </row>
    <row r="117" spans="1:20" x14ac:dyDescent="0.25">
      <c r="A117" t="s">
        <v>1599</v>
      </c>
      <c r="B117" t="s">
        <v>1773</v>
      </c>
      <c r="C117" t="s">
        <v>21</v>
      </c>
      <c r="D117" t="s">
        <v>22</v>
      </c>
      <c r="E117" t="s">
        <v>1645</v>
      </c>
      <c r="F117">
        <v>1202</v>
      </c>
      <c r="T117" t="s">
        <v>21</v>
      </c>
    </row>
    <row r="118" spans="1:20" x14ac:dyDescent="0.25">
      <c r="A118" t="s">
        <v>1600</v>
      </c>
      <c r="B118" t="s">
        <v>1774</v>
      </c>
      <c r="C118" t="s">
        <v>21</v>
      </c>
      <c r="D118" t="s">
        <v>22</v>
      </c>
      <c r="E118" t="s">
        <v>1643</v>
      </c>
      <c r="F118">
        <v>3114</v>
      </c>
      <c r="T118" t="s">
        <v>21</v>
      </c>
    </row>
    <row r="119" spans="1:20" x14ac:dyDescent="0.25">
      <c r="A119" t="s">
        <v>1670</v>
      </c>
      <c r="B119" t="s">
        <v>1775</v>
      </c>
      <c r="C119" t="s">
        <v>21</v>
      </c>
      <c r="D119" t="s">
        <v>22</v>
      </c>
      <c r="E119" t="s">
        <v>1671</v>
      </c>
      <c r="F119">
        <v>12078</v>
      </c>
      <c r="T119" t="s">
        <v>21</v>
      </c>
    </row>
    <row r="120" spans="1:20" x14ac:dyDescent="0.25">
      <c r="A120" t="s">
        <v>1599</v>
      </c>
      <c r="B120" t="s">
        <v>1734</v>
      </c>
      <c r="C120" t="s">
        <v>21</v>
      </c>
      <c r="D120" t="s">
        <v>22</v>
      </c>
      <c r="E120" t="s">
        <v>1645</v>
      </c>
      <c r="F120">
        <v>1202</v>
      </c>
      <c r="T120" t="s">
        <v>21</v>
      </c>
    </row>
    <row r="121" spans="1:20" x14ac:dyDescent="0.25">
      <c r="A121" t="s">
        <v>1670</v>
      </c>
      <c r="B121" t="s">
        <v>1736</v>
      </c>
      <c r="C121" t="s">
        <v>21</v>
      </c>
      <c r="D121" t="s">
        <v>22</v>
      </c>
      <c r="E121" t="s">
        <v>1671</v>
      </c>
      <c r="F121">
        <v>12078</v>
      </c>
      <c r="T121" t="s">
        <v>21</v>
      </c>
    </row>
    <row r="122" spans="1:20" x14ac:dyDescent="0.25">
      <c r="A122" t="s">
        <v>1599</v>
      </c>
      <c r="B122" t="s">
        <v>1776</v>
      </c>
      <c r="C122" t="s">
        <v>21</v>
      </c>
      <c r="D122" t="s">
        <v>22</v>
      </c>
      <c r="E122" t="s">
        <v>1645</v>
      </c>
      <c r="F122">
        <v>1202</v>
      </c>
      <c r="T122" t="s">
        <v>21</v>
      </c>
    </row>
    <row r="123" spans="1:20" x14ac:dyDescent="0.25">
      <c r="A123" t="s">
        <v>1816</v>
      </c>
      <c r="B123" t="s">
        <v>1778</v>
      </c>
      <c r="C123" t="s">
        <v>21</v>
      </c>
      <c r="D123" t="s">
        <v>22</v>
      </c>
      <c r="E123" t="s">
        <v>1786</v>
      </c>
      <c r="F123">
        <v>12138</v>
      </c>
      <c r="T123" t="s">
        <v>21</v>
      </c>
    </row>
    <row r="124" spans="1:20" x14ac:dyDescent="0.25">
      <c r="A124" t="s">
        <v>1788</v>
      </c>
      <c r="B124" t="s">
        <v>1779</v>
      </c>
      <c r="C124" t="s">
        <v>21</v>
      </c>
      <c r="D124" t="s">
        <v>22</v>
      </c>
      <c r="E124" t="s">
        <v>1789</v>
      </c>
      <c r="F124">
        <v>12155</v>
      </c>
      <c r="T124" t="s">
        <v>21</v>
      </c>
    </row>
    <row r="125" spans="1:20" x14ac:dyDescent="0.25">
      <c r="A125" t="s">
        <v>1670</v>
      </c>
      <c r="B125" t="s">
        <v>1794</v>
      </c>
      <c r="C125" t="s">
        <v>21</v>
      </c>
      <c r="D125" t="s">
        <v>22</v>
      </c>
      <c r="E125" t="s">
        <v>1671</v>
      </c>
      <c r="F125">
        <v>12078</v>
      </c>
      <c r="T125" t="s">
        <v>21</v>
      </c>
    </row>
    <row r="126" spans="1:20" x14ac:dyDescent="0.25">
      <c r="A126" t="s">
        <v>1601</v>
      </c>
      <c r="B126" t="s">
        <v>1799</v>
      </c>
      <c r="C126" t="s">
        <v>21</v>
      </c>
      <c r="D126" t="s">
        <v>22</v>
      </c>
      <c r="E126" t="s">
        <v>1644</v>
      </c>
      <c r="F126">
        <v>9066</v>
      </c>
      <c r="T126" t="s">
        <v>21</v>
      </c>
    </row>
    <row r="127" spans="1:20" x14ac:dyDescent="0.25">
      <c r="A127" t="s">
        <v>1665</v>
      </c>
      <c r="B127" t="s">
        <v>2113</v>
      </c>
      <c r="C127" t="s">
        <v>21</v>
      </c>
      <c r="D127" t="s">
        <v>22</v>
      </c>
      <c r="E127" t="s">
        <v>2110</v>
      </c>
      <c r="F127">
        <v>6125</v>
      </c>
      <c r="T127" t="s">
        <v>21</v>
      </c>
    </row>
    <row r="128" spans="1:20" x14ac:dyDescent="0.25">
      <c r="A128" t="s">
        <v>1599</v>
      </c>
      <c r="B128" t="s">
        <v>1810</v>
      </c>
      <c r="C128" t="s">
        <v>21</v>
      </c>
      <c r="D128" t="s">
        <v>22</v>
      </c>
      <c r="E128" t="s">
        <v>1645</v>
      </c>
      <c r="F128">
        <v>1202</v>
      </c>
      <c r="T128" t="s">
        <v>21</v>
      </c>
    </row>
    <row r="129" spans="1:20" x14ac:dyDescent="0.25">
      <c r="A129" t="s">
        <v>1599</v>
      </c>
      <c r="B129" t="s">
        <v>1804</v>
      </c>
      <c r="C129" t="s">
        <v>21</v>
      </c>
      <c r="D129" t="s">
        <v>22</v>
      </c>
      <c r="E129" t="s">
        <v>1645</v>
      </c>
      <c r="F129">
        <v>1202</v>
      </c>
      <c r="T129" t="s">
        <v>21</v>
      </c>
    </row>
    <row r="130" spans="1:20" x14ac:dyDescent="0.25">
      <c r="A130" t="s">
        <v>1670</v>
      </c>
      <c r="B130" t="s">
        <v>1800</v>
      </c>
      <c r="C130" t="s">
        <v>21</v>
      </c>
      <c r="D130" t="s">
        <v>22</v>
      </c>
      <c r="E130" t="s">
        <v>1671</v>
      </c>
      <c r="F130">
        <v>12078</v>
      </c>
      <c r="T130" t="s">
        <v>21</v>
      </c>
    </row>
    <row r="131" spans="1:20" x14ac:dyDescent="0.25">
      <c r="A131" t="s">
        <v>1599</v>
      </c>
      <c r="B131" t="s">
        <v>1797</v>
      </c>
      <c r="C131" t="s">
        <v>21</v>
      </c>
      <c r="D131" t="s">
        <v>22</v>
      </c>
      <c r="E131" t="s">
        <v>1645</v>
      </c>
      <c r="F131">
        <v>1202</v>
      </c>
      <c r="T131" t="s">
        <v>21</v>
      </c>
    </row>
    <row r="132" spans="1:20" x14ac:dyDescent="0.25">
      <c r="A132" t="s">
        <v>1599</v>
      </c>
      <c r="B132" t="s">
        <v>1806</v>
      </c>
      <c r="C132" t="s">
        <v>21</v>
      </c>
      <c r="D132" t="s">
        <v>22</v>
      </c>
      <c r="E132" t="s">
        <v>1645</v>
      </c>
      <c r="F132">
        <v>1202</v>
      </c>
      <c r="T132" t="s">
        <v>21</v>
      </c>
    </row>
    <row r="133" spans="1:20" x14ac:dyDescent="0.25">
      <c r="A133" t="s">
        <v>1812</v>
      </c>
      <c r="B133" t="s">
        <v>1798</v>
      </c>
      <c r="C133" t="s">
        <v>21</v>
      </c>
      <c r="D133" t="s">
        <v>22</v>
      </c>
      <c r="E133" t="s">
        <v>1813</v>
      </c>
      <c r="F133">
        <v>12166</v>
      </c>
      <c r="T133" t="s">
        <v>21</v>
      </c>
    </row>
    <row r="134" spans="1:20" x14ac:dyDescent="0.25">
      <c r="A134" t="s">
        <v>1599</v>
      </c>
      <c r="B134" t="s">
        <v>1801</v>
      </c>
      <c r="C134" t="s">
        <v>21</v>
      </c>
      <c r="D134" t="s">
        <v>22</v>
      </c>
      <c r="E134" t="s">
        <v>1645</v>
      </c>
      <c r="F134">
        <v>1202</v>
      </c>
      <c r="T134" t="s">
        <v>21</v>
      </c>
    </row>
    <row r="135" spans="1:20" x14ac:dyDescent="0.25">
      <c r="A135" t="s">
        <v>1599</v>
      </c>
      <c r="B135" t="s">
        <v>1802</v>
      </c>
      <c r="C135" t="s">
        <v>21</v>
      </c>
      <c r="D135" t="s">
        <v>22</v>
      </c>
      <c r="E135" t="s">
        <v>1645</v>
      </c>
      <c r="F135">
        <v>1202</v>
      </c>
      <c r="T135" t="s">
        <v>21</v>
      </c>
    </row>
    <row r="136" spans="1:20" x14ac:dyDescent="0.25">
      <c r="A136" t="s">
        <v>1599</v>
      </c>
      <c r="B136" t="s">
        <v>1803</v>
      </c>
      <c r="C136" t="s">
        <v>21</v>
      </c>
      <c r="D136" t="s">
        <v>22</v>
      </c>
      <c r="E136" t="s">
        <v>1645</v>
      </c>
      <c r="F136">
        <v>1202</v>
      </c>
      <c r="T136" t="s">
        <v>21</v>
      </c>
    </row>
    <row r="137" spans="1:20" x14ac:dyDescent="0.25">
      <c r="A137" t="s">
        <v>1670</v>
      </c>
      <c r="B137" t="s">
        <v>1777</v>
      </c>
      <c r="C137" t="s">
        <v>21</v>
      </c>
      <c r="D137" t="s">
        <v>22</v>
      </c>
      <c r="E137" t="s">
        <v>1671</v>
      </c>
      <c r="F137">
        <v>12078</v>
      </c>
      <c r="T137" t="s">
        <v>21</v>
      </c>
    </row>
    <row r="138" spans="1:20" x14ac:dyDescent="0.25">
      <c r="A138" t="s">
        <v>1670</v>
      </c>
      <c r="B138" t="s">
        <v>1819</v>
      </c>
      <c r="C138" t="s">
        <v>21</v>
      </c>
      <c r="D138" t="s">
        <v>22</v>
      </c>
      <c r="E138" t="s">
        <v>1671</v>
      </c>
      <c r="F138">
        <v>12079</v>
      </c>
      <c r="T138" t="s">
        <v>21</v>
      </c>
    </row>
    <row r="139" spans="1:20" x14ac:dyDescent="0.25">
      <c r="A139" t="s">
        <v>1599</v>
      </c>
      <c r="B139" t="s">
        <v>1817</v>
      </c>
      <c r="C139" t="s">
        <v>21</v>
      </c>
      <c r="D139" t="s">
        <v>22</v>
      </c>
      <c r="E139" t="s">
        <v>1645</v>
      </c>
      <c r="F139">
        <v>1202</v>
      </c>
      <c r="T139" t="s">
        <v>21</v>
      </c>
    </row>
    <row r="140" spans="1:20" x14ac:dyDescent="0.25">
      <c r="A140" t="s">
        <v>1600</v>
      </c>
      <c r="B140" t="s">
        <v>1818</v>
      </c>
      <c r="C140" t="s">
        <v>21</v>
      </c>
      <c r="D140" t="s">
        <v>22</v>
      </c>
      <c r="E140" t="s">
        <v>1643</v>
      </c>
      <c r="F140">
        <v>3114</v>
      </c>
      <c r="T140" t="s">
        <v>21</v>
      </c>
    </row>
    <row r="141" spans="1:20" x14ac:dyDescent="0.25">
      <c r="A141" t="s">
        <v>1599</v>
      </c>
      <c r="B141" t="s">
        <v>1820</v>
      </c>
      <c r="C141" t="s">
        <v>21</v>
      </c>
      <c r="D141" t="s">
        <v>22</v>
      </c>
      <c r="E141" t="s">
        <v>1645</v>
      </c>
      <c r="F141">
        <v>1202</v>
      </c>
      <c r="T141" t="s">
        <v>21</v>
      </c>
    </row>
    <row r="142" spans="1:20" x14ac:dyDescent="0.25">
      <c r="A142" t="s">
        <v>1670</v>
      </c>
      <c r="B142" t="s">
        <v>1821</v>
      </c>
      <c r="C142" t="s">
        <v>21</v>
      </c>
      <c r="D142" t="s">
        <v>22</v>
      </c>
      <c r="E142" t="s">
        <v>1671</v>
      </c>
      <c r="F142">
        <v>12078</v>
      </c>
      <c r="T142" t="s">
        <v>21</v>
      </c>
    </row>
    <row r="143" spans="1:20" x14ac:dyDescent="0.25">
      <c r="A143" t="s">
        <v>1599</v>
      </c>
      <c r="B143" t="s">
        <v>1822</v>
      </c>
      <c r="C143" t="s">
        <v>21</v>
      </c>
      <c r="D143" t="s">
        <v>22</v>
      </c>
      <c r="E143" t="s">
        <v>1645</v>
      </c>
      <c r="F143">
        <v>1202</v>
      </c>
      <c r="T143" t="s">
        <v>21</v>
      </c>
    </row>
    <row r="144" spans="1:20" x14ac:dyDescent="0.25">
      <c r="A144" t="s">
        <v>1599</v>
      </c>
      <c r="B144" t="s">
        <v>1823</v>
      </c>
      <c r="C144" t="s">
        <v>21</v>
      </c>
      <c r="D144" t="s">
        <v>22</v>
      </c>
      <c r="E144" t="s">
        <v>1645</v>
      </c>
      <c r="F144">
        <v>1202</v>
      </c>
      <c r="T144" t="s">
        <v>21</v>
      </c>
    </row>
    <row r="145" spans="1:20" x14ac:dyDescent="0.25">
      <c r="A145" t="s">
        <v>1670</v>
      </c>
      <c r="B145" t="s">
        <v>2018</v>
      </c>
      <c r="C145" t="s">
        <v>21</v>
      </c>
      <c r="D145" t="s">
        <v>22</v>
      </c>
      <c r="E145" t="s">
        <v>1671</v>
      </c>
      <c r="F145">
        <v>12078</v>
      </c>
      <c r="T145" t="s">
        <v>21</v>
      </c>
    </row>
    <row r="146" spans="1:20" x14ac:dyDescent="0.25">
      <c r="A146" t="s">
        <v>1670</v>
      </c>
      <c r="B146" t="s">
        <v>1962</v>
      </c>
      <c r="C146" t="s">
        <v>21</v>
      </c>
      <c r="D146" t="s">
        <v>22</v>
      </c>
      <c r="E146" t="s">
        <v>1671</v>
      </c>
      <c r="F146">
        <v>12078</v>
      </c>
      <c r="T146" t="s">
        <v>21</v>
      </c>
    </row>
    <row r="147" spans="1:20" x14ac:dyDescent="0.25">
      <c r="A147" t="s">
        <v>1599</v>
      </c>
      <c r="B147" t="s">
        <v>1963</v>
      </c>
      <c r="C147" t="s">
        <v>21</v>
      </c>
      <c r="D147" t="s">
        <v>22</v>
      </c>
      <c r="E147" t="s">
        <v>1645</v>
      </c>
      <c r="F147">
        <v>1202</v>
      </c>
      <c r="T147" t="s">
        <v>21</v>
      </c>
    </row>
    <row r="148" spans="1:20" x14ac:dyDescent="0.25">
      <c r="A148" t="s">
        <v>1599</v>
      </c>
      <c r="B148" t="s">
        <v>1964</v>
      </c>
      <c r="C148" t="s">
        <v>21</v>
      </c>
      <c r="D148" t="s">
        <v>22</v>
      </c>
      <c r="E148" t="s">
        <v>1645</v>
      </c>
      <c r="F148">
        <v>1202</v>
      </c>
      <c r="T148" t="s">
        <v>21</v>
      </c>
    </row>
    <row r="149" spans="1:20" x14ac:dyDescent="0.25">
      <c r="A149" t="s">
        <v>1600</v>
      </c>
      <c r="B149" t="s">
        <v>1825</v>
      </c>
      <c r="C149" t="s">
        <v>21</v>
      </c>
      <c r="D149" t="s">
        <v>22</v>
      </c>
      <c r="E149" t="s">
        <v>1643</v>
      </c>
      <c r="F149">
        <v>3114</v>
      </c>
      <c r="T149" t="s">
        <v>21</v>
      </c>
    </row>
    <row r="150" spans="1:20" x14ac:dyDescent="0.25">
      <c r="A150" t="s">
        <v>1601</v>
      </c>
      <c r="B150" t="s">
        <v>1965</v>
      </c>
      <c r="C150" t="s">
        <v>21</v>
      </c>
      <c r="D150" t="s">
        <v>22</v>
      </c>
      <c r="E150" t="s">
        <v>1644</v>
      </c>
      <c r="F150">
        <v>9066</v>
      </c>
      <c r="T150" t="s">
        <v>21</v>
      </c>
    </row>
    <row r="151" spans="1:20" x14ac:dyDescent="0.25">
      <c r="A151" t="s">
        <v>1746</v>
      </c>
      <c r="B151" t="s">
        <v>1961</v>
      </c>
      <c r="C151" t="s">
        <v>21</v>
      </c>
      <c r="D151" t="s">
        <v>22</v>
      </c>
      <c r="E151" t="s">
        <v>1696</v>
      </c>
      <c r="F151">
        <v>12118</v>
      </c>
      <c r="T151" t="s">
        <v>21</v>
      </c>
    </row>
    <row r="152" spans="1:20" x14ac:dyDescent="0.25">
      <c r="A152" t="s">
        <v>1670</v>
      </c>
      <c r="B152" t="s">
        <v>1826</v>
      </c>
      <c r="C152" t="s">
        <v>21</v>
      </c>
      <c r="D152" t="s">
        <v>22</v>
      </c>
      <c r="E152" t="s">
        <v>1671</v>
      </c>
      <c r="F152">
        <v>12078</v>
      </c>
      <c r="T152" t="s">
        <v>21</v>
      </c>
    </row>
    <row r="153" spans="1:20" x14ac:dyDescent="0.25">
      <c r="A153" t="s">
        <v>1814</v>
      </c>
      <c r="B153" t="s">
        <v>1966</v>
      </c>
      <c r="C153" t="s">
        <v>21</v>
      </c>
      <c r="D153" t="s">
        <v>22</v>
      </c>
      <c r="E153" t="s">
        <v>1703</v>
      </c>
      <c r="F153">
        <v>12101</v>
      </c>
      <c r="T153" t="s">
        <v>21</v>
      </c>
    </row>
    <row r="154" spans="1:20" x14ac:dyDescent="0.25">
      <c r="A154" t="s">
        <v>1747</v>
      </c>
      <c r="B154" t="s">
        <v>1967</v>
      </c>
      <c r="C154" t="s">
        <v>21</v>
      </c>
      <c r="D154" t="s">
        <v>22</v>
      </c>
      <c r="E154" t="s">
        <v>1698</v>
      </c>
      <c r="F154">
        <v>12141</v>
      </c>
      <c r="T154" t="s">
        <v>21</v>
      </c>
    </row>
    <row r="155" spans="1:20" x14ac:dyDescent="0.25">
      <c r="A155" t="s">
        <v>1599</v>
      </c>
      <c r="B155" t="s">
        <v>1827</v>
      </c>
      <c r="C155" t="s">
        <v>21</v>
      </c>
      <c r="D155" t="s">
        <v>22</v>
      </c>
      <c r="E155" t="s">
        <v>1645</v>
      </c>
      <c r="F155">
        <v>1202</v>
      </c>
      <c r="T155" t="s">
        <v>21</v>
      </c>
    </row>
    <row r="156" spans="1:20" x14ac:dyDescent="0.25">
      <c r="A156" t="s">
        <v>1599</v>
      </c>
      <c r="B156" t="s">
        <v>1968</v>
      </c>
      <c r="C156" t="s">
        <v>21</v>
      </c>
      <c r="D156" t="s">
        <v>22</v>
      </c>
      <c r="E156" t="s">
        <v>1645</v>
      </c>
      <c r="F156">
        <v>1202</v>
      </c>
      <c r="T156" t="s">
        <v>21</v>
      </c>
    </row>
    <row r="157" spans="1:20" x14ac:dyDescent="0.25">
      <c r="A157" t="s">
        <v>1599</v>
      </c>
      <c r="B157" t="s">
        <v>1969</v>
      </c>
      <c r="C157" t="s">
        <v>21</v>
      </c>
      <c r="D157" t="s">
        <v>22</v>
      </c>
      <c r="E157" t="s">
        <v>1645</v>
      </c>
      <c r="F157">
        <v>1202</v>
      </c>
      <c r="T157" t="s">
        <v>21</v>
      </c>
    </row>
    <row r="158" spans="1:20" x14ac:dyDescent="0.25">
      <c r="A158" t="s">
        <v>1599</v>
      </c>
      <c r="B158" t="s">
        <v>1970</v>
      </c>
      <c r="C158" t="s">
        <v>21</v>
      </c>
      <c r="D158" t="s">
        <v>22</v>
      </c>
      <c r="E158" t="s">
        <v>1645</v>
      </c>
      <c r="F158">
        <v>1202</v>
      </c>
      <c r="T158" t="s">
        <v>21</v>
      </c>
    </row>
    <row r="159" spans="1:20" x14ac:dyDescent="0.25">
      <c r="A159" t="s">
        <v>1747</v>
      </c>
      <c r="B159" t="s">
        <v>1971</v>
      </c>
      <c r="C159" t="s">
        <v>21</v>
      </c>
      <c r="D159" t="s">
        <v>22</v>
      </c>
      <c r="E159" t="s">
        <v>1698</v>
      </c>
      <c r="F159">
        <v>12141</v>
      </c>
      <c r="T159" t="s">
        <v>21</v>
      </c>
    </row>
    <row r="160" spans="1:20" x14ac:dyDescent="0.25">
      <c r="A160" t="s">
        <v>1599</v>
      </c>
      <c r="B160" t="s">
        <v>1972</v>
      </c>
      <c r="C160" t="s">
        <v>21</v>
      </c>
      <c r="D160" t="s">
        <v>22</v>
      </c>
      <c r="E160" t="s">
        <v>1645</v>
      </c>
      <c r="F160">
        <v>1202</v>
      </c>
      <c r="T160" t="s">
        <v>21</v>
      </c>
    </row>
    <row r="161" spans="1:20" x14ac:dyDescent="0.25">
      <c r="A161" t="s">
        <v>1599</v>
      </c>
      <c r="B161" t="s">
        <v>1824</v>
      </c>
      <c r="C161" t="s">
        <v>21</v>
      </c>
      <c r="D161" t="s">
        <v>22</v>
      </c>
      <c r="E161" t="s">
        <v>1645</v>
      </c>
      <c r="F161">
        <v>1202</v>
      </c>
      <c r="T161" t="s">
        <v>21</v>
      </c>
    </row>
    <row r="162" spans="1:20" x14ac:dyDescent="0.25">
      <c r="A162" t="s">
        <v>1670</v>
      </c>
      <c r="B162" t="s">
        <v>1973</v>
      </c>
      <c r="C162" t="s">
        <v>21</v>
      </c>
      <c r="D162" t="s">
        <v>22</v>
      </c>
      <c r="E162" t="s">
        <v>1671</v>
      </c>
      <c r="F162">
        <v>12078</v>
      </c>
      <c r="T162" t="s">
        <v>21</v>
      </c>
    </row>
    <row r="163" spans="1:20" x14ac:dyDescent="0.25">
      <c r="A163" t="s">
        <v>1601</v>
      </c>
      <c r="B163" t="s">
        <v>1974</v>
      </c>
      <c r="C163" t="s">
        <v>21</v>
      </c>
      <c r="D163" t="s">
        <v>22</v>
      </c>
      <c r="E163" t="s">
        <v>1644</v>
      </c>
      <c r="F163">
        <v>9066</v>
      </c>
      <c r="T163" t="s">
        <v>21</v>
      </c>
    </row>
    <row r="164" spans="1:20" x14ac:dyDescent="0.25">
      <c r="A164" t="s">
        <v>1599</v>
      </c>
      <c r="B164" t="s">
        <v>1999</v>
      </c>
      <c r="C164" t="s">
        <v>21</v>
      </c>
      <c r="D164" t="s">
        <v>22</v>
      </c>
      <c r="E164" t="s">
        <v>1645</v>
      </c>
      <c r="F164">
        <v>1202</v>
      </c>
      <c r="T164" t="s">
        <v>21</v>
      </c>
    </row>
    <row r="165" spans="1:20" x14ac:dyDescent="0.25">
      <c r="A165" t="s">
        <v>1670</v>
      </c>
      <c r="B165" t="s">
        <v>2000</v>
      </c>
      <c r="C165" t="s">
        <v>21</v>
      </c>
      <c r="D165" t="s">
        <v>22</v>
      </c>
      <c r="E165" t="s">
        <v>1671</v>
      </c>
      <c r="F165">
        <v>12078</v>
      </c>
      <c r="T165" t="s">
        <v>21</v>
      </c>
    </row>
    <row r="166" spans="1:20" x14ac:dyDescent="0.25">
      <c r="A166" t="s">
        <v>1599</v>
      </c>
      <c r="B166" t="s">
        <v>2019</v>
      </c>
      <c r="C166" t="s">
        <v>21</v>
      </c>
      <c r="D166" t="s">
        <v>22</v>
      </c>
      <c r="E166" t="s">
        <v>1645</v>
      </c>
      <c r="F166">
        <v>1202</v>
      </c>
      <c r="T166" t="s">
        <v>21</v>
      </c>
    </row>
    <row r="167" spans="1:20" x14ac:dyDescent="0.25">
      <c r="A167" t="s">
        <v>1599</v>
      </c>
      <c r="B167" t="s">
        <v>2020</v>
      </c>
      <c r="C167" t="s">
        <v>21</v>
      </c>
      <c r="D167" t="s">
        <v>22</v>
      </c>
      <c r="E167" t="s">
        <v>1645</v>
      </c>
      <c r="F167">
        <v>1202</v>
      </c>
      <c r="T167" t="s">
        <v>21</v>
      </c>
    </row>
    <row r="168" spans="1:20" x14ac:dyDescent="0.25">
      <c r="A168" t="s">
        <v>1600</v>
      </c>
      <c r="B168" t="s">
        <v>2021</v>
      </c>
      <c r="C168" t="s">
        <v>21</v>
      </c>
      <c r="D168" t="s">
        <v>22</v>
      </c>
      <c r="E168" t="s">
        <v>1643</v>
      </c>
      <c r="F168">
        <v>3114</v>
      </c>
      <c r="T168" t="s">
        <v>21</v>
      </c>
    </row>
    <row r="169" spans="1:20" x14ac:dyDescent="0.25">
      <c r="A169" t="s">
        <v>1599</v>
      </c>
      <c r="B169" t="s">
        <v>2026</v>
      </c>
      <c r="C169" t="s">
        <v>21</v>
      </c>
      <c r="D169" t="s">
        <v>22</v>
      </c>
      <c r="E169" t="s">
        <v>1645</v>
      </c>
      <c r="F169">
        <v>1202</v>
      </c>
      <c r="T169" t="s">
        <v>21</v>
      </c>
    </row>
    <row r="170" spans="1:20" x14ac:dyDescent="0.25">
      <c r="A170" t="s">
        <v>1601</v>
      </c>
      <c r="B170" t="s">
        <v>2027</v>
      </c>
      <c r="C170" t="s">
        <v>21</v>
      </c>
      <c r="D170" t="s">
        <v>22</v>
      </c>
      <c r="E170" t="s">
        <v>1644</v>
      </c>
      <c r="F170">
        <v>9066</v>
      </c>
      <c r="T170" t="s">
        <v>21</v>
      </c>
    </row>
    <row r="171" spans="1:20" x14ac:dyDescent="0.25">
      <c r="A171" t="s">
        <v>1599</v>
      </c>
      <c r="B171" t="s">
        <v>2028</v>
      </c>
      <c r="C171" t="s">
        <v>21</v>
      </c>
      <c r="D171" t="s">
        <v>22</v>
      </c>
      <c r="E171" t="s">
        <v>1645</v>
      </c>
      <c r="F171">
        <v>1202</v>
      </c>
      <c r="T171" t="s">
        <v>21</v>
      </c>
    </row>
    <row r="172" spans="1:20" x14ac:dyDescent="0.25">
      <c r="A172" t="s">
        <v>1599</v>
      </c>
      <c r="B172" t="s">
        <v>2029</v>
      </c>
      <c r="C172" t="s">
        <v>21</v>
      </c>
      <c r="D172" t="s">
        <v>22</v>
      </c>
      <c r="E172" t="s">
        <v>1645</v>
      </c>
      <c r="F172">
        <v>1202</v>
      </c>
      <c r="T172" t="s">
        <v>21</v>
      </c>
    </row>
    <row r="173" spans="1:20" x14ac:dyDescent="0.25">
      <c r="A173" t="s">
        <v>1747</v>
      </c>
      <c r="B173" t="s">
        <v>2030</v>
      </c>
      <c r="C173" t="s">
        <v>21</v>
      </c>
      <c r="D173" t="s">
        <v>22</v>
      </c>
      <c r="E173" t="s">
        <v>1698</v>
      </c>
      <c r="F173">
        <v>12141</v>
      </c>
      <c r="T173" t="s">
        <v>21</v>
      </c>
    </row>
    <row r="174" spans="1:20" x14ac:dyDescent="0.25">
      <c r="A174" t="s">
        <v>1670</v>
      </c>
      <c r="B174" t="s">
        <v>2031</v>
      </c>
      <c r="C174" t="s">
        <v>21</v>
      </c>
      <c r="D174" t="s">
        <v>22</v>
      </c>
      <c r="E174" t="s">
        <v>1671</v>
      </c>
      <c r="F174">
        <v>12078</v>
      </c>
      <c r="T174" t="s">
        <v>21</v>
      </c>
    </row>
    <row r="175" spans="1:20" x14ac:dyDescent="0.25">
      <c r="A175" t="s">
        <v>1670</v>
      </c>
      <c r="B175" t="s">
        <v>2032</v>
      </c>
      <c r="C175" t="s">
        <v>21</v>
      </c>
      <c r="D175" t="s">
        <v>22</v>
      </c>
      <c r="E175" t="s">
        <v>1671</v>
      </c>
      <c r="F175">
        <v>12078</v>
      </c>
      <c r="T175" t="s">
        <v>21</v>
      </c>
    </row>
    <row r="176" spans="1:20" x14ac:dyDescent="0.25">
      <c r="A176" t="s">
        <v>1601</v>
      </c>
      <c r="B176" t="s">
        <v>2033</v>
      </c>
      <c r="C176" t="s">
        <v>21</v>
      </c>
      <c r="D176" t="s">
        <v>22</v>
      </c>
      <c r="E176" t="s">
        <v>1644</v>
      </c>
      <c r="F176">
        <v>9066</v>
      </c>
      <c r="T176" t="s">
        <v>21</v>
      </c>
    </row>
    <row r="177" spans="1:20" x14ac:dyDescent="0.25">
      <c r="A177" t="s">
        <v>1788</v>
      </c>
      <c r="B177" t="s">
        <v>2062</v>
      </c>
      <c r="C177" t="s">
        <v>21</v>
      </c>
      <c r="D177" t="s">
        <v>22</v>
      </c>
      <c r="E177" t="s">
        <v>1789</v>
      </c>
      <c r="F177">
        <v>12155</v>
      </c>
      <c r="T177" t="s">
        <v>21</v>
      </c>
    </row>
    <row r="178" spans="1:20" x14ac:dyDescent="0.25">
      <c r="A178" t="s">
        <v>1599</v>
      </c>
      <c r="B178" t="s">
        <v>2063</v>
      </c>
      <c r="C178" t="s">
        <v>21</v>
      </c>
      <c r="D178" t="s">
        <v>22</v>
      </c>
      <c r="E178" t="s">
        <v>1645</v>
      </c>
      <c r="F178">
        <v>1202</v>
      </c>
      <c r="T178" t="s">
        <v>21</v>
      </c>
    </row>
    <row r="179" spans="1:20" x14ac:dyDescent="0.25">
      <c r="A179" t="s">
        <v>1670</v>
      </c>
      <c r="B179" t="s">
        <v>2064</v>
      </c>
      <c r="C179" t="s">
        <v>21</v>
      </c>
      <c r="D179" t="s">
        <v>22</v>
      </c>
      <c r="E179" t="s">
        <v>1671</v>
      </c>
      <c r="F179">
        <v>12078</v>
      </c>
      <c r="T179" t="s">
        <v>21</v>
      </c>
    </row>
    <row r="180" spans="1:20" x14ac:dyDescent="0.25">
      <c r="A180" t="s">
        <v>1814</v>
      </c>
      <c r="B180" t="s">
        <v>2065</v>
      </c>
      <c r="C180" t="s">
        <v>21</v>
      </c>
      <c r="D180" t="s">
        <v>22</v>
      </c>
      <c r="E180" t="s">
        <v>1703</v>
      </c>
      <c r="F180">
        <v>12101</v>
      </c>
      <c r="T180" t="s">
        <v>21</v>
      </c>
    </row>
    <row r="181" spans="1:20" x14ac:dyDescent="0.25">
      <c r="A181" t="s">
        <v>1599</v>
      </c>
      <c r="B181" t="s">
        <v>2066</v>
      </c>
      <c r="C181" t="s">
        <v>21</v>
      </c>
      <c r="D181" t="s">
        <v>22</v>
      </c>
      <c r="E181" t="s">
        <v>1645</v>
      </c>
      <c r="F181">
        <v>1202</v>
      </c>
      <c r="T181" t="s">
        <v>21</v>
      </c>
    </row>
    <row r="182" spans="1:20" x14ac:dyDescent="0.25">
      <c r="A182" t="s">
        <v>1814</v>
      </c>
      <c r="B182" t="s">
        <v>2067</v>
      </c>
      <c r="C182" t="s">
        <v>21</v>
      </c>
      <c r="D182" t="s">
        <v>22</v>
      </c>
      <c r="E182" t="s">
        <v>1703</v>
      </c>
      <c r="F182">
        <v>12101</v>
      </c>
      <c r="T182" t="s">
        <v>21</v>
      </c>
    </row>
    <row r="183" spans="1:20" x14ac:dyDescent="0.25">
      <c r="A183" t="s">
        <v>1747</v>
      </c>
      <c r="B183" t="s">
        <v>2068</v>
      </c>
      <c r="C183" t="s">
        <v>21</v>
      </c>
      <c r="D183" t="s">
        <v>22</v>
      </c>
      <c r="E183" t="s">
        <v>1698</v>
      </c>
      <c r="F183">
        <v>12141</v>
      </c>
      <c r="T183" t="s">
        <v>21</v>
      </c>
    </row>
    <row r="184" spans="1:20" x14ac:dyDescent="0.25">
      <c r="A184" t="s">
        <v>1600</v>
      </c>
      <c r="B184" t="s">
        <v>2069</v>
      </c>
      <c r="C184" t="s">
        <v>21</v>
      </c>
      <c r="D184" t="s">
        <v>22</v>
      </c>
      <c r="E184" t="s">
        <v>1643</v>
      </c>
      <c r="F184">
        <v>3114</v>
      </c>
      <c r="T184" t="s">
        <v>21</v>
      </c>
    </row>
    <row r="185" spans="1:20" x14ac:dyDescent="0.25">
      <c r="A185" t="s">
        <v>1787</v>
      </c>
      <c r="B185" t="s">
        <v>2070</v>
      </c>
      <c r="C185" t="s">
        <v>21</v>
      </c>
      <c r="D185" t="s">
        <v>22</v>
      </c>
      <c r="E185" t="s">
        <v>1785</v>
      </c>
      <c r="F185">
        <v>12145</v>
      </c>
      <c r="T185" t="s">
        <v>21</v>
      </c>
    </row>
    <row r="186" spans="1:20" x14ac:dyDescent="0.25">
      <c r="A186" t="s">
        <v>2071</v>
      </c>
      <c r="B186" t="s">
        <v>2071</v>
      </c>
      <c r="C186" t="s">
        <v>21</v>
      </c>
      <c r="D186" t="s">
        <v>22</v>
      </c>
      <c r="E186" t="s">
        <v>2111</v>
      </c>
      <c r="F186">
        <v>12200</v>
      </c>
      <c r="T186" t="s">
        <v>21</v>
      </c>
    </row>
    <row r="187" spans="1:20" x14ac:dyDescent="0.25">
      <c r="A187" t="s">
        <v>1599</v>
      </c>
      <c r="B187" t="s">
        <v>2072</v>
      </c>
      <c r="C187" t="s">
        <v>21</v>
      </c>
      <c r="D187" t="s">
        <v>22</v>
      </c>
      <c r="E187" t="s">
        <v>1645</v>
      </c>
      <c r="F187">
        <v>1202</v>
      </c>
      <c r="T187" t="s">
        <v>21</v>
      </c>
    </row>
    <row r="188" spans="1:20" x14ac:dyDescent="0.25">
      <c r="A188" t="s">
        <v>1599</v>
      </c>
      <c r="B188" t="s">
        <v>2073</v>
      </c>
      <c r="C188" t="s">
        <v>21</v>
      </c>
      <c r="D188" t="s">
        <v>22</v>
      </c>
      <c r="E188" t="s">
        <v>1645</v>
      </c>
      <c r="F188">
        <v>1202</v>
      </c>
      <c r="T188" t="s">
        <v>21</v>
      </c>
    </row>
    <row r="189" spans="1:20" x14ac:dyDescent="0.25">
      <c r="A189" t="s">
        <v>1746</v>
      </c>
      <c r="B189" t="s">
        <v>2074</v>
      </c>
      <c r="C189" t="s">
        <v>21</v>
      </c>
      <c r="D189" t="s">
        <v>22</v>
      </c>
      <c r="E189" t="s">
        <v>1696</v>
      </c>
      <c r="F189">
        <v>12118</v>
      </c>
      <c r="T189" t="s">
        <v>21</v>
      </c>
    </row>
    <row r="190" spans="1:20" x14ac:dyDescent="0.25">
      <c r="A190" t="s">
        <v>1601</v>
      </c>
      <c r="B190" t="s">
        <v>2075</v>
      </c>
      <c r="C190" t="s">
        <v>21</v>
      </c>
      <c r="D190" t="s">
        <v>22</v>
      </c>
      <c r="E190" t="s">
        <v>1644</v>
      </c>
      <c r="F190">
        <v>9066</v>
      </c>
      <c r="T190" t="s">
        <v>21</v>
      </c>
    </row>
    <row r="191" spans="1:20" x14ac:dyDescent="0.25">
      <c r="A191" t="s">
        <v>1787</v>
      </c>
      <c r="B191" t="s">
        <v>2076</v>
      </c>
      <c r="C191" t="s">
        <v>21</v>
      </c>
      <c r="D191" t="s">
        <v>22</v>
      </c>
      <c r="E191" t="s">
        <v>1785</v>
      </c>
      <c r="F191">
        <v>12145</v>
      </c>
      <c r="T191" t="s">
        <v>21</v>
      </c>
    </row>
    <row r="192" spans="1:20" x14ac:dyDescent="0.25">
      <c r="A192" t="s">
        <v>1599</v>
      </c>
      <c r="B192" t="s">
        <v>2077</v>
      </c>
      <c r="C192" t="s">
        <v>21</v>
      </c>
      <c r="D192" t="s">
        <v>22</v>
      </c>
      <c r="E192" t="s">
        <v>1645</v>
      </c>
      <c r="F192">
        <v>1202</v>
      </c>
      <c r="T192" t="s">
        <v>21</v>
      </c>
    </row>
    <row r="193" spans="1:20" x14ac:dyDescent="0.25">
      <c r="A193" t="s">
        <v>1787</v>
      </c>
      <c r="B193" t="s">
        <v>2078</v>
      </c>
      <c r="C193" t="s">
        <v>21</v>
      </c>
      <c r="D193" t="s">
        <v>22</v>
      </c>
      <c r="E193" t="s">
        <v>1785</v>
      </c>
      <c r="F193">
        <v>12145</v>
      </c>
      <c r="T193" t="s">
        <v>21</v>
      </c>
    </row>
    <row r="194" spans="1:20" x14ac:dyDescent="0.25">
      <c r="A194" t="s">
        <v>1670</v>
      </c>
      <c r="B194" t="s">
        <v>2114</v>
      </c>
      <c r="C194" t="s">
        <v>21</v>
      </c>
      <c r="D194" t="s">
        <v>22</v>
      </c>
      <c r="E194" t="s">
        <v>1671</v>
      </c>
      <c r="F194">
        <v>12078</v>
      </c>
      <c r="T194" t="s">
        <v>21</v>
      </c>
    </row>
    <row r="195" spans="1:20" x14ac:dyDescent="0.25">
      <c r="A195" t="s">
        <v>1670</v>
      </c>
      <c r="B195" t="s">
        <v>2115</v>
      </c>
      <c r="C195" t="s">
        <v>21</v>
      </c>
      <c r="D195" t="s">
        <v>22</v>
      </c>
      <c r="E195" t="s">
        <v>1671</v>
      </c>
      <c r="F195">
        <v>12078</v>
      </c>
      <c r="T195" t="s">
        <v>21</v>
      </c>
    </row>
    <row r="196" spans="1:20" x14ac:dyDescent="0.25">
      <c r="A196" t="s">
        <v>1670</v>
      </c>
      <c r="B196" t="s">
        <v>2116</v>
      </c>
      <c r="C196" t="s">
        <v>21</v>
      </c>
      <c r="D196" t="s">
        <v>22</v>
      </c>
      <c r="E196" t="s">
        <v>1671</v>
      </c>
      <c r="F196">
        <v>12078</v>
      </c>
      <c r="T196" t="s">
        <v>21</v>
      </c>
    </row>
    <row r="197" spans="1:20" x14ac:dyDescent="0.25">
      <c r="A197" t="s">
        <v>1599</v>
      </c>
      <c r="B197" t="s">
        <v>2117</v>
      </c>
      <c r="C197" t="s">
        <v>21</v>
      </c>
      <c r="D197" t="s">
        <v>22</v>
      </c>
      <c r="E197" t="s">
        <v>1645</v>
      </c>
      <c r="F197">
        <v>1202</v>
      </c>
      <c r="T197" t="s">
        <v>21</v>
      </c>
    </row>
    <row r="198" spans="1:20" x14ac:dyDescent="0.25">
      <c r="A198" t="s">
        <v>1601</v>
      </c>
      <c r="B198" t="s">
        <v>2118</v>
      </c>
      <c r="C198" t="s">
        <v>21</v>
      </c>
      <c r="D198" t="s">
        <v>22</v>
      </c>
      <c r="E198" t="s">
        <v>1644</v>
      </c>
      <c r="F198">
        <v>9066</v>
      </c>
      <c r="T198" t="s">
        <v>21</v>
      </c>
    </row>
    <row r="199" spans="1:20" x14ac:dyDescent="0.25">
      <c r="A199" t="s">
        <v>1599</v>
      </c>
      <c r="B199" t="s">
        <v>2119</v>
      </c>
      <c r="C199" t="s">
        <v>21</v>
      </c>
      <c r="D199" t="s">
        <v>22</v>
      </c>
      <c r="E199" t="s">
        <v>1645</v>
      </c>
      <c r="F199">
        <v>1202</v>
      </c>
      <c r="T199" t="s">
        <v>21</v>
      </c>
    </row>
    <row r="200" spans="1:20" x14ac:dyDescent="0.25">
      <c r="A200" t="s">
        <v>1670</v>
      </c>
      <c r="B200" t="s">
        <v>2146</v>
      </c>
      <c r="C200" t="s">
        <v>21</v>
      </c>
      <c r="D200" t="s">
        <v>22</v>
      </c>
      <c r="E200" t="s">
        <v>1671</v>
      </c>
      <c r="F200">
        <v>12078</v>
      </c>
      <c r="T200" t="s">
        <v>21</v>
      </c>
    </row>
    <row r="201" spans="1:20" x14ac:dyDescent="0.25">
      <c r="A201" t="s">
        <v>1670</v>
      </c>
      <c r="B201" t="s">
        <v>2147</v>
      </c>
      <c r="C201" t="s">
        <v>21</v>
      </c>
      <c r="D201" t="s">
        <v>22</v>
      </c>
      <c r="E201" t="s">
        <v>1671</v>
      </c>
      <c r="F201">
        <v>12078</v>
      </c>
      <c r="T201" t="s">
        <v>21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E25" sqref="E25"/>
    </sheetView>
  </sheetViews>
  <sheetFormatPr defaultRowHeight="15" x14ac:dyDescent="0.25"/>
  <cols>
    <col min="1" max="1" width="16.85546875" customWidth="1"/>
    <col min="2" max="2" width="20.7109375" customWidth="1"/>
    <col min="3" max="3" width="33.28515625" customWidth="1"/>
    <col min="4" max="4" width="10.7109375" customWidth="1"/>
  </cols>
  <sheetData>
    <row r="2" spans="1:5" x14ac:dyDescent="0.25">
      <c r="A2" s="1" t="s">
        <v>1</v>
      </c>
      <c r="B2" s="1" t="s">
        <v>7</v>
      </c>
    </row>
    <row r="3" spans="1:5" x14ac:dyDescent="0.25">
      <c r="A3" s="1" t="s">
        <v>13</v>
      </c>
      <c r="B3" t="str" cm="1">
        <f t="array" aca="1" ref="B3" ca="1">LEFT(CELL("filename",A1),FIND("[",CELL("filename",A1))-1)</f>
        <v>C:\Users\USER\Desktop\DIV12\DIV12_Analysis\</v>
      </c>
    </row>
    <row r="4" spans="1:5" x14ac:dyDescent="0.25">
      <c r="A4" s="1" t="s">
        <v>14</v>
      </c>
      <c r="B4" t="str" cm="1">
        <f t="array" aca="1" ref="B4" ca="1">LEFT(CELL("filename",A1),FIND("VDP",CELL("filename",A1))-1)</f>
        <v>C:\Users\USER\Desktop\DIV12\DIV12_Analysis\[</v>
      </c>
    </row>
    <row r="9" spans="1:5" x14ac:dyDescent="0.25">
      <c r="A9" s="1" t="s">
        <v>1</v>
      </c>
      <c r="B9" s="1" t="s">
        <v>2</v>
      </c>
      <c r="C9" s="1" t="s">
        <v>3</v>
      </c>
      <c r="D9" s="1" t="s">
        <v>5</v>
      </c>
      <c r="E9" s="1" t="s">
        <v>4</v>
      </c>
    </row>
    <row r="10" spans="1:5" x14ac:dyDescent="0.25">
      <c r="A10" t="s">
        <v>0</v>
      </c>
      <c r="B10" t="s">
        <v>1595</v>
      </c>
      <c r="D10" t="s">
        <v>6</v>
      </c>
      <c r="E10" t="str">
        <f ca="1">CONCATENATE($B$3,A10,B10)</f>
        <v>C:\Users\USER\Desktop\DIV12\DIV12_Analysis\RAW DATA\UBER\</v>
      </c>
    </row>
    <row r="11" spans="1:5" x14ac:dyDescent="0.25">
      <c r="A11" t="s">
        <v>0</v>
      </c>
      <c r="B11" t="s">
        <v>80</v>
      </c>
      <c r="D11" t="s">
        <v>81</v>
      </c>
      <c r="E11" t="str">
        <f ca="1">CONCATENATE($B$3,A11,B11)</f>
        <v>C:\Users\USER\Desktop\DIV12\DIV12_Analysis\RAW DATA\FIRST REPORT\</v>
      </c>
    </row>
    <row r="12" spans="1:5" x14ac:dyDescent="0.25">
      <c r="C12" t="s">
        <v>58</v>
      </c>
      <c r="D12" t="s">
        <v>59</v>
      </c>
      <c r="E12" t="str">
        <f ca="1">CONCATENATE($B$3,A12,B12,C12)</f>
        <v>C:\Users\USER\Desktop\DIV12\DIV12_Analysis\Operator Deductions-Other Earnings.xlsx</v>
      </c>
    </row>
    <row r="13" spans="1:5" x14ac:dyDescent="0.25">
      <c r="C13" t="s">
        <v>1596</v>
      </c>
      <c r="D13" t="s">
        <v>15</v>
      </c>
      <c r="E13" t="str">
        <f ca="1">CONCATENATE($B$4,B13,A13,C13)</f>
        <v>C:\Users\USER\Desktop\DIV12\DIV12_Analysis\[DIV 12 Partner List.xlsx</v>
      </c>
    </row>
    <row r="14" spans="1:5" x14ac:dyDescent="0.25">
      <c r="C14" t="s">
        <v>1597</v>
      </c>
      <c r="D14" t="s">
        <v>44</v>
      </c>
      <c r="E14" t="str">
        <f ca="1">CONCATENATE($B$4,B14,A14,C14)</f>
        <v>C:\Users\USER\Desktop\DIV12\DIV12_Analysis\[DIV 12 Partner Rates.xlsx</v>
      </c>
    </row>
    <row r="15" spans="1:5" x14ac:dyDescent="0.25">
      <c r="C15" t="s">
        <v>1598</v>
      </c>
      <c r="D15" t="s">
        <v>116</v>
      </c>
      <c r="E15" t="str">
        <f ca="1">CONCATENATE($B$4,B15,A15,C15)</f>
        <v>C:\Users\USER\Desktop\DIV12\DIV12_Analysis\[DIV 12 Partner Change.xlsx</v>
      </c>
    </row>
    <row r="16" spans="1:5" x14ac:dyDescent="0.25">
      <c r="C16" t="s">
        <v>1589</v>
      </c>
      <c r="D16" t="s">
        <v>1593</v>
      </c>
      <c r="E16" t="str">
        <f ca="1">CONCATENATE($B$3,B16,A16,C16)</f>
        <v>C:\Users\USER\Desktop\DIV12\DIV12_Analysis\MPG per vehicle.xlsx</v>
      </c>
    </row>
    <row r="17" spans="1:5" x14ac:dyDescent="0.25">
      <c r="C17" t="s">
        <v>1590</v>
      </c>
      <c r="D17" t="s">
        <v>1594</v>
      </c>
      <c r="E17" t="str">
        <f ca="1">CONCATENATE($B$3,B17,A17,C17)</f>
        <v>C:\Users\USER\Desktop\DIV12\DIV12_Analysis\AAA Fuel Record.xlsx</v>
      </c>
    </row>
    <row r="18" spans="1:5" x14ac:dyDescent="0.25">
      <c r="A18" t="s">
        <v>0</v>
      </c>
      <c r="B18" t="s">
        <v>1591</v>
      </c>
      <c r="D18" t="s">
        <v>1592</v>
      </c>
      <c r="E18" t="str">
        <f ca="1">CONCATENATE($B$3,A18,B18)</f>
        <v>C:\Users\USER\Desktop\DIV12\DIV12_Analysis\RAW DATA\Miles\</v>
      </c>
    </row>
    <row r="19" spans="1:5" x14ac:dyDescent="0.25">
      <c r="A19" t="s">
        <v>0</v>
      </c>
      <c r="B19" t="s">
        <v>1795</v>
      </c>
      <c r="D19" t="s">
        <v>1796</v>
      </c>
      <c r="E19" t="str">
        <f ca="1">CONCATENATE($B$3,A19,B19)</f>
        <v>C:\Users\USER\Desktop\DIV12\DIV12_Analysis\RAW DATA\Tolls\</v>
      </c>
    </row>
  </sheetData>
  <phoneticPr fontId="5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23"/>
  <sheetViews>
    <sheetView workbookViewId="0">
      <selection activeCell="C12" sqref="C12"/>
    </sheetView>
  </sheetViews>
  <sheetFormatPr defaultRowHeight="15" x14ac:dyDescent="0.25"/>
  <cols>
    <col min="1" max="1" width="42.28515625" bestFit="1" customWidth="1"/>
  </cols>
  <sheetData>
    <row r="1" spans="1:1" x14ac:dyDescent="0.25">
      <c r="A1" t="str" cm="1">
        <f t="array" ref="A1:A23">_xlfn.UNIQUE(Div12PartnerList[PARTNER NAME])</f>
        <v>BROOKES TRANSPORTATION, LLC</v>
      </c>
    </row>
    <row r="2" spans="1:1" x14ac:dyDescent="0.25">
      <c r="A2" t="str">
        <v>MELINIO TRANSIT</v>
      </c>
    </row>
    <row r="3" spans="1:1" x14ac:dyDescent="0.25">
      <c r="A3" t="str">
        <v>ORION TRANSIT, LLC</v>
      </c>
    </row>
    <row r="4" spans="1:1" x14ac:dyDescent="0.25">
      <c r="A4" t="str">
        <v>GIANNA TRANSPORT LLC</v>
      </c>
    </row>
    <row r="5" spans="1:1" x14ac:dyDescent="0.25">
      <c r="A5" t="str">
        <v>ABOU RANI TRANSIT LLC</v>
      </c>
    </row>
    <row r="6" spans="1:1" x14ac:dyDescent="0.25">
      <c r="A6" t="str">
        <v>JOUD LLC</v>
      </c>
    </row>
    <row r="7" spans="1:1" x14ac:dyDescent="0.25">
      <c r="A7" t="str">
        <v>NUBIANTOD LLC</v>
      </c>
    </row>
    <row r="8" spans="1:1" x14ac:dyDescent="0.25">
      <c r="A8" t="str">
        <v>ZAHIA LLC</v>
      </c>
    </row>
    <row r="9" spans="1:1" x14ac:dyDescent="0.25">
      <c r="A9" t="str">
        <v>RR CONVEYANCE LLC</v>
      </c>
    </row>
    <row r="10" spans="1:1" x14ac:dyDescent="0.25">
      <c r="A10" t="str">
        <v>PUNCTUAL SERVICE LLC</v>
      </c>
    </row>
    <row r="11" spans="1:1" x14ac:dyDescent="0.25">
      <c r="A11" t="str">
        <v>ASKR AUTO INC</v>
      </c>
    </row>
    <row r="12" spans="1:1" x14ac:dyDescent="0.25">
      <c r="A12" t="str">
        <v>SABAH SBH LLC</v>
      </c>
    </row>
    <row r="13" spans="1:1" x14ac:dyDescent="0.25">
      <c r="A13" t="str">
        <v>WHITE NILE TRANSIT</v>
      </c>
    </row>
    <row r="14" spans="1:1" x14ac:dyDescent="0.25">
      <c r="A14" t="str">
        <v>QUAKER STATE TRANS LLC</v>
      </c>
    </row>
    <row r="15" spans="1:1" x14ac:dyDescent="0.25">
      <c r="A15" t="str">
        <v>UMDOR LIMO SERVICES LLC</v>
      </c>
    </row>
    <row r="16" spans="1:1" x14ac:dyDescent="0.25">
      <c r="A16" t="str">
        <v>SAFE DRIVE TRANS LLC</v>
      </c>
    </row>
    <row r="17" spans="1:1" x14ac:dyDescent="0.25">
      <c r="A17" t="str">
        <v>MOAAZKO TRANSIT LLC</v>
      </c>
    </row>
    <row r="18" spans="1:1" x14ac:dyDescent="0.25">
      <c r="A18" t="str">
        <v>ABU ANNE LLC</v>
      </c>
    </row>
    <row r="19" spans="1:1" x14ac:dyDescent="0.25">
      <c r="A19" t="str">
        <v>SHAMS TRANSPORTATION LLC</v>
      </c>
    </row>
    <row r="20" spans="1:1" x14ac:dyDescent="0.25">
      <c r="A20" t="str">
        <v>QUICK STARS LLC</v>
      </c>
    </row>
    <row r="21" spans="1:1" x14ac:dyDescent="0.25">
      <c r="A21" t="str">
        <v>TIBSHA TRANSPORTATION</v>
      </c>
    </row>
    <row r="22" spans="1:1" x14ac:dyDescent="0.25">
      <c r="A22" t="str">
        <v>JARA TRANS LLC</v>
      </c>
    </row>
    <row r="23" spans="1:1" x14ac:dyDescent="0.25">
      <c r="A23" t="str">
        <v>HAMID SALEH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5B78D2B0-78B5-44F7-BAAA-6CB2A719614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37B226D-CA15-4C32-8734-BE0F1E29FFB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256EB5-9A20-477D-8D59-157D4903B530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4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Div12PartnerRateCheck</vt:lpstr>
      <vt:lpstr>SEND VDP Statement</vt:lpstr>
      <vt:lpstr>Pay Period</vt:lpstr>
      <vt:lpstr>Deduction and other Revenue</vt:lpstr>
      <vt:lpstr>PR</vt:lpstr>
      <vt:lpstr>NewSheet</vt:lpstr>
      <vt:lpstr>FirstReport</vt:lpstr>
      <vt:lpstr>VDPMVReport</vt:lpstr>
      <vt:lpstr>Sheet1</vt:lpstr>
      <vt:lpstr>SumVDPMVReport</vt:lpstr>
      <vt:lpstr>TollsChecks</vt:lpstr>
      <vt:lpstr>Div2PartnerOperatorCheck</vt:lpstr>
      <vt:lpstr>ExPre</vt:lpstr>
      <vt:lpstr>Div2PartnerListPR</vt:lpstr>
      <vt:lpstr>Div2PartnerList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keywords>The Bottom Line Bookkeeping</cp:keywords>
  <cp:lastModifiedBy>USER</cp:lastModifiedBy>
  <dcterms:created xsi:type="dcterms:W3CDTF">2023-08-16T16:37:36Z</dcterms:created>
  <dcterms:modified xsi:type="dcterms:W3CDTF">2025-02-27T15:08:30Z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