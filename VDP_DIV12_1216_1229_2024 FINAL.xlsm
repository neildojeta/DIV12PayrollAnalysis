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"/>
    </mc:Choice>
  </mc:AlternateContent>
  <xr:revisionPtr revIDLastSave="0" documentId="13_ncr:1_{80862D8A-B8E7-4241-9FBF-5ADA9F02872E}" xr6:coauthVersionLast="47" xr6:coauthVersionMax="47" xr10:uidLastSave="{00000000-0000-0000-0000-000000000000}"/>
  <bookViews>
    <workbookView xWindow="-120" yWindow="-120" windowWidth="29040" windowHeight="15840" firstSheet="2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Div2PartnerList!$A$1:$T$201</definedName>
    <definedName name="ExternalData_1" localSheetId="7" hidden="1">FirstReport!$A$1:$R$1144</definedName>
    <definedName name="ExternalData_1" localSheetId="10" hidden="1">SumVDPMVReport!$A$1:$BG$43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<sst xmlns="http://schemas.openxmlformats.org/spreadsheetml/2006/main" count="10901" uniqueCount="2148">
  <si>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</si>
  <si>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</si>
  <si>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</si>
  <si>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</si>
  <si>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</si>
  <si>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</si>
  <si>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</si>
  <si>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</si>
  <si>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</si>
  <si>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</si>
  <si>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</si>
  <si>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</si>
  <si>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</si>
  <si>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</si>
  <si>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</si>
  <si>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</si>
  <si>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</si>
  <si>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</si>
  <si>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</si>
  <si>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</si>
  <si>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</si>
  <si>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</si>
  <si>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</si>
  <si>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</si>
  <si>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</si>
  <si>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</si>
  <si>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</si>
  <si>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</si>
  <si>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</si>
  <si>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</si>
  <si>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</si>
  <si>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</si>
  <si>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</si>
  <si>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</si>
  <si>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</si>
  <si>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</si>
  <si>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</si>
  <si>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</si>
  <si>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</si>
  <si>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</si>
  <si>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</si>
  <si>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</si>
  <si>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</si>
  <si>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</si>
  <si>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</si>
  <si>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</si>
  <si>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</si>
  <si>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</si>
  <si>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</si>
  <si>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</si>
  <si>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</si>
  <si>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</si>
  <si>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</si>
  <si>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</si>
  <si>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</si>
  <si>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</si>
  <si>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</si>
  <si>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</si>
  <si>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</si>
  <si>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</si>
  <si>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</si>
  <si>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</si>
  <si>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</si>
  <si>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</si>
  <si>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</si>
  <si>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</si>
  <si>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</si>
  <si>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</si>
  <si>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</si>
  <si>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</si>
  <si>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</si>
  <si>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</si>
  <si>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</si>
  <si>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</si>
  <si>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</si>
  <si>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</si>
  <si>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</si>
  <si>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</si>
  <si>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</si>
  <si>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</si>
  <si>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</si>
  <si>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</si>
  <si>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</si>
  <si>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</si>
  <si>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</si>
  <si>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</si>
  <si>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</si>
  <si>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</si>
  <si>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</si>
  <si>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</si>
  <si>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</si>
  <si>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</si>
  <si>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</si>
  <si>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</si>
  <si>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</si>
  <si>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</si>
  <si>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</si>
  <si>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</si>
  <si>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</si>
  <si>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</si>
  <si>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</si>
  <si>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</si>
  <si>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</si>
  <si>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</si>
  <si>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</si>
  <si>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</si>
  <si>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</si>
  <si>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</si>
  <si>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</si>
  <si>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</si>
  <si>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</si>
  <si>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</si>
  <si>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</si>
  <si>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</si>
  <si>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</si>
  <si>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</si>
  <si>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</si>
  <si>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</si>
  <si>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</si>
  <si>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</si>
  <si>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</si>
  <si>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</si>
  <si>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</si>
  <si>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</si>
  <si>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</si>
  <si>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</si>
  <si>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</si>
  <si>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</si>
  <si>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</si>
  <si>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</si>
  <si>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</si>
  <si>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</si>
  <si>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</si>
  <si>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</si>
  <si>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</si>
  <si>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</si>
  <si>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</si>
  <si>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</si>
  <si>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</si>
  <si>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</si>
  <si>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</si>
  <si>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</si>
  <si>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</si>
  <si>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</si>
  <si>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</si>
  <si>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</si>
  <si>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</si>
  <si>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</si>
  <si>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</si>
  <si>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</si>
  <si>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</si>
  <si>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</si>
  <si>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</si>
  <si>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</si>
  <si>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</si>
  <si>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</si>
  <si>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</si>
  <si>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</si>
  <si>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</si>
  <si>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</si>
  <si>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</si>
  <si>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</si>
  <si>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</si>
  <si>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</si>
  <si>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</si>
  <si>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</si>
  <si>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</si>
  <si>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</si>
  <si>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</si>
  <si>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</si>
  <si>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</si>
  <si>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</si>
  <si>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</si>
  <si>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</si>
  <si>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</si>
  <si>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</si>
  <si>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</si>
  <si>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</si>
  <si>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</si>
  <si>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</si>
  <si>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</si>
  <si>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</si>
  <si>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</si>
  <si>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</si>
  <si>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</si>
  <si>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</si>
  <si>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</si>
  <si>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</si>
  <si>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</si>
  <si>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</si>
  <si>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</si>
  <si>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</si>
  <si>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</si>
  <si>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</si>
  <si>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</si>
  <si>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</si>
  <si>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</si>
  <si>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</si>
  <si>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</si>
  <si>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</si>
  <si>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</si>
  <si>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</si>
  <si>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</si>
  <si>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</si>
  <si>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</si>
  <si>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</si>
  <si>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</si>
  <si>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</si>
  <si>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</si>
  <si>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</si>
  <si>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</si>
  <si>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</si>
  <si>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</si>
  <si>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</si>
  <si>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</si>
  <si>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</si>
  <si>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</si>
  <si>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</si>
  <si>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</si>
  <si>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</si>
  <si>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</si>
  <si>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</si>
  <si>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</si>
  <si>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</si>
  <si>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</si>
  <si>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</si>
  <si>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</si>
  <si>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</si>
  <si>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</si>
  <si>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</si>
  <si>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</si>
  <si>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</si>
  <si>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</si>
  <si>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</si>
  <si>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</si>
  <si>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</si>
  <si>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</si>
  <si>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</si>
  <si>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</si>
  <si>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</si>
  <si>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</si>
  <si>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</si>
  <si>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</si>
  <si>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</si>
  <si>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</si>
  <si>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</si>
  <si>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</si>
  <si>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</si>
  <si>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</si>
  <si>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</si>
  <si>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</si>
  <si>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</si>
  <si>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</si>
  <si>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</si>
  <si>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</si>
  <si>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</si>
  <si>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</si>
  <si>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</si>
  <si>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</si>
  <si>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</si>
  <si>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</si>
  <si>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</si>
  <si>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</si>
  <si>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</si>
  <si>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</si>
  <si>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</si>
  <si>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</si>
  <si>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</si>
  <si>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</si>
  <si>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</si>
  <si>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</si>
  <si>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</si>
  <si>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</si>
  <si>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</si>
  <si>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</si>
  <si>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</si>
  <si>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</si>
  <si>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</si>
  <si>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</si>
  <si>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</si>
  <si>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</si>
  <si>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</si>
  <si>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</si>
  <si>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</si>
  <si>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</si>
  <si>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</si>
  <si>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</si>
  <si>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</si>
  <si>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</si>
  <si>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</si>
  <si>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</si>
  <si>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</si>
  <si>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</si>
  <si>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</si>
  <si>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</si>
  <si>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</si>
  <si>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</si>
  <si>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</si>
  <si>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</si>
  <si>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</si>
  <si>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</si>
  <si>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</si>
  <si>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</si>
  <si>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</si>
  <si>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</si>
  <si>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</si>
  <si>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</si>
  <si>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</si>
  <si>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</si>
  <si>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</si>
  <si>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</si>
  <si>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</si>
  <si>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</si>
  <si>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</si>
  <si>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</si>
  <si>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</si>
  <si>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</si>
  <si>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</si>
  <si>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</si>
  <si>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</si>
  <si>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</si>
  <si>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</si>
  <si>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</si>
  <si>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</si>
  <si>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</si>
  <si>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</si>
  <si>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</si>
  <si>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</si>
  <si>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</si>
  <si>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</si>
  <si>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</si>
  <si>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</si>
  <si>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</si>
  <si>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</si>
  <si>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</si>
  <si>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</si>
  <si>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</si>
  <si>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</si>
  <si>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</si>
  <si>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</si>
  <si>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</si>
  <si>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</si>
  <si>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</si>
  <si>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</si>
  <si>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</si>
  <si>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</si>
  <si>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</si>
  <si>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</si>
  <si>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</si>
  <si>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</si>
  <si>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</si>
  <si>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</si>
  <si>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</si>
  <si>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</si>
  <si>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</si>
  <si>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</si>
  <si>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</si>
  <si>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</si>
  <si>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</si>
  <si>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</si>
  <si>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</si>
  <si>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</si>
  <si>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</si>
  <si>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</si>
  <si>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</si>
  <si>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</si>
  <si>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</si>
  <si>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</si>
  <si>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</si>
  <si>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</si>
  <si>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</si>
  <si>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</si>
  <si>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</si>
  <si>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</si>
  <si>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</si>
  <si>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</si>
  <si>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</si>
  <si>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</si>
  <si>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</si>
  <si>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</si>
  <si>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</si>
  <si>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</si>
  <si>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</si>
  <si>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</si>
  <si>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</si>
  <si>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</si>
  <si>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</si>
  <si>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</si>
  <si>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</si>
  <si>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</si>
  <si>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</si>
  <si>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</si>
  <si>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</si>
  <si>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</si>
  <si>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</si>
  <si>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</si>
  <si>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</si>
  <si>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</si>
  <si>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</si>
  <si>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</si>
  <si>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</si>
  <si>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</si>
  <si>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</si>
  <si>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</si>
  <si>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</si>
  <si>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</si>
  <si>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</si>
  <si>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</si>
  <si>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</si>
  <si>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</si>
  <si>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</si>
  <si>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</si>
  <si>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</si>
  <si>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</si>
  <si>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</si>
  <si>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</si>
  <si>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</si>
  <si>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</si>
  <si>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</si>
  <si>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</si>
  <si>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</si>
  <si>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</si>
  <si>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</si>
  <si>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</si>
  <si>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</si>
  <si>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</si>
  <si>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</si>
  <si>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</si>
  <si>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</si>
  <si>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</si>
  <si>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</si>
  <si>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</si>
  <si>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</si>
  <si>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</si>
  <si>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</si>
  <si>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</si>
  <si>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</si>
  <si>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</si>
  <si>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</si>
  <si>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</si>
  <si>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</si>
  <si>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</si>
  <si>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</si>
  <si>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</si>
  <si>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</si>
  <si>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</si>
  <si>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</si>
  <si>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</si>
  <si>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</si>
  <si>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</si>
  <si>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</si>
  <si>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</si>
  <si>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</si>
  <si>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</si>
  <si>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</si>
  <si>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</si>
  <si>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</si>
  <si>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</si>
  <si>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</si>
  <si>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</si>
  <si>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</si>
  <si>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</si>
  <si>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</si>
  <si>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</si>
  <si>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</si>
  <si>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</si>
  <si>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</si>
  <si>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</si>
  <si>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</si>
  <si>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</si>
  <si>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</si>
  <si>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</si>
  <si>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</si>
  <si>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</si>
  <si>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</si>
  <si>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</si>
  <si>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</si>
  <si>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</si>
  <si>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</si>
  <si>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</si>
  <si>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</si>
  <si>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</si>
  <si>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</si>
  <si>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</si>
  <si>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</si>
  <si>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</si>
  <si>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</si>
  <si>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</si>
  <si>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</si>
  <si>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</si>
  <si>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</si>
  <si>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</si>
  <si>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</si>
  <si>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</si>
  <si>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</si>
  <si>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</si>
  <si>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</si>
  <si>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</si>
  <si>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</si>
  <si>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</si>
  <si>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</si>
  <si>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</si>
  <si>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</si>
  <si>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</si>
  <si>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</si>
  <si>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</si>
  <si>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</si>
  <si>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</si>
  <si>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</si>
  <si>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</si>
  <si>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</si>
  <si>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</si>
  <si>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</si>
  <si>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</si>
  <si>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</si>
  <si>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</si>
  <si>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</si>
  <si>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</si>
  <si>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</si>
  <si>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</si>
  <si>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</si>
  <si>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</si>
  <si>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</si>
  <si>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</si>
  <si>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</si>
  <si>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</si>
  <si>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</si>
  <si>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</si>
  <si>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</si>
  <si>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</si>
  <si>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</si>
  <si>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</si>
  <si>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</si>
  <si>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</si>
  <si>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</si>
  <si>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</si>
  <si>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</si>
  <si>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</si>
  <si>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</si>
  <si>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</si>
  <si>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</si>
  <si>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</si>
  <si>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</si>
  <si>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</si>
  <si>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</si>
  <si>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</si>
  <si>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</si>
  <si>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</si>
  <si>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</si>
  <si>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</si>
  <si>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</si>
  <si>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</si>
  <si>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</si>
  <si>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</si>
  <si>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</si>
  <si>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</si>
  <si>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</si>
  <si>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</si>
  <si>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</si>
  <si>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</si>
  <si>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</si>
  <si>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</si>
  <si>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</si>
  <si>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</si>
  <si>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</si>
  <si>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</si>
  <si>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</si>
  <si>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</si>
  <si>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</si>
  <si>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</si>
  <si>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</si>
  <si>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</si>
  <si>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</si>
  <si>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</si>
  <si>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</si>
  <si>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</si>
  <si>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</si>
  <si>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</si>
  <si>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</si>
  <si>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</si>
  <si>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</si>
  <si>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</si>
  <si>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</si>
  <si>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</si>
  <si>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</si>
  <si>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</si>
  <si>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</si>
  <si>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</si>
  <si>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</si>
  <si>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</si>
  <si>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</si>
  <si>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</si>
  <si>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</si>
  <si>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</si>
  <si>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</si>
  <si>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</si>
  <si>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</si>
  <si>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</si>
  <si>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</si>
  <si>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</si>
  <si>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</si>
  <si>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</si>
  <si>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</si>
  <si>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</si>
  <si>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</si>
  <si>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</si>
  <si>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</si>
  <si>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</si>
  <si>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</si>
  <si>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</si>
  <si>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</si>
  <si>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</si>
  <si>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</si>
  <si>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</si>
  <si>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</si>
  <si>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</si>
  <si>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</si>
  <si>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</si>
  <si>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</si>
  <si>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</si>
  <si>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</si>
  <si>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</si>
  <si>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</si>
  <si>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</si>
  <si>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</si>
  <si>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</si>
  <si>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</si>
  <si>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</si>
  <si>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</si>
  <si>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</si>
  <si>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</si>
  <si>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</si>
  <si>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</si>
  <si>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</si>
  <si>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</si>
  <si>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</si>
  <si>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</si>
  <si>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</si>
  <si>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</si>
  <si>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</si>
  <si>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</si>
  <si>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</si>
  <si>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</si>
  <si>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</si>
  <si>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</si>
  <si>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</si>
  <si>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</si>
  <si>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</si>
  <si>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</si>
  <si>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</si>
  <si>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</si>
  <si>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</si>
  <si>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</si>
  <si>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</si>
  <si>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</si>
  <si>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</si>
  <si>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</si>
  <si>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</si>
  <si>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</si>
  <si>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</si>
  <si>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</si>
  <si>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</si>
  <si>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</si>
  <si>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</si>
  <si>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</si>
  <si>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</si>
  <si>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</si>
  <si>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</si>
  <si>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</si>
  <si>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</si>
  <si>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</si>
  <si>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</si>
  <si>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</si>
  <si>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</si>
  <si>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</si>
  <si>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</si>
  <si>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</si>
  <si>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</si>
  <si>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</si>
  <si>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</si>
  <si>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</si>
  <si>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</si>
  <si>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</si>
  <si>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</si>
  <si>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</si>
  <si>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</si>
  <si>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</si>
  <si>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</si>
  <si>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</si>
  <si>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</si>
  <si>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</si>
  <si>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</si>
  <si>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</si>
  <si>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</si>
  <si>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</si>
  <si>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</si>
  <si>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</si>
  <si>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</si>
  <si>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</si>
  <si>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</si>
  <si>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</si>
  <si>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</si>
  <si>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</si>
  <si>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</si>
  <si>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</si>
  <si>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</si>
  <si>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</si>
  <si>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</si>
  <si>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</si>
  <si>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</si>
  <si>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</si>
  <si>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</si>
  <si>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</si>
  <si>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</si>
  <si>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</si>
  <si>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</si>
  <si>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</si>
  <si>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</si>
  <si>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</si>
  <si>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</si>
  <si>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</si>
  <si>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</si>
  <si>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</si>
  <si>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</si>
  <si>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</si>
  <si>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</si>
  <si>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</si>
  <si>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</si>
  <si>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</si>
  <si>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</si>
  <si>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</si>
  <si>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</si>
  <si>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</si>
  <si>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</si>
  <si>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</si>
  <si>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</si>
  <si>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</si>
  <si>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</si>
  <si>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</si>
  <si>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</si>
  <si>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</si>
  <si>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</si>
  <si>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</si>
  <si>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</si>
  <si>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</si>
  <si>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</si>
  <si>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</si>
  <si>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</si>
  <si>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</si>
  <si>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</si>
  <si>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</si>
  <si>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</si>
  <si>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</si>
  <si>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</si>
  <si>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</si>
  <si>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</si>
  <si>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</si>
  <si>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</si>
  <si>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</si>
  <si>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</si>
  <si>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</si>
  <si>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</si>
  <si>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</si>
  <si>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</si>
  <si>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</si>
  <si>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</si>
  <si>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</si>
  <si>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</si>
  <si>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</si>
  <si>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</si>
  <si>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</si>
  <si>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</si>
  <si>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</si>
  <si>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</si>
  <si>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</si>
  <si>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</si>
  <si>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</si>
  <si>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</si>
  <si>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</si>
  <si>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</si>
  <si>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</si>
  <si>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</si>
  <si>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</si>
  <si>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</si>
  <si>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</si>
  <si>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</si>
  <si>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</si>
  <si>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</si>
  <si>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</si>
  <si>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</si>
  <si>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</si>
  <si>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</si>
  <si>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</si>
  <si>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</si>
  <si>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</si>
  <si>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</si>
  <si>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</si>
  <si>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</si>
  <si>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</si>
  <si>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</si>
  <si>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</si>
  <si>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</si>
  <si>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</si>
  <si>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</si>
  <si>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</si>
  <si>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</si>
  <si>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</si>
  <si>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</si>
  <si>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</si>
  <si>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</si>
  <si>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</si>
  <si>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</si>
  <si>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</si>
  <si>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</si>
  <si>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</si>
  <si>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</si>
  <si>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</si>
  <si>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</si>
  <si>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</si>
  <si>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</si>
  <si>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</si>
  <si>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</si>
  <si>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</si>
  <si>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</si>
  <si>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</si>
  <si>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</si>
  <si>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</si>
  <si>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</si>
  <si>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</si>
  <si>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</si>
  <si>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</si>
  <si>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</si>
  <si>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</si>
  <si>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</si>
  <si>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</si>
  <si>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</si>
  <si>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</si>
  <si>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</si>
  <si>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</si>
  <si>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</si>
  <si>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</si>
  <si>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</si>
  <si>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</si>
  <si>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</si>
  <si>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</si>
  <si>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</si>
  <si>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</si>
  <si>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</si>
  <si>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</si>
  <si>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</si>
  <si>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</si>
  <si>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</si>
  <si>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</si>
  <si>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</si>
  <si>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</si>
  <si>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</si>
  <si>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</si>
  <si>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</si>
  <si>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</si>
  <si>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</si>
  <si>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</si>
  <si>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</si>
  <si>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</si>
  <si>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</si>
  <si>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</si>
  <si>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</si>
  <si>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</si>
  <si>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</si>
  <si>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</si>
  <si>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</si>
  <si>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</si>
  <si>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</si>
  <si>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</si>
  <si>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</si>
  <si>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</si>
  <si>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</si>
  <si>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</si>
  <si>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</si>
  <si>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</si>
  <si>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</si>
  <si>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</si>
  <si>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</si>
  <si>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</si>
  <si>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</si>
  <si>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</si>
  <si>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</si>
  <si>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</si>
  <si>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</si>
  <si>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</si>
  <si>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</si>
  <si>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</si>
  <si>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</si>
  <si>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</si>
  <si>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</si>
  <si>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</si>
  <si>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</si>
  <si>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</si>
  <si>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</si>
  <si>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</si>
  <si>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</si>
  <si>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</si>
  <si>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</si>
  <si>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</si>
  <si>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</si>
  <si>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</si>
  <si>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</si>
  <si>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</si>
  <si>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</si>
  <si>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</si>
  <si>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</si>
  <si>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</si>
  <si>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</si>
  <si>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</si>
  <si>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</si>
  <si>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</si>
  <si>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</si>
  <si>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</si>
  <si>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</si>
  <si>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</si>
  <si>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</si>
  <si>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</si>
  <si>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</si>
  <si>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</si>
  <si>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</si>
  <si>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</si>
  <si>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</si>
  <si>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</si>
  <si>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</si>
  <si>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</si>
  <si>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</si>
  <si>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</si>
  <si>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</si>
  <si>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</si>
  <si>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</si>
  <si>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</si>
  <si>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</si>
  <si>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</si>
  <si>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</si>
  <si>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</si>
  <si>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</si>
  <si>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</si>
  <si>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</si>
  <si>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</si>
  <si>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</si>
  <si>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</si>
  <si>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</si>
  <si>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</si>
  <si>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</si>
  <si>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</si>
  <si>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</si>
  <si>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</si>
  <si>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</si>
  <si>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</si>
  <si>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</si>
  <si>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</si>
  <si>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</si>
  <si>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</si>
  <si>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</si>
  <si>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</si>
  <si>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</si>
  <si>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</si>
  <si>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</si>
  <si>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</si>
  <si>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</si>
  <si>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</si>
  <si>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</si>
  <si>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</si>
  <si>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</si>
  <si>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</si>
  <si>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</si>
  <si>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</si>
  <si>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</si>
  <si>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</si>
  <si>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</si>
  <si>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</si>
  <si>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</si>
  <si>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</si>
  <si>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</si>
  <si>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</si>
  <si>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</si>
  <si>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</si>
  <si>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</si>
  <si>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</si>
  <si>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</si>
  <si>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</si>
  <si>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</si>
  <si>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</si>
  <si>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</si>
  <si>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</si>
  <si>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</si>
  <si>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</si>
  <si>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</si>
  <si>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</si>
  <si>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</si>
  <si>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</si>
  <si>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</si>
  <si>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</si>
  <si>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</si>
  <si>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</si>
  <si>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</si>
  <si>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</si>
  <si>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</si>
  <si>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</si>
  <si>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</si>
  <si>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</si>
  <si>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</si>
  <si>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</si>
  <si>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</si>
  <si>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</si>
  <si>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</si>
  <si>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</si>
  <si>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</si>
  <si>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</si>
  <si>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</si>
  <si>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</si>
  <si>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</si>
  <si>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</si>
  <si>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</si>
  <si>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</si>
  <si>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</si>
  <si>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</si>
  <si>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</si>
  <si>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</si>
  <si>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</si>
  <si>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</si>
  <si>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</si>
  <si>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</si>
  <si>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</si>
  <si>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</si>
  <si>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</si>
  <si>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</si>
  <si>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</si>
  <si>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</si>
  <si>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</si>
  <si>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</si>
  <si>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</si>
  <si>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</si>
  <si>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</si>
  <si>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</si>
  <si>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</si>
  <si>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</si>
  <si>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</si>
  <si>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</si>
  <si>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</si>
  <si>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</si>
  <si>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</si>
  <si>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</si>
  <si>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</si>
  <si>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</si>
  <si>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</si>
  <si>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</si>
  <si>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</si>
  <si>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</si>
  <si>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</si>
  <si>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</si>
  <si>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</si>
  <si>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</si>
  <si>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</si>
  <si>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</si>
  <si>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</si>
  <si>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</si>
  <si>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</si>
  <si>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</si>
  <si>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</si>
  <si>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</si>
  <si>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</si>
  <si>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</si>
  <si>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</si>
  <si>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</si>
  <si>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</si>
  <si>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</si>
  <si>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</si>
  <si>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</si>
  <si>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</si>
  <si>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</si>
  <si>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</si>
  <si>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</si>
  <si>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</si>
  <si>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</si>
  <si>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</si>
  <si>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</si>
  <si>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</si>
  <si>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</si>
  <si>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</si>
  <si>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</si>
  <si>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</si>
  <si>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</si>
  <si>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</si>
  <si>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</si>
  <si>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</si>
  <si>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</si>
  <si>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</si>
  <si>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</si>
  <si>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</si>
  <si>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</si>
  <si>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</si>
  <si>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</si>
  <si>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</si>
  <si>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</si>
  <si>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</si>
  <si>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</si>
  <si>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</si>
  <si>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</si>
  <si>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</si>
  <si>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</si>
  <si>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</si>
  <si>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</si>
  <si>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</si>
  <si>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</si>
  <si>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</si>
  <si>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</si>
  <si>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</si>
  <si>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</si>
  <si>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</si>
  <si>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</si>
  <si>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</si>
  <si>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</si>
  <si>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</si>
  <si>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</si>
  <si>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</si>
  <si>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</si>
  <si>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</si>
  <si>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</si>
  <si>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</si>
  <si>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</si>
  <si>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</si>
  <si>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</si>
  <si>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</si>
  <si>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</si>
  <si>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</si>
  <si>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</si>
  <si>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</si>
  <si>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</si>
  <si>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</si>
  <si>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</si>
  <si>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</si>
  <si>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</si>
  <si>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</si>
  <si>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</si>
  <si>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</si>
  <si>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</si>
  <si>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</si>
  <si>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</si>
  <si>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</si>
  <si>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</si>
  <si>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</si>
  <si>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</si>
  <si>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</si>
  <si>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</si>
  <si>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</si>
  <si>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</si>
  <si>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</si>
  <si>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</si>
  <si>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</si>
  <si>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</si>
  <si>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</si>
  <si>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</si>
  <si>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</si>
  <si>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</si>
  <si>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</si>
  <si>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</si>
  <si>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</si>
  <si>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</si>
  <si>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</si>
  <si>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</si>
  <si>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</si>
  <si>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</si>
  <si>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</si>
  <si>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</si>
  <si>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</si>
  <si>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</si>
  <si>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</si>
  <si>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</si>
  <si>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</si>
  <si>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</si>
  <si>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</si>
  <si>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</si>
  <si>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</si>
  <si>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</si>
  <si>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</si>
  <si>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</si>
  <si>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</si>
  <si>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</si>
  <si>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</si>
  <si>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</si>
  <si>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</si>
  <si>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</si>
  <si>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</si>
  <si>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</si>
  <si>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</si>
  <si>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</si>
  <si>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</si>
  <si>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</si>
  <si>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</si>
  <si>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</si>
  <si>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</si>
  <si>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</si>
  <si>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</si>
  <si>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</si>
  <si>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</si>
  <si>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</si>
  <si>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</si>
  <si>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</si>
  <si>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</si>
  <si>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</si>
  <si>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</si>
  <si>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</si>
  <si>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</si>
  <si>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</si>
  <si>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</si>
  <si>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</si>
  <si>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</si>
  <si>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</si>
  <si>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</si>
  <si>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</si>
  <si>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</si>
  <si>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</si>
  <si>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</si>
  <si>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</si>
  <si>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</si>
  <si>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</si>
  <si>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</si>
  <si>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</si>
  <si>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</si>
  <si>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</si>
  <si>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</si>
  <si>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</si>
  <si>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</si>
  <si>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</si>
  <si>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</si>
  <si>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</si>
  <si>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</si>
  <si>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</si>
  <si>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</si>
  <si>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</si>
  <si>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</si>
  <si>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</si>
  <si>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</si>
  <si>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</si>
  <si>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</si>
  <si>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</si>
  <si>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</si>
  <si>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</si>
  <si>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</si>
  <si>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</si>
  <si>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</si>
  <si>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</si>
  <si>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</si>
  <si>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</si>
  <si>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</si>
  <si>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</si>
  <si>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</si>
  <si>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</si>
  <si>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</si>
  <si>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</si>
  <si>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</si>
  <si>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</si>
  <si>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</si>
  <si>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</si>
  <si>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</si>
  <si>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</si>
  <si>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</si>
  <si>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</si>
  <si>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</si>
  <si>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</si>
  <si>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</si>
  <si>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</si>
  <si>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</si>
  <si>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</si>
  <si>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</si>
  <si>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</si>
  <si>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</si>
  <si>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</si>
  <si>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</si>
  <si>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</si>
  <si>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</si>
  <si>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</si>
  <si>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</si>
  <si>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</si>
  <si>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</si>
  <si>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</si>
  <si>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</si>
  <si>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</si>
  <si>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</si>
  <si>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</si>
  <si>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</si>
  <si>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</si>
  <si>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</si>
  <si>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</si>
  <si>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</si>
  <si>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</si>
  <si>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</si>
  <si>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</si>
  <si>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</si>
  <si>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</si>
  <si>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</si>
  <si>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</si>
  <si>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</si>
  <si>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</si>
  <si>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</si>
  <si>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</si>
  <si>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</si>
  <si>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</si>
  <si>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</si>
  <si>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</si>
  <si>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</si>
  <si>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</si>
  <si>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</si>
  <si>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</si>
  <si>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</si>
  <si>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</si>
  <si>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</si>
  <si>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</si>
  <si>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</si>
  <si>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</si>
  <si>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</si>
  <si>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</si>
  <si>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</si>
  <si>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</si>
  <si>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</si>
  <si>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</si>
  <si>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</si>
  <si>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</si>
  <si>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</si>
  <si>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</si>
  <si>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</si>
  <si>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</si>
  <si>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</si>
  <si>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</si>
  <si>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</si>
  <si>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</si>
  <si>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</si>
  <si>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</si>
  <si>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</si>
  <si>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</si>
  <si>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</si>
  <si>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</si>
  <si>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</si>
  <si>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</si>
  <si>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</si>
  <si>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</si>
  <si>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</si>
  <si>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</si>
  <si>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</si>
  <si>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</si>
  <si>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</si>
  <si>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</si>
  <si>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</si>
  <si>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</si>
  <si>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</si>
  <si>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</si>
  <si>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</si>
  <si>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</si>
  <si>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</si>
  <si>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</si>
  <si>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</si>
  <si>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</si>
  <si>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</si>
  <si>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</si>
  <si>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</si>
  <si>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</si>
  <si>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</si>
  <si>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</si>
  <si>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</si>
  <si>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</si>
  <si>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</si>
  <si>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</si>
  <si>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</si>
  <si>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</si>
  <si>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</si>
  <si>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</si>
  <si>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</si>
  <si>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</si>
  <si>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</si>
  <si>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</si>
  <si>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</si>
  <si>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</si>
  <si>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</si>
  <si>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</si>
  <si>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</si>
  <si>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</si>
  <si>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</si>
  <si>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</si>
  <si>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</si>
  <si>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</si>
  <si>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</si>
  <si>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</si>
  <si>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</si>
  <si>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</si>
  <si>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</si>
  <si>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</si>
  <si>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</si>
  <si>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</si>
  <si>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</si>
  <si>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</si>
  <si>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</si>
  <si>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</si>
  <si>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</si>
  <si>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</si>
  <si>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</si>
  <si>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</si>
  <si>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</si>
  <si>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</si>
  <si>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</si>
  <si>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</si>
  <si>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</si>
  <si>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</si>
  <si>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</si>
  <si>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</si>
  <si>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</si>
  <si>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</si>
  <si>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</si>
  <si>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</si>
  <si>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</si>
  <si>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</si>
  <si>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</si>
  <si>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</si>
  <si>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</si>
  <si>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</si>
  <si>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</si>
  <si>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</si>
  <si>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</si>
  <si>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</si>
  <si>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</si>
  <si>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</si>
  <si>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</si>
  <si>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</si>
  <si>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</si>
  <si>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</si>
  <si>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</si>
  <si>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</si>
  <si>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</si>
  <si>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</si>
  <si>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</si>
  <si>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</si>
  <si>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</si>
  <si>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</si>
  <si>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</si>
  <si>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</si>
  <si>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</si>
  <si>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</si>
  <si>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</si>
  <si>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</si>
  <si>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</si>
  <si>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</si>
  <si>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</si>
  <si>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</si>
  <si>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</si>
  <si>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</si>
  <si>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</si>
  <si>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</si>
  <si>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</si>
  <si>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</si>
  <si>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</si>
  <si>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</si>
  <si>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</si>
  <si>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</si>
  <si>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</si>
  <si>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</si>
  <si>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</si>
  <si>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</si>
  <si>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</si>
  <si>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</si>
  <si>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</si>
  <si>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</si>
  <si>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</si>
  <si>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</si>
  <si>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</si>
  <si>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</si>
  <si>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</si>
  <si>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</si>
  <si>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</si>
  <si>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</si>
  <si>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</si>
  <si>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</si>
  <si>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</si>
  <si>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</si>
  <si>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</si>
  <si>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</si>
  <si>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</si>
  <si>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</si>
  <si>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</si>
  <si>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</si>
  <si>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</si>
  <si>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</si>
  <si>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</si>
  <si>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</si>
  <si>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</si>
  <si>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</si>
  <si>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</si>
  <si>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</si>
  <si>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</si>
  <si>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</si>
  <si>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</si>
  <si>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</si>
  <si>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</si>
  <si>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</si>
  <si>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</si>
  <si>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</si>
  <si>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</si>
  <si>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</si>
  <si>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</si>
  <si>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</si>
  <si>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</si>
  <si>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</si>
  <si>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</si>
  <si>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</si>
  <si>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</si>
  <si>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</si>
  <si>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</si>
  <si>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</si>
  <si>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</si>
  <si>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</si>
  <si>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</si>
  <si>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</si>
  <si>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</si>
  <si>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</si>
  <si>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</si>
  <si>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</si>
  <si>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</si>
  <si>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</si>
  <si>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</si>
  <si>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</si>
  <si>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</si>
  <si>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</si>
  <si>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</si>
  <si>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</si>
  <si>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</si>
  <si>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</si>
  <si>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</si>
  <si>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</si>
  <si>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</si>
  <si>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</si>
  <si>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</si>
  <si>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</si>
  <si>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</si>
  <si>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</si>
  <si>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</si>
  <si>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</si>
  <si>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</si>
  <si>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</si>
  <si>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</si>
  <si>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</si>
  <si>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</si>
  <si>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</si>
  <si>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</si>
  <si>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</si>
  <si>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</si>
  <si>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</si>
  <si>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</si>
  <si>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</si>
  <si>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</si>
  <si>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</si>
  <si>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</si>
  <si>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</si>
  <si>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</si>
  <si>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</si>
  <si>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</si>
  <si>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</si>
  <si>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</si>
  <si>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</si>
  <si>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</si>
  <si>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</si>
  <si>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</si>
  <si>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</si>
  <si>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</si>
  <si>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</si>
  <si>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</si>
  <si>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</si>
  <si>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</si>
  <si>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</si>
  <si>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</si>
  <si>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</si>
  <si>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</si>
  <si>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</si>
  <si>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</si>
  <si>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</si>
  <si>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</si>
  <si>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</si>
  <si>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</si>
  <si>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</si>
  <si>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</si>
  <si>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</si>
  <si>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</si>
  <si>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</si>
  <si>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</si>
  <si>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</si>
  <si>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</si>
  <si>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</si>
  <si>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</si>
  <si>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</si>
  <si>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</si>
  <si>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</si>
  <si>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</si>
  <si>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</si>
  <si>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</si>
  <si>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</si>
  <si>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</si>
  <si>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</si>
  <si>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</si>
  <si>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</si>
  <si>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</si>
  <si>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</si>
  <si>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</si>
  <si>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</si>
  <si>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</si>
  <si>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</si>
  <si>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</si>
  <si>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</si>
  <si>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</si>
  <si>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</si>
  <si>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</si>
  <si>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</si>
  <si>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</si>
  <si>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</si>
  <si>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</si>
  <si>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</si>
  <si>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</si>
  <si>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</si>
  <si>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</si>
  <si>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</si>
  <si>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</si>
  <si>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</si>
  <si>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</si>
  <si>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</si>
  <si>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</si>
  <si>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</si>
  <si>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</si>
  <si>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</si>
  <si>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</si>
  <si>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</si>
  <si>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</si>
  <si>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</si>
  <si>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</si>
  <si>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</si>
  <si>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</si>
  <si>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</si>
  <si>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</si>
  <si>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</si>
  <si>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</si>
  <si>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</si>
  <si>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</si>
  <si>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</si>
  <si>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</si>
  <si>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</si>
  <si>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</si>
  <si>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</si>
  <si>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</si>
  <si>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</si>
  <si>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</si>
  <si>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</si>
  <si>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</si>
  <si>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</si>
  <si>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</si>
  <si>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</si>
  <si>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</si>
  <si>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</si>
  <si>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</si>
  <si>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</si>
  <si>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</si>
  <si>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</si>
  <si>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</si>
  <si>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</si>
  <si>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</si>
  <si>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</si>
  <si>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</si>
  <si>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</si>
  <si>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</si>
  <si>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</si>
  <si>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</si>
  <si>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</si>
  <si>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</si>
  <si>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</si>
  <si>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</si>
  <si>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</si>
  <si>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</si>
  <si>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</si>
  <si>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</si>
  <si>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</si>
  <si>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</si>
  <si>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</si>
  <si>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</si>
  <si>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</si>
  <si>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</si>
  <si>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</si>
  <si>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</si>
  <si>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</si>
  <si>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</si>
  <si>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</si>
  <si>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</si>
  <si>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</si>
  <si>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</si>
  <si>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</si>
  <si>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</si>
  <si>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</si>
  <si>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</si>
  <si>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</si>
  <si>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</si>
  <si>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</si>
  <si>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</si>
  <si>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</si>
  <si>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</si>
  <si>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</si>
  <si>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</si>
  <si>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</si>
  <si>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</si>
  <si>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</si>
  <si>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</si>
  <si>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</si>
  <si>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</si>
  <si>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</si>
  <si>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</si>
  <si>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</si>
  <si>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</si>
  <si>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</si>
  <si>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</si>
  <si>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</si>
  <si>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</si>
  <si>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</si>
  <si>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</si>
  <si>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</si>
  <si>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</si>
  <si>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</si>
  <si>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</si>
  <si>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</si>
  <si>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</si>
  <si>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</si>
  <si>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</si>
  <si>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</si>
  <si>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</si>
  <si>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</si>
  <si>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</si>
  <si>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</si>
  <si>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</si>
  <si>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</si>
  <si>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</si>
  <si>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</si>
  <si>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</si>
  <si>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</si>
  <si>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</si>
  <si>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</si>
  <si>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</si>
  <si>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</si>
  <si>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</si>
  <si>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</si>
  <si>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</si>
  <si>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</si>
  <si>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</si>
  <si>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</si>
  <si>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</si>
  <si>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</si>
  <si>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</si>
  <si>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</si>
  <si>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</si>
  <si>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</si>
  <si>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</si>
  <si>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</si>
  <si>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</si>
  <si>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</si>
  <si>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</si>
  <si>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</si>
  <si>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</si>
  <si>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</si>
  <si>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</si>
  <si>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</si>
  <si>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</si>
  <si>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</si>
  <si>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</si>
  <si>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</si>
  <si>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</si>
  <si>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</si>
  <si>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</si>
  <si>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</si>
  <si>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</si>
  <si>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</si>
  <si>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</si>
  <si>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</si>
  <si>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</si>
  <si>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</si>
  <si>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</si>
  <si>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</si>
  <si>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</si>
  <si>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</si>
  <si>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</si>
  <si>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</si>
  <si>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</si>
  <si>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</si>
  <si>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</si>
  <si>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</si>
  <si>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</si>
  <si>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</si>
  <si>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</si>
  <si>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</si>
  <si>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</si>
  <si>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</si>
  <si>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</si>
  <si>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</si>
  <si>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</si>
  <si>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</si>
  <si>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</si>
  <si>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</si>
  <si>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</si>
  <si>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</si>
  <si>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</si>
  <si>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</si>
  <si>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</si>
  <si>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</si>
  <si>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</si>
  <si>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</si>
  <si>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</si>
  <si>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</si>
  <si>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</si>
  <si>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</si>
  <si>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</si>
  <si>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</si>
  <si>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</si>
  <si>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</si>
  <si>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</si>
  <si>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</si>
  <si>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</si>
  <si>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</si>
  <si>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</si>
  <si>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</si>
  <si>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</si>
  <si>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</si>
  <si>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</si>
  <si>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</si>
  <si>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</si>
  <si>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</si>
  <si>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</si>
  <si>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</si>
  <si>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</si>
  <si>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</si>
  <si>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</si>
  <si>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</si>
  <si>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</si>
  <si>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</si>
  <si>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</si>
  <si>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</si>
  <si>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</si>
  <si>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</si>
  <si>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</si>
  <si>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</si>
  <si>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</si>
  <si>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</si>
  <si>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</si>
  <si>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</si>
  <si>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</si>
  <si>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</si>
  <si>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</si>
  <si>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</si>
  <si>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</si>
  <si>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</si>
  <si>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</si>
  <si>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</si>
  <si>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</si>
  <si>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</si>
  <si>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</si>
  <si>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</si>
  <si>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</si>
  <si>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</si>
  <si>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</si>
  <si>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</si>
  <si>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</si>
  <si>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</si>
  <si>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</si>
  <si>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</si>
  <si>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</si>
  <si>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</si>
  <si>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</si>
  <si>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</si>
  <si>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</si>
  <si>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</si>
  <si>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</si>
  <si>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</si>
  <si>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</si>
  <si>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</si>
  <si>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</si>
  <si>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</si>
  <si>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</si>
  <si>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</si>
  <si>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</si>
  <si>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</si>
  <si>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</si>
  <si>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</si>
  <si>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</si>
  <si>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</si>
  <si>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</si>
  <si>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</si>
  <si>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</si>
  <si>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</si>
  <si>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</si>
  <si>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</si>
  <si>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</si>
  <si>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</si>
  <si>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</si>
  <si>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</si>
  <si>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</si>
  <si>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</si>
  <si>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</si>
  <si>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</si>
  <si>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</si>
  <si>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</si>
  <si>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</si>
  <si>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</si>
  <si>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</si>
  <si>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</si>
  <si>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</si>
  <si>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</si>
  <si>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</si>
  <si>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</si>
  <si>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</si>
  <si>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</si>
  <si>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</si>
  <si>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</si>
  <si>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</si>
  <si>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</si>
  <si>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</si>
  <si>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</si>
  <si>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</si>
  <si>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</si>
  <si>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</si>
  <si>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</si>
  <si>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</si>
  <si>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</si>
  <si>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</si>
  <si>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</si>
  <si>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</si>
  <si>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</si>
  <si>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</si>
  <si>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</si>
  <si>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</si>
  <si>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</si>
  <si>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</si>
  <si>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</si>
  <si>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</si>
  <si>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</si>
  <si>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</si>
  <si>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</si>
  <si>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</si>
  <si>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</si>
  <si>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</si>
  <si>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</si>
  <si>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</si>
  <si>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</si>
  <si>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</si>
  <si>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</si>
  <si>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</si>
  <si>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</si>
  <si>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</si>
  <si>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</si>
  <si>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</si>
  <si>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</si>
  <si>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</si>
  <si>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</si>
  <si>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</si>
  <si>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</si>
  <si>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</si>
  <si>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</si>
  <si>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</si>
  <si>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</si>
  <si>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</si>
  <si>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</si>
  <si>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</si>
  <si>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</si>
  <si>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</si>
  <si>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</si>
  <si>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</si>
  <si>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</si>
  <si>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</si>
  <si>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</si>
  <si>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</si>
  <si>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</si>
  <si>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</si>
  <si>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</si>
  <si>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</si>
  <si>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</si>
  <si>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</si>
  <si>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</si>
  <si>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</si>
  <si>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</si>
  <si>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</si>
  <si>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</si>
  <si>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</si>
  <si>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</si>
  <si>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</si>
  <si>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</si>
  <si>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</si>
  <si>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</si>
  <si>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</si>
  <si>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</si>
  <si>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</si>
  <si>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</si>
  <si>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</si>
  <si>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</si>
  <si>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</si>
  <si>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</si>
  <si>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</si>
  <si>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</si>
  <si>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</si>
  <si>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</si>
  <si>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</si>
  <si>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</si>
  <si>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</si>
  <si>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</si>
  <si>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</si>
  <si>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</si>
  <si>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</si>
  <si>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</si>
  <si>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</si>
  <si>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</si>
  <si>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</si>
  <si>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</si>
  <si>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</si>
  <si>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</si>
  <si>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</si>
  <si>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</si>
  <si>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</si>
  <si>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</si>
  <si>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</si>
  <si>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</si>
  <si>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</si>
  <si>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</si>
  <si>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</si>
  <si>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</si>
  <si>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</si>
  <si>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</si>
  <si>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</si>
  <si>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</si>
  <si>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</si>
  <si>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</si>
  <si>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</si>
  <si>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</si>
  <si>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</si>
  <si>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</si>
  <si>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</si>
  <si>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</si>
  <si>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</si>
  <si>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</si>
  <si>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</si>
  <si>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</si>
  <si>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</si>
  <si>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</si>
  <si>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</si>
  <si>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</si>
  <si>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</si>
  <si>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</si>
  <si>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</si>
  <si>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</si>
  <si>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</si>
  <si>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</si>
  <si>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</si>
  <si>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</si>
  <si>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</si>
  <si>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</si>
  <si>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</si>
  <si>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</si>
  <si>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</si>
  <si>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</si>
  <si>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</si>
  <si>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</si>
  <si>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</si>
  <si>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</si>
  <si>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</si>
  <si>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</si>
  <si>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</si>
  <si>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</si>
  <si>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</si>
  <si>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</si>
  <si>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</si>
  <si>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</si>
  <si>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</si>
  <si>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</si>
  <si>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</si>
  <si>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</si>
  <si>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</si>
  <si>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</si>
  <si>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</si>
  <si>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</si>
  <si>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</si>
  <si>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</si>
  <si>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</si>
  <si>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</si>
  <si>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</si>
  <si>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</si>
  <si>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</si>
  <si>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</si>
  <si>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</si>
  <si>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</si>
  <si>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</si>
  <si>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</si>
  <si>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</si>
  <si>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</si>
  <si>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</si>
  <si>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</si>
  <si>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</si>
  <si>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</si>
  <si>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</si>
  <si>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</si>
  <si>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</si>
  <si>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</si>
  <si>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</si>
  <si>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</si>
  <si>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</si>
  <si>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</si>
  <si>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</si>
  <si>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</si>
  <si>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</si>
  <si>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</si>
  <si>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</si>
  <si>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</si>
  <si>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</si>
  <si>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</si>
  <si>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</si>
  <si>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</si>
  <si>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</si>
  <si>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</si>
  <si>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</si>
  <si>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</si>
  <si>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</si>
  <si>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JEREMY</t>
  </si>
  <si>
    <t>0544a6f6-2940-4718-a945-6f77a1eef56c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</si>
  <si>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</si>
  <si>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</si>
  <si>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</si>
  <si>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</si>
  <si>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</si>
  <si>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</si>
  <si>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</si>
  <si>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</si>
  <si>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MAHMOUD</t>
  </si>
  <si>
    <t>GAMEA</t>
  </si>
  <si>
    <t>967e8ffd-fe70-48cf-a278-ebad6774c213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</si>
  <si>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</si>
  <si>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</si>
  <si>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</si>
  <si>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</si>
  <si>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</si>
  <si>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</si>
  <si>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</si>
  <si>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</si>
  <si>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</si>
  <si>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</si>
  <si>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</si>
  <si>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</si>
  <si>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ANDERSON PERALTA</t>
  </si>
  <si>
    <t>EDDY GUZMAN NIEVES</t>
  </si>
  <si>
    <t>FARIS ALLALOUCHE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</si>
</sst>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8" formatCode="m/d/yyyy"/>
    </dxf>
    <dxf>
      <numFmt numFmtId="168" formatCode="m/d/yyyy"/>
    </dxf>
    <dxf>
      <numFmt numFmtId="168" formatCode="m/d/yyyy"/>
    </dxf>
    <dxf>
      <numFmt numFmtId="168" formatCode="m/d/yyyy"/>
    </dxf>
    <dxf>
      <numFmt numFmtId="0" formatCode="General"/>
    </dxf>
    <dxf>
      <numFmt numFmtId="0" formatCode="General"/>
    </dxf>
    <dxf>
      <numFmt numFmtId="168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74072222224" createdVersion="8" refreshedVersion="8" minRefreshableVersion="3" recordCount="42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825"/>
    </cacheField>
    <cacheField name="Online Hours" numFmtId="0">
      <sharedItems containsSemiMixedTypes="0" containsString="0" containsNumber="1" minValue="0.08" maxValue="824.95"/>
    </cacheField>
    <cacheField name="Payable Online Hours" numFmtId="0">
      <sharedItems containsSemiMixedTypes="0" containsString="0" containsNumber="1" minValue="0.08" maxValue="824.95"/>
    </cacheField>
    <cacheField name="% of Hours to Required" numFmtId="0">
      <sharedItems containsSemiMixedTypes="0" containsString="0" containsNumber="1" minValue="1.6000000000000001E-3" maxValue="1"/>
    </cacheField>
    <cacheField name="Core Hours Rev" numFmtId="0">
      <sharedItems containsSemiMixedTypes="0" containsString="0" containsNumber="1" minValue="0" maxValue="18499.503799999999"/>
    </cacheField>
    <cacheField name="CHI Tier 1 Rev" numFmtId="0">
      <sharedItems containsSemiMixedTypes="0" containsString="0" containsNumber="1" minValue="0" maxValue="5692.1550000000007"/>
    </cacheField>
    <cacheField name="CHI Tier 2 Rev" numFmtId="0">
      <sharedItems containsSemiMixedTypes="0" containsString="0" containsNumber="1" minValue="0" maxValue="156.94250000000002"/>
    </cacheField>
    <cacheField name="CHI Tier 3 Rev" numFmtId="0">
      <sharedItems containsSemiMixedTypes="0" containsString="0" containsNumber="1" minValue="0" maxValue="661.48875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7.1428571428571397E-2"/>
    </cacheField>
    <cacheField name="Tier 1 ARDCRI KPI Rev" numFmtId="0">
      <sharedItems containsSemiMixedTypes="0" containsString="0" containsNumber="1" minValue="0" maxValue="1840.35"/>
    </cacheField>
    <cacheField name="Tier 2 ARDCRI KPI Rev" numFmtId="0">
      <sharedItems containsSemiMixedTypes="0" containsString="0" containsNumber="1" minValue="0" maxValue="1423.0388"/>
    </cacheField>
    <cacheField name="Utilization%" numFmtId="0">
      <sharedItems containsSemiMixedTypes="0" containsString="0" containsNumber="1" minValue="0" maxValue="0.95455360022938196"/>
    </cacheField>
    <cacheField name="Utilization Rev" numFmtId="0">
      <sharedItems containsSemiMixedTypes="0" containsString="0" containsNumber="1" minValue="0" maxValue="1423.0388"/>
    </cacheField>
    <cacheField name="Driver Tips" numFmtId="0">
      <sharedItems containsSemiMixedTypes="0" containsString="0" containsNumber="1" minValue="0" maxValue="1061.71"/>
    </cacheField>
    <cacheField name="Tolls" numFmtId="0">
      <sharedItems containsSemiMixedTypes="0" containsString="0" containsNumber="1" minValue="0" maxValue="160.5"/>
    </cacheField>
    <cacheField name="CHI Non-KPI" numFmtId="0">
      <sharedItems containsSemiMixedTypes="0" containsString="0" containsNumber="1" minValue="0" maxValue="9726.5499999999993"/>
    </cacheField>
    <cacheField name="Total Rev" numFmtId="0">
      <sharedItems containsSemiMixedTypes="0" containsString="0" containsNumber="1" minValue="1.69" maxValue="28259.9463"/>
    </cacheField>
    <cacheField name="Required" numFmtId="0">
      <sharedItems containsSemiMixedTypes="0" containsString="0" containsNumber="1" containsInteger="1" minValue="50" maxValue="800"/>
    </cacheField>
    <cacheField name="CHI Rev" numFmtId="0">
      <sharedItems containsSemiMixedTypes="0" containsString="0" containsNumber="1" minValue="0" maxValue="5692.1549999999997"/>
    </cacheField>
    <cacheField name="Tier 1 ARDCRI KPI" numFmtId="0">
      <sharedItems containsSemiMixedTypes="0" containsString="0" containsNumber="1" minValue="0" maxValue="558.02"/>
    </cacheField>
    <cacheField name="Tier 2 ARDCRI KPI" numFmtId="0">
      <sharedItems containsSemiMixedTypes="0" containsString="0" containsNumber="1" minValue="0" maxValue="824.95"/>
    </cacheField>
    <cacheField name="Total Expired Offers" numFmtId="0">
      <sharedItems containsSemiMixedTypes="0" containsString="0" containsNumber="1" containsInteger="1" minValue="0" maxValue="69"/>
    </cacheField>
    <cacheField name="Total ARDCRI KPI Rev" numFmtId="0">
      <sharedItems containsSemiMixedTypes="0" containsString="0" containsNumber="1" minValue="0" maxValue="1840.35"/>
    </cacheField>
    <cacheField name="Approved Extra Hours" numFmtId="0">
      <sharedItems containsSemiMixedTypes="0" containsString="0" containsNumber="1" containsInteger="1" minValue="0" maxValue="36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unt="23">
        <s v="ORION TRANSIT, LLC"/>
        <s v="WHITE NILE TRANSIT"/>
        <s v="TIBSHA TRANSPORTATION"/>
        <s v="QUICK STARS LLC"/>
        <s v="QUAKER STATE TRANS LLC"/>
        <s v="PUNCTUAL SERVICE LLC"/>
        <s v="SHAMS TRANSPORTATION LLC"/>
        <s v="UMDOR LIMO SERVICES LLC"/>
        <s v="NUBIANTOD LLC"/>
        <s v="MOAAZKO TRANSIT LLC"/>
        <s v="ZAHIA LLC"/>
        <s v="JOUD LLC"/>
        <s v="GIANNA TRANSPORT LLC"/>
        <s v="JARA TRANS LLC"/>
        <s v="SABAH SBH LLC"/>
        <s v="SAFE DRIVE TRANS LLC"/>
        <s v="ABOU RANI TRANSIT LLC"/>
        <s v="ASKR AUTO INC"/>
        <s v="MELINIO TRANSIT"/>
        <s v="BROOKES TRANSPORTATION, LLC"/>
        <s v="ABU ANNE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0" maxValue="1436"/>
    </cacheField>
    <cacheField name="Total Supply Hours" numFmtId="0">
      <sharedItems containsSemiMixedTypes="0" containsString="0" containsNumber="1" minValue="0.08" maxValue="831.04"/>
    </cacheField>
    <cacheField name="Paused Hours" numFmtId="0">
      <sharedItems containsSemiMixedTypes="0" containsString="0" containsNumber="1" minValue="0" maxValue="19.999999999999993"/>
    </cacheField>
    <cacheField name="WAV Trips" numFmtId="0">
      <sharedItems containsSemiMixedTypes="0" containsString="0" containsNumber="1" containsInteger="1" minValue="0" maxValue="312"/>
    </cacheField>
    <cacheField name="Non WAV Trips" numFmtId="0">
      <sharedItems containsSemiMixedTypes="0" containsString="0" containsNumber="1" containsInteger="1" minValue="0" maxValue="1194"/>
    </cacheField>
    <cacheField name="Utilized Hours" numFmtId="0">
      <sharedItems containsSemiMixedTypes="0" containsString="0" containsNumber="1" minValue="0" maxValue="744.35"/>
    </cacheField>
    <cacheField name="Open Hours" numFmtId="0">
      <sharedItems containsSemiMixedTypes="0" containsString="0" containsNumber="1" minValue="0.08" maxValue="133.85"/>
    </cacheField>
    <cacheField name="Core Total Supply Hours" numFmtId="0">
      <sharedItems containsSemiMixedTypes="0" containsString="0" containsNumber="1" minValue="0" maxValue="344.89"/>
    </cacheField>
    <cacheField name="Core Utilized Hours" numFmtId="0">
      <sharedItems containsSemiMixedTypes="0" containsString="0" containsNumber="1" minValue="0" maxValue="324.67000000000007"/>
    </cacheField>
    <cacheField name="Trips Per Hours" numFmtId="0">
      <sharedItems containsSemiMixedTypes="0" containsString="0" containsNumber="1" minValue="0" maxValue="49.13"/>
    </cacheField>
    <cacheField name="Total Accepts" numFmtId="0">
      <sharedItems containsSemiMixedTypes="0" containsString="0" containsNumber="1" containsInteger="1" minValue="0" maxValue="1744"/>
    </cacheField>
    <cacheField name="Total Rejects" numFmtId="0">
      <sharedItems containsSemiMixedTypes="0" containsString="0" containsNumber="1" containsInteger="1" minValue="0" maxValue="86"/>
    </cacheField>
    <cacheField name="Total Cancels" numFmtId="0">
      <sharedItems containsSemiMixedTypes="0" containsString="0" containsNumber="1" containsInteger="1" minValue="0" maxValue="83"/>
    </cacheField>
    <cacheField name="KPI Hours" numFmtId="0">
      <sharedItems containsSemiMixedTypes="0" containsString="0" containsNumber="1" minValue="0" maxValue="509.03000000000003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50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461"/>
    </cacheField>
    <cacheField name="Driver Earnings Excl Tips" numFmtId="0">
      <sharedItems containsSemiMixedTypes="0" containsString="0" containsNumber="1" minValue="0" maxValue="17204.32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550"/>
    <n v="546.16999999999996"/>
    <n v="546.16999999999996"/>
    <n v="1"/>
    <n v="11715.3465"/>
    <n v="3604.7220000000002"/>
    <n v="0"/>
    <n v="0"/>
    <n v="0.960538116591928"/>
    <n v="1.9607843137254902E-2"/>
    <n v="1802.3610000000001"/>
    <n v="0"/>
    <n v="0.91672922350184005"/>
    <n v="901.18050000000005"/>
    <n v="688.76"/>
    <n v="83.74"/>
    <n v="0"/>
    <n v="18796.11"/>
    <n v="540"/>
    <n v="3604.7220000000002"/>
    <n v="546.16999999999996"/>
    <n v="0"/>
    <n v="36"/>
    <n v="1802.3610000000001"/>
    <n v="10"/>
    <d v="2024-12-16T00:00:00"/>
    <x v="0"/>
    <n v="857"/>
    <n v="557.09999999999991"/>
    <n v="10.93"/>
    <n v="215"/>
    <n v="642"/>
    <n v="500.68999999999994"/>
    <n v="45.45"/>
    <n v="284.73999999999995"/>
    <n v="258.3"/>
    <n v="23.049999999999997"/>
    <n v="1071"/>
    <n v="8"/>
    <n v="21"/>
    <n v="379.01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712.47"/>
  </r>
  <r>
    <x v="0"/>
    <n v="50"/>
    <n v="47.75"/>
    <n v="47.75"/>
    <n v="0.95499999999999996"/>
    <n v="1008.7188"/>
    <n v="0"/>
    <n v="0"/>
    <n v="77.59375"/>
    <n v="1"/>
    <n v="0"/>
    <n v="155.1875"/>
    <n v="0"/>
    <n v="0.58366492146596904"/>
    <n v="0"/>
    <n v="12"/>
    <n v="1.5"/>
    <n v="0"/>
    <n v="1255"/>
    <n v="50"/>
    <n v="77.593800000000002"/>
    <n v="47.75"/>
    <n v="0"/>
    <n v="0"/>
    <n v="155.1875"/>
    <n v="0"/>
    <d v="2024-12-16T00:00:00"/>
    <x v="1"/>
    <n v="65"/>
    <n v="50.19"/>
    <n v="2.44"/>
    <n v="5"/>
    <n v="60"/>
    <n v="27.87"/>
    <n v="19.87"/>
    <n v="11.07"/>
    <n v="7.87"/>
    <n v="1.3"/>
    <n v="72"/>
    <n v="0"/>
    <n v="0"/>
    <n v="47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7.05"/>
  </r>
  <r>
    <x v="0"/>
    <n v="60"/>
    <n v="59.9"/>
    <n v="59.9"/>
    <n v="1"/>
    <n v="1265.3875"/>
    <n v="389.34999999999997"/>
    <n v="0"/>
    <n v="0"/>
    <n v="1"/>
    <n v="1.0989010989011E-2"/>
    <n v="194.67500000000001"/>
    <n v="0"/>
    <n v="0.79415692821368999"/>
    <n v="97.337500000000006"/>
    <n v="83.57"/>
    <n v="1.5"/>
    <n v="0"/>
    <n v="2031.82"/>
    <n v="50"/>
    <n v="389.35"/>
    <n v="59.9"/>
    <n v="0"/>
    <n v="0"/>
    <n v="194.67500000000001"/>
    <n v="10"/>
    <d v="2024-12-16T00:00:00"/>
    <x v="2"/>
    <n v="70"/>
    <n v="60.07"/>
    <n v="0.17"/>
    <n v="22"/>
    <n v="48"/>
    <n v="47.57"/>
    <n v="12.33"/>
    <n v="36.67"/>
    <n v="30.41"/>
    <n v="1.17"/>
    <n v="91"/>
    <n v="0"/>
    <n v="1"/>
    <n v="59.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2.67"/>
  </r>
  <r>
    <x v="0"/>
    <n v="50"/>
    <n v="0.08"/>
    <n v="0.08"/>
    <n v="1.6000000000000001E-3"/>
    <n v="1.69"/>
    <n v="0"/>
    <n v="0"/>
    <n v="0"/>
    <n v="0"/>
    <n v="0"/>
    <n v="0"/>
    <n v="0"/>
    <n v="0"/>
    <n v="0"/>
    <n v="0"/>
    <n v="0"/>
    <n v="0"/>
    <n v="1.69"/>
    <n v="50"/>
    <n v="0"/>
    <n v="0"/>
    <n v="0"/>
    <n v="0"/>
    <n v="0"/>
    <n v="0"/>
    <d v="2024-12-16T00:00:00"/>
    <x v="3"/>
    <n v="0"/>
    <n v="0.08"/>
    <n v="0"/>
    <n v="0"/>
    <n v="0"/>
    <n v="0"/>
    <n v="0.08"/>
    <n v="0"/>
    <n v="0"/>
    <n v="0"/>
    <n v="0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.08"/>
    <n v="0"/>
  </r>
  <r>
    <x v="0"/>
    <n v="173"/>
    <n v="173.22"/>
    <n v="173"/>
    <n v="1"/>
    <n v="3654.625"/>
    <n v="1124.5"/>
    <n v="0"/>
    <n v="0"/>
    <n v="0.94900849858356895"/>
    <n v="4.7761194029850698E-2"/>
    <n v="0"/>
    <n v="281.125"/>
    <n v="0.84984412885348104"/>
    <n v="281.125"/>
    <n v="144.33000000000001"/>
    <n v="15.9"/>
    <n v="0"/>
    <n v="5501.6049999999996"/>
    <n v="150"/>
    <n v="1124.5"/>
    <n v="0"/>
    <n v="173"/>
    <n v="16"/>
    <n v="281.125"/>
    <n v="23"/>
    <d v="2024-12-16T00:00:00"/>
    <x v="4"/>
    <n v="272"/>
    <n v="173.93"/>
    <n v="0.71"/>
    <n v="62"/>
    <n v="210"/>
    <n v="147.21"/>
    <n v="25.990000000000002"/>
    <n v="77.55"/>
    <n v="67.070000000000007"/>
    <n v="4.5199999999999996"/>
    <n v="335"/>
    <n v="2"/>
    <n v="16"/>
    <n v="0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3186.6"/>
  </r>
  <r>
    <x v="0"/>
    <n v="50"/>
    <n v="11.200000000000001"/>
    <n v="11.200000000000001"/>
    <n v="0.224"/>
    <n v="0"/>
    <n v="0"/>
    <n v="0"/>
    <n v="0"/>
    <n v="0.76190476190476197"/>
    <n v="0"/>
    <n v="0"/>
    <n v="0"/>
    <n v="0.621428571428571"/>
    <n v="0"/>
    <n v="4.49"/>
    <n v="0"/>
    <n v="136.29"/>
    <n v="140.78"/>
    <n v="50"/>
    <n v="0"/>
    <n v="0"/>
    <n v="0"/>
    <n v="0"/>
    <n v="0"/>
    <n v="0"/>
    <d v="2024-12-16T00:00:00"/>
    <x v="5"/>
    <n v="16"/>
    <n v="11.22"/>
    <n v="0.02"/>
    <n v="5"/>
    <n v="11"/>
    <n v="6.96"/>
    <n v="4.24"/>
    <n v="4.7300000000000004"/>
    <n v="4.55"/>
    <n v="1.43"/>
    <n v="16"/>
    <n v="5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11.200000000000001"/>
    <n v="136.29"/>
  </r>
  <r>
    <x v="0"/>
    <n v="50"/>
    <n v="51.21"/>
    <n v="50"/>
    <n v="1"/>
    <n v="1056.25"/>
    <n v="325"/>
    <n v="0"/>
    <n v="0"/>
    <n v="1"/>
    <n v="2.1505376344085999E-2"/>
    <n v="162.5"/>
    <n v="0"/>
    <n v="0.79125170865065397"/>
    <n v="81.25"/>
    <n v="109.67"/>
    <n v="0"/>
    <n v="0"/>
    <n v="1734.67"/>
    <n v="50"/>
    <n v="325"/>
    <n v="50"/>
    <n v="0"/>
    <n v="0"/>
    <n v="162.5"/>
    <n v="0"/>
    <d v="2024-12-16T00:00:00"/>
    <x v="6"/>
    <n v="72"/>
    <n v="51.21"/>
    <n v="0"/>
    <n v="12"/>
    <n v="60"/>
    <n v="40.520000000000003"/>
    <n v="10.68"/>
    <n v="13.44"/>
    <n v="12.82"/>
    <n v="1.41"/>
    <n v="93"/>
    <n v="0"/>
    <n v="2"/>
    <n v="51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8.16"/>
  </r>
  <r>
    <x v="0"/>
    <n v="84"/>
    <n v="83.22999999999999"/>
    <n v="83.22999999999999"/>
    <n v="1"/>
    <n v="1758.2338"/>
    <n v="540.99499999999989"/>
    <n v="0"/>
    <n v="0"/>
    <n v="0.98795180722891596"/>
    <n v="1.8292682926829298E-2"/>
    <n v="270.4975"/>
    <n v="0"/>
    <n v="0.89619127718370795"/>
    <n v="135.24879999999999"/>
    <n v="100.21"/>
    <n v="8.1999999999999993"/>
    <n v="0"/>
    <n v="2813.3850000000002"/>
    <n v="50"/>
    <n v="540.995"/>
    <n v="83.22999999999999"/>
    <n v="0"/>
    <n v="2"/>
    <n v="270.4975"/>
    <n v="34"/>
    <d v="2024-12-16T00:00:00"/>
    <x v="7"/>
    <n v="150"/>
    <n v="83.88"/>
    <n v="0.65"/>
    <n v="17"/>
    <n v="133"/>
    <n v="74.59"/>
    <n v="8.64"/>
    <n v="15.33"/>
    <n v="14.15"/>
    <n v="1.79"/>
    <n v="164"/>
    <n v="0"/>
    <n v="3"/>
    <n v="83.229999999999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97.35"/>
  </r>
  <r>
    <x v="0"/>
    <n v="52"/>
    <n v="52"/>
    <n v="52"/>
    <n v="1"/>
    <n v="1098.5"/>
    <n v="338"/>
    <n v="0"/>
    <n v="0"/>
    <n v="0.85483870967741904"/>
    <n v="1.88679245283019E-2"/>
    <n v="0"/>
    <n v="0"/>
    <n v="0.74"/>
    <n v="84.5"/>
    <n v="46"/>
    <n v="0"/>
    <n v="0"/>
    <n v="1567"/>
    <n v="50"/>
    <n v="338"/>
    <n v="0"/>
    <n v="0"/>
    <n v="9"/>
    <n v="0"/>
    <n v="2"/>
    <d v="2024-12-16T00:00:00"/>
    <x v="8"/>
    <n v="51"/>
    <n v="52.45"/>
    <n v="0.45"/>
    <n v="21"/>
    <n v="30"/>
    <n v="38.479999999999997"/>
    <n v="13.51"/>
    <n v="33.32"/>
    <n v="25.37"/>
    <n v="0.97"/>
    <n v="53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"/>
    <n v="694.75"/>
  </r>
  <r>
    <x v="0"/>
    <n v="51"/>
    <n v="50.620000000000005"/>
    <n v="50.620000000000005"/>
    <n v="1"/>
    <n v="1069.3475000000001"/>
    <n v="329.03000000000003"/>
    <n v="0"/>
    <n v="0"/>
    <n v="0.81707317073170704"/>
    <n v="0"/>
    <n v="0"/>
    <n v="0"/>
    <n v="0.73883840379296695"/>
    <n v="82.257499999999993"/>
    <n v="43.78"/>
    <n v="0"/>
    <n v="0"/>
    <n v="1524.415"/>
    <n v="50"/>
    <n v="329.03"/>
    <n v="0"/>
    <n v="0"/>
    <n v="14"/>
    <n v="0"/>
    <n v="1"/>
    <d v="2024-12-16T00:00:00"/>
    <x v="9"/>
    <n v="61"/>
    <n v="51.03"/>
    <n v="0.41"/>
    <n v="13"/>
    <n v="48"/>
    <n v="37.4"/>
    <n v="13.23"/>
    <n v="15.81"/>
    <n v="13.48"/>
    <n v="1.2"/>
    <n v="67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.620000000000005"/>
    <n v="747.08"/>
  </r>
  <r>
    <x v="0"/>
    <n v="425"/>
    <n v="407.07000000000005"/>
    <n v="407.07000000000005"/>
    <n v="0.95781176470588203"/>
    <n v="8599.3538000000008"/>
    <n v="0"/>
    <n v="0"/>
    <n v="661.4887500000001"/>
    <n v="0.91304347826086996"/>
    <n v="1.8062397372742199E-2"/>
    <n v="0"/>
    <n v="0"/>
    <n v="0.79052742771513496"/>
    <n v="661.48879999999997"/>
    <n v="476.63"/>
    <n v="31.9"/>
    <n v="0"/>
    <n v="10430.8613"/>
    <n v="425"/>
    <n v="661.48879999999997"/>
    <n v="0"/>
    <n v="0"/>
    <n v="51"/>
    <n v="0"/>
    <n v="0"/>
    <d v="2024-12-16T00:00:00"/>
    <x v="10"/>
    <n v="533"/>
    <n v="412.7299999999999"/>
    <n v="5.66"/>
    <n v="190"/>
    <n v="343"/>
    <n v="321.8"/>
    <n v="85.26"/>
    <n v="184.28000000000003"/>
    <n v="166.35"/>
    <n v="11.78"/>
    <n v="609"/>
    <n v="7"/>
    <n v="11"/>
    <n v="298.23"/>
    <n v="0.1"/>
    <n v="0.05"/>
    <n v="0.7"/>
    <n v="32.5"/>
    <n v="0"/>
    <n v="0.65"/>
    <n v="0.98"/>
    <n v="0.96"/>
    <n v="0.94"/>
    <n v="0.2"/>
    <n v="0.1"/>
    <n v="0.05"/>
    <n v="0.05"/>
    <n v="425"/>
    <n v="0"/>
    <n v="407.07000000000005"/>
    <n v="6937.4699999999993"/>
  </r>
  <r>
    <x v="0"/>
    <n v="51"/>
    <n v="50.5"/>
    <n v="50.5"/>
    <n v="1"/>
    <n v="1066.8125"/>
    <n v="328.25"/>
    <n v="0"/>
    <n v="0"/>
    <n v="0.98750000000000004"/>
    <n v="0"/>
    <n v="164.125"/>
    <n v="0"/>
    <n v="0.76019801980197999"/>
    <n v="82.0625"/>
    <n v="34"/>
    <n v="0"/>
    <n v="0"/>
    <n v="1675.25"/>
    <n v="50"/>
    <n v="328.25"/>
    <n v="50.5"/>
    <n v="0"/>
    <n v="1"/>
    <n v="164.125"/>
    <n v="1"/>
    <d v="2024-12-16T00:00:00"/>
    <x v="11"/>
    <n v="69"/>
    <n v="50.5"/>
    <n v="0"/>
    <n v="16"/>
    <n v="53"/>
    <n v="38.39"/>
    <n v="12.11"/>
    <n v="19.920000000000002"/>
    <n v="18.309999999999999"/>
    <n v="1.37"/>
    <n v="79"/>
    <n v="0"/>
    <n v="0"/>
    <n v="50.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5.55"/>
  </r>
  <r>
    <x v="0"/>
    <n v="50"/>
    <n v="32.56"/>
    <n v="32.56"/>
    <n v="0.6512"/>
    <n v="0"/>
    <n v="0"/>
    <n v="0"/>
    <n v="0"/>
    <n v="1"/>
    <n v="0"/>
    <n v="0"/>
    <n v="0"/>
    <n v="0.93120393120393097"/>
    <n v="0"/>
    <n v="108.99"/>
    <n v="24"/>
    <n v="648.21"/>
    <n v="781.2"/>
    <n v="50"/>
    <n v="0"/>
    <n v="32.56"/>
    <n v="0"/>
    <n v="0"/>
    <n v="0"/>
    <n v="0"/>
    <d v="2024-12-16T00:00:00"/>
    <x v="12"/>
    <n v="52"/>
    <n v="39.340000000000003"/>
    <n v="6.78"/>
    <n v="24"/>
    <n v="28"/>
    <n v="30.32"/>
    <n v="2.2400000000000002"/>
    <n v="21.68"/>
    <n v="17.32"/>
    <n v="1.32"/>
    <n v="58"/>
    <n v="0"/>
    <n v="0"/>
    <n v="32.5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8.21"/>
  </r>
  <r>
    <x v="0"/>
    <n v="50"/>
    <n v="47.85"/>
    <n v="47.85"/>
    <n v="0.95699999999999996"/>
    <n v="1010.8312"/>
    <n v="0"/>
    <n v="0"/>
    <n v="77.756250000000009"/>
    <n v="1"/>
    <n v="0"/>
    <n v="155.51249999999999"/>
    <n v="0"/>
    <n v="0.76969696969696999"/>
    <n v="77.756200000000007"/>
    <n v="31.11"/>
    <n v="4"/>
    <n v="0"/>
    <n v="1356.9662000000001"/>
    <n v="50"/>
    <n v="77.756200000000007"/>
    <n v="47.85"/>
    <n v="0"/>
    <n v="0"/>
    <n v="155.51249999999999"/>
    <n v="0"/>
    <d v="2024-12-16T00:00:00"/>
    <x v="13"/>
    <n v="81"/>
    <n v="50.67"/>
    <n v="2.82"/>
    <n v="7"/>
    <n v="74"/>
    <n v="36.83"/>
    <n v="11.02"/>
    <n v="3.49"/>
    <n v="3.17"/>
    <n v="1.6"/>
    <n v="87"/>
    <n v="0"/>
    <n v="0"/>
    <n v="47.8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8.33"/>
  </r>
  <r>
    <x v="0"/>
    <n v="50"/>
    <n v="48.290000000000006"/>
    <n v="48.290000000000006"/>
    <n v="0.96579999999999999"/>
    <n v="1020.1262"/>
    <n v="0"/>
    <n v="156.94250000000002"/>
    <n v="0"/>
    <n v="1"/>
    <n v="4.6511627906976702E-2"/>
    <n v="0"/>
    <n v="78.471199999999996"/>
    <n v="0.67446676330503197"/>
    <n v="0"/>
    <n v="42"/>
    <n v="7.06"/>
    <n v="0"/>
    <n v="1304.5999999999999"/>
    <n v="50"/>
    <n v="156.9425"/>
    <n v="0"/>
    <n v="48.290000000000006"/>
    <n v="0"/>
    <n v="78.471199999999996"/>
    <n v="0"/>
    <d v="2024-12-16T00:00:00"/>
    <x v="14"/>
    <n v="58"/>
    <n v="50.02"/>
    <n v="1.73"/>
    <n v="8"/>
    <n v="50"/>
    <n v="32.57"/>
    <n v="15.73"/>
    <n v="12.7"/>
    <n v="8.6199999999999992"/>
    <n v="1.1599999999999999"/>
    <n v="86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1.96"/>
  </r>
  <r>
    <x v="0"/>
    <n v="51"/>
    <n v="50.92"/>
    <n v="50.92"/>
    <n v="1"/>
    <n v="1075.6849999999999"/>
    <n v="330.98"/>
    <n v="0"/>
    <n v="0"/>
    <n v="1"/>
    <n v="0"/>
    <n v="165.49"/>
    <n v="0"/>
    <n v="0.74980361351139002"/>
    <n v="82.745000000000005"/>
    <n v="43.56"/>
    <n v="0"/>
    <n v="0"/>
    <n v="1698.46"/>
    <n v="50"/>
    <n v="330.98"/>
    <n v="50.92"/>
    <n v="0"/>
    <n v="0"/>
    <n v="165.49"/>
    <n v="1"/>
    <d v="2024-12-16T00:00:00"/>
    <x v="15"/>
    <n v="74"/>
    <n v="50.92"/>
    <n v="0"/>
    <n v="12"/>
    <n v="62"/>
    <n v="38.18"/>
    <n v="12.74"/>
    <n v="19.13"/>
    <n v="13.7"/>
    <n v="1.45"/>
    <n v="71"/>
    <n v="0"/>
    <n v="0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7.86"/>
  </r>
  <r>
    <x v="0"/>
    <n v="51"/>
    <n v="50.61"/>
    <n v="50.61"/>
    <n v="1"/>
    <n v="1069.1361999999999"/>
    <n v="328.96499999999997"/>
    <n v="0"/>
    <n v="0"/>
    <n v="1"/>
    <n v="0"/>
    <n v="164.48249999999999"/>
    <n v="0"/>
    <n v="0.780478166370282"/>
    <n v="82.241200000000006"/>
    <n v="19"/>
    <n v="0"/>
    <n v="0"/>
    <n v="1663.825"/>
    <n v="50"/>
    <n v="328.96499999999997"/>
    <n v="50.61"/>
    <n v="0"/>
    <n v="0"/>
    <n v="164.48249999999999"/>
    <n v="1"/>
    <d v="2024-12-16T00:00:00"/>
    <x v="16"/>
    <n v="48"/>
    <n v="50.61"/>
    <n v="0"/>
    <n v="29"/>
    <n v="19"/>
    <n v="39.5"/>
    <n v="11.11"/>
    <n v="38.6"/>
    <n v="31.65"/>
    <n v="0.95"/>
    <n v="65"/>
    <n v="0"/>
    <n v="0"/>
    <n v="50.6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0.28"/>
  </r>
  <r>
    <x v="0"/>
    <n v="100"/>
    <n v="99.389999999999986"/>
    <n v="99.389999999999986"/>
    <n v="0.99390000000000001"/>
    <n v="2099.6138000000001"/>
    <n v="646.03499999999985"/>
    <n v="0"/>
    <n v="0"/>
    <n v="1"/>
    <n v="1.8072289156626498E-2"/>
    <n v="323.01749999999998"/>
    <n v="0"/>
    <n v="0.75067914277090297"/>
    <n v="161.50880000000001"/>
    <n v="70.989999999999995"/>
    <n v="0"/>
    <n v="0"/>
    <n v="3301.165"/>
    <n v="100"/>
    <n v="646.03499999999997"/>
    <n v="99.389999999999986"/>
    <n v="0"/>
    <n v="0"/>
    <n v="323.01749999999998"/>
    <n v="0"/>
    <d v="2024-12-16T00:00:00"/>
    <x v="17"/>
    <n v="140"/>
    <n v="99.449999999999989"/>
    <n v="6.0000000000000005E-2"/>
    <n v="38"/>
    <n v="102"/>
    <n v="74.61"/>
    <n v="24.790000000000003"/>
    <n v="40.43"/>
    <n v="31.47"/>
    <n v="3.83"/>
    <n v="166"/>
    <n v="0"/>
    <n v="3"/>
    <n v="79.930000000000007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44.7"/>
  </r>
  <r>
    <x v="0"/>
    <n v="560"/>
    <n v="558.02"/>
    <n v="558.02"/>
    <n v="1"/>
    <n v="11962.2747"/>
    <n v="3680.69992"/>
    <n v="0"/>
    <n v="0"/>
    <n v="0.99216027874564405"/>
    <n v="2.1071115013169401E-2"/>
    <n v="1840.35"/>
    <n v="0"/>
    <n v="0.95455360022938196"/>
    <n v="920.17499999999995"/>
    <n v="672.86"/>
    <n v="76.599999999999994"/>
    <n v="0"/>
    <n v="19152.959599999998"/>
    <n v="540"/>
    <n v="3680.6999000000001"/>
    <n v="558.02"/>
    <n v="0"/>
    <n v="3"/>
    <n v="1840.35"/>
    <n v="20"/>
    <d v="2024-12-16T00:00:00"/>
    <x v="18"/>
    <n v="948"/>
    <n v="566.47"/>
    <n v="8.4499999999999993"/>
    <n v="254"/>
    <n v="694"/>
    <n v="532.66"/>
    <n v="25.36"/>
    <n v="255.09000000000003"/>
    <n v="245.45"/>
    <n v="20.260000000000002"/>
    <n v="1139"/>
    <n v="6"/>
    <n v="24"/>
    <n v="372.15999999999997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851.31"/>
  </r>
  <r>
    <x v="0"/>
    <n v="806"/>
    <n v="794.84000000000015"/>
    <n v="794.84000000000015"/>
    <n v="0.99355000000000004"/>
    <n v="17824.287"/>
    <n v="5484.3960000000015"/>
    <n v="0"/>
    <n v="0"/>
    <n v="0.95382078064870801"/>
    <n v="4.6109510086455301E-2"/>
    <n v="0"/>
    <n v="1371.0989999999999"/>
    <n v="0.933382819183735"/>
    <n v="1371.0989999999999"/>
    <n v="951.2"/>
    <n v="59.9"/>
    <n v="0"/>
    <n v="27061.981"/>
    <n v="800"/>
    <n v="5484.3959999999997"/>
    <n v="0"/>
    <n v="794.84000000000015"/>
    <n v="46"/>
    <n v="1371.0989999999999"/>
    <n v="6"/>
    <d v="2024-12-16T00:00:00"/>
    <x v="19"/>
    <n v="1335"/>
    <n v="801.47000000000014"/>
    <n v="6.63"/>
    <n v="312"/>
    <n v="1023"/>
    <n v="741.89000000000021"/>
    <n v="52.919999999999995"/>
    <n v="344.89"/>
    <n v="324.67000000000007"/>
    <n v="46.589999999999996"/>
    <n v="1735"/>
    <n v="38"/>
    <n v="80"/>
    <n v="421.17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693.289999999999"/>
  </r>
  <r>
    <x v="0"/>
    <n v="50"/>
    <n v="50.1"/>
    <n v="50"/>
    <n v="1"/>
    <n v="1056.25"/>
    <n v="325"/>
    <n v="0"/>
    <n v="0"/>
    <n v="1"/>
    <n v="2.7027027027027001E-2"/>
    <n v="162.5"/>
    <n v="0"/>
    <n v="0.57504990019960101"/>
    <n v="0"/>
    <n v="31"/>
    <n v="0"/>
    <n v="0"/>
    <n v="1574.75"/>
    <n v="50"/>
    <n v="325"/>
    <n v="50"/>
    <n v="0"/>
    <n v="0"/>
    <n v="162.5"/>
    <n v="0"/>
    <d v="2024-12-16T00:00:00"/>
    <x v="20"/>
    <n v="51"/>
    <n v="50.11"/>
    <n v="0.01"/>
    <n v="17"/>
    <n v="34"/>
    <n v="28.81"/>
    <n v="21.3"/>
    <n v="29.28"/>
    <n v="18.68"/>
    <n v="1.02"/>
    <n v="74"/>
    <n v="0"/>
    <n v="2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45.98"/>
  </r>
  <r>
    <x v="1"/>
    <n v="60"/>
    <n v="59.9"/>
    <n v="59.9"/>
    <n v="1"/>
    <n v="1265.3875"/>
    <n v="389.34999999999997"/>
    <n v="0"/>
    <n v="0"/>
    <n v="0.893805309734513"/>
    <n v="2.9702970297029702E-2"/>
    <n v="0"/>
    <n v="0"/>
    <n v="0.67495826377295498"/>
    <n v="0"/>
    <n v="73.8"/>
    <n v="6"/>
    <n v="0"/>
    <n v="1734.5374999999999"/>
    <n v="50"/>
    <n v="389.35"/>
    <n v="0"/>
    <n v="0"/>
    <n v="12"/>
    <n v="0"/>
    <n v="10"/>
    <d v="2024-12-23T00:00:00"/>
    <x v="1"/>
    <n v="94"/>
    <n v="60"/>
    <n v="0.1"/>
    <n v="10"/>
    <n v="84"/>
    <n v="40.43"/>
    <n v="19.46"/>
    <n v="16.78"/>
    <n v="13.18"/>
    <n v="1.57"/>
    <n v="101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"/>
    <n v="1050.47"/>
  </r>
  <r>
    <x v="1"/>
    <n v="82"/>
    <n v="81.36"/>
    <n v="81.36"/>
    <n v="1"/>
    <n v="1718.73"/>
    <n v="528.84"/>
    <n v="0"/>
    <n v="0"/>
    <n v="1"/>
    <n v="5.9171597633136102E-3"/>
    <n v="264.42"/>
    <n v="0"/>
    <n v="0.85656342182890899"/>
    <n v="132.21"/>
    <n v="98.93"/>
    <n v="5.5"/>
    <n v="0"/>
    <n v="2748.63"/>
    <n v="50"/>
    <n v="528.84"/>
    <n v="81.36"/>
    <n v="0"/>
    <n v="0"/>
    <n v="264.42"/>
    <n v="32"/>
    <d v="2024-12-23T00:00:00"/>
    <x v="7"/>
    <n v="157"/>
    <n v="84.84"/>
    <n v="3.48"/>
    <n v="10"/>
    <n v="147"/>
    <n v="69.69"/>
    <n v="11.67"/>
    <n v="11.68"/>
    <n v="6.92"/>
    <n v="1.85"/>
    <n v="169"/>
    <n v="0"/>
    <n v="1"/>
    <n v="81.3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06.49"/>
  </r>
  <r>
    <x v="1"/>
    <n v="60"/>
    <n v="59.99"/>
    <n v="59.99"/>
    <n v="1"/>
    <n v="1267.2888"/>
    <n v="389.935"/>
    <n v="0"/>
    <n v="0"/>
    <n v="1"/>
    <n v="0"/>
    <n v="194.9675"/>
    <n v="0"/>
    <n v="0.77446241040173402"/>
    <n v="97.483800000000002"/>
    <n v="97.89"/>
    <n v="0"/>
    <n v="0"/>
    <n v="2047.5650000000001"/>
    <n v="50"/>
    <n v="389.935"/>
    <n v="59.99"/>
    <n v="0"/>
    <n v="0"/>
    <n v="194.9675"/>
    <n v="10"/>
    <d v="2024-12-23T00:00:00"/>
    <x v="2"/>
    <n v="83"/>
    <n v="60"/>
    <n v="0.01"/>
    <n v="20"/>
    <n v="63"/>
    <n v="46.46"/>
    <n v="13.52"/>
    <n v="37.51"/>
    <n v="29.82"/>
    <n v="1.38"/>
    <n v="99"/>
    <n v="0"/>
    <n v="0"/>
    <n v="59.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3.87"/>
  </r>
  <r>
    <x v="1"/>
    <n v="540"/>
    <n v="507.21000000000004"/>
    <n v="507.21000000000004"/>
    <n v="0.93927777777777799"/>
    <n v="0"/>
    <n v="0"/>
    <n v="0"/>
    <n v="0"/>
    <n v="0.94450050454086798"/>
    <n v="2.45726495726496E-2"/>
    <n v="0"/>
    <n v="0"/>
    <n v="0.83963249935924"/>
    <n v="0"/>
    <n v="775.55"/>
    <n v="98.13"/>
    <n v="9726.5499999999993"/>
    <n v="10600.23"/>
    <n v="540"/>
    <n v="0"/>
    <n v="0"/>
    <n v="507.21000000000004"/>
    <n v="48"/>
    <n v="0"/>
    <n v="0"/>
    <d v="2024-12-23T00:00:00"/>
    <x v="0"/>
    <n v="804"/>
    <n v="527.20999999999992"/>
    <n v="19.999999999999993"/>
    <n v="122"/>
    <n v="682"/>
    <n v="425.86999999999995"/>
    <n v="81.320000000000007"/>
    <n v="202.51000000000002"/>
    <n v="161.99"/>
    <n v="26.220000000000002"/>
    <n v="936"/>
    <n v="7"/>
    <n v="23"/>
    <n v="325.33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726.5500000000011"/>
  </r>
  <r>
    <x v="1"/>
    <n v="50"/>
    <n v="50.63"/>
    <n v="50"/>
    <n v="1"/>
    <n v="1056.25"/>
    <n v="325"/>
    <n v="0"/>
    <n v="0"/>
    <n v="0.96721311475409799"/>
    <n v="0"/>
    <n v="162.5"/>
    <n v="0"/>
    <n v="0.58246099150701203"/>
    <n v="0"/>
    <n v="30.18"/>
    <n v="9.9"/>
    <n v="0"/>
    <n v="1583.83"/>
    <n v="50"/>
    <n v="325"/>
    <n v="50"/>
    <n v="0"/>
    <n v="0"/>
    <n v="162.5"/>
    <n v="0"/>
    <d v="2024-12-23T00:00:00"/>
    <x v="3"/>
    <n v="55"/>
    <n v="50.99"/>
    <n v="0.36"/>
    <n v="2"/>
    <n v="53"/>
    <n v="29.49"/>
    <n v="21.14"/>
    <n v="8.07"/>
    <n v="7"/>
    <n v="1.08"/>
    <n v="59"/>
    <n v="2"/>
    <n v="0"/>
    <n v="50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6.97"/>
  </r>
  <r>
    <x v="1"/>
    <n v="57"/>
    <n v="57.050000000000004"/>
    <n v="57"/>
    <n v="1"/>
    <n v="1204.125"/>
    <n v="370.5"/>
    <n v="0"/>
    <n v="0"/>
    <n v="0.97826086956521696"/>
    <n v="0"/>
    <n v="185.25"/>
    <n v="0"/>
    <n v="0.78615249780894003"/>
    <n v="92.625"/>
    <n v="69"/>
    <n v="0"/>
    <n v="0"/>
    <n v="1921.5"/>
    <n v="50"/>
    <n v="370.5"/>
    <n v="57"/>
    <n v="0"/>
    <n v="2"/>
    <n v="185.25"/>
    <n v="7"/>
    <d v="2024-12-23T00:00:00"/>
    <x v="16"/>
    <n v="76"/>
    <n v="57.1"/>
    <n v="0.05"/>
    <n v="24"/>
    <n v="52"/>
    <n v="44.85"/>
    <n v="12.2"/>
    <n v="45.5"/>
    <n v="37.85"/>
    <n v="1.33"/>
    <n v="90"/>
    <n v="0"/>
    <n v="0"/>
    <n v="57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4.31"/>
  </r>
  <r>
    <x v="1"/>
    <n v="160"/>
    <n v="158.84"/>
    <n v="158.84"/>
    <n v="1"/>
    <n v="3355.4949999999999"/>
    <n v="1032.46"/>
    <n v="0"/>
    <n v="0"/>
    <n v="0.87114845938375396"/>
    <n v="3.2154340836012901E-2"/>
    <n v="0"/>
    <n v="0"/>
    <n v="0.79262150591790503"/>
    <n v="258.11500000000001"/>
    <n v="152.74"/>
    <n v="27.2"/>
    <n v="0"/>
    <n v="4826.01"/>
    <n v="150"/>
    <n v="1032.46"/>
    <n v="0"/>
    <n v="0"/>
    <n v="43"/>
    <n v="0"/>
    <n v="10"/>
    <d v="2024-12-23T00:00:00"/>
    <x v="4"/>
    <n v="262"/>
    <n v="160.67000000000002"/>
    <n v="1.83"/>
    <n v="39"/>
    <n v="223"/>
    <n v="125.9"/>
    <n v="32.92"/>
    <n v="68.3"/>
    <n v="53.64"/>
    <n v="4.83"/>
    <n v="311"/>
    <n v="3"/>
    <n v="10"/>
    <n v="48.37"/>
    <n v="0.1"/>
    <n v="0.05"/>
    <n v="0.7"/>
    <n v="32.5"/>
    <n v="0"/>
    <n v="0.65"/>
    <n v="0.98"/>
    <n v="0.96"/>
    <n v="0.94"/>
    <n v="0.2"/>
    <n v="0.1"/>
    <n v="0.05"/>
    <n v="0.05"/>
    <n v="150"/>
    <n v="0"/>
    <n v="158.84"/>
    <n v="3051.4300000000003"/>
  </r>
  <r>
    <x v="1"/>
    <n v="50"/>
    <n v="49.85"/>
    <n v="49.85"/>
    <n v="0.997"/>
    <n v="1053.0812000000001"/>
    <n v="324.02500000000003"/>
    <n v="0"/>
    <n v="0"/>
    <n v="0.88888888888888895"/>
    <n v="6.25E-2"/>
    <n v="0"/>
    <n v="0"/>
    <n v="0.111735205616851"/>
    <n v="0"/>
    <n v="13.75"/>
    <n v="6"/>
    <n v="0"/>
    <n v="1396.8561999999999"/>
    <n v="50"/>
    <n v="324.02499999999998"/>
    <n v="0"/>
    <n v="0"/>
    <n v="0"/>
    <n v="0"/>
    <n v="0"/>
    <d v="2024-12-23T00:00:00"/>
    <x v="5"/>
    <n v="13"/>
    <n v="50.02"/>
    <n v="0.17"/>
    <n v="0"/>
    <n v="13"/>
    <n v="5.57"/>
    <n v="44.28"/>
    <n v="17.440000000000001"/>
    <n v="2.2400000000000002"/>
    <n v="0.26"/>
    <n v="16"/>
    <n v="2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5"/>
    <n v="138.04"/>
  </r>
  <r>
    <x v="1"/>
    <n v="100"/>
    <n v="101.98"/>
    <n v="100"/>
    <n v="1"/>
    <n v="2112.5"/>
    <n v="650"/>
    <n v="0"/>
    <n v="0"/>
    <n v="0.99502487562189101"/>
    <n v="7.0000000000000007E-2"/>
    <n v="0"/>
    <n v="0"/>
    <n v="0.74593057462247503"/>
    <n v="162.5"/>
    <n v="141.54"/>
    <n v="5.4"/>
    <n v="0"/>
    <n v="3071.94"/>
    <n v="100"/>
    <n v="650"/>
    <n v="0"/>
    <n v="0"/>
    <n v="0"/>
    <n v="0"/>
    <n v="0"/>
    <d v="2024-12-23T00:00:00"/>
    <x v="6"/>
    <n v="161"/>
    <n v="102.21000000000001"/>
    <n v="0.23"/>
    <n v="22"/>
    <n v="139"/>
    <n v="76.069999999999993"/>
    <n v="25.91"/>
    <n v="40.479999999999997"/>
    <n v="28.950000000000003"/>
    <n v="3.1500000000000004"/>
    <n v="200"/>
    <n v="1"/>
    <n v="14"/>
    <n v="50.370000000000005"/>
    <n v="0.1"/>
    <n v="0.05"/>
    <n v="0.7"/>
    <n v="32.5"/>
    <n v="0"/>
    <n v="0.65"/>
    <n v="0.98"/>
    <n v="0.96"/>
    <n v="0.94"/>
    <n v="0.2"/>
    <n v="0.1"/>
    <n v="0.05"/>
    <n v="0.05"/>
    <n v="100"/>
    <n v="0"/>
    <n v="100"/>
    <n v="1761.09"/>
  </r>
  <r>
    <x v="1"/>
    <n v="53"/>
    <n v="53.41"/>
    <n v="53"/>
    <n v="1"/>
    <n v="1119.625"/>
    <n v="344.5"/>
    <n v="0"/>
    <n v="0"/>
    <n v="1"/>
    <n v="0"/>
    <n v="172.25"/>
    <n v="0"/>
    <n v="0.69799662984459798"/>
    <n v="0"/>
    <n v="55.81"/>
    <n v="0"/>
    <n v="0"/>
    <n v="1692.1849999999999"/>
    <n v="50"/>
    <n v="344.5"/>
    <n v="53"/>
    <n v="0"/>
    <n v="0"/>
    <n v="172.25"/>
    <n v="3"/>
    <d v="2024-12-23T00:00:00"/>
    <x v="8"/>
    <n v="54"/>
    <n v="53.41"/>
    <n v="0"/>
    <n v="14"/>
    <n v="40"/>
    <n v="37.28"/>
    <n v="16.14"/>
    <n v="38.31"/>
    <n v="26.83"/>
    <n v="1.01"/>
    <n v="63"/>
    <n v="0"/>
    <n v="0"/>
    <n v="53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0.3"/>
  </r>
  <r>
    <x v="1"/>
    <n v="50"/>
    <n v="50.03"/>
    <n v="50"/>
    <n v="1"/>
    <n v="1056.25"/>
    <n v="325"/>
    <n v="0"/>
    <n v="0"/>
    <n v="1"/>
    <n v="4.47761194029851E-2"/>
    <n v="0"/>
    <n v="81.25"/>
    <n v="0.58344993004197498"/>
    <n v="0"/>
    <n v="45.02"/>
    <n v="0"/>
    <n v="0"/>
    <n v="1507.52"/>
    <n v="50"/>
    <n v="325"/>
    <n v="0"/>
    <n v="50"/>
    <n v="0"/>
    <n v="81.25"/>
    <n v="0"/>
    <d v="2024-12-23T00:00:00"/>
    <x v="20"/>
    <n v="54"/>
    <n v="50.03"/>
    <n v="0"/>
    <n v="19"/>
    <n v="35"/>
    <n v="29.19"/>
    <n v="20.84"/>
    <n v="37.49"/>
    <n v="24.53"/>
    <n v="1.08"/>
    <n v="67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1.01"/>
  </r>
  <r>
    <x v="1"/>
    <n v="510"/>
    <n v="509.03000000000003"/>
    <n v="509.03000000000003"/>
    <n v="0.99809803921568596"/>
    <n v="10912.0761"/>
    <n v="3357.5618800000002"/>
    <n v="0"/>
    <n v="0"/>
    <n v="0.98223801065719396"/>
    <n v="1.5370705244123E-2"/>
    <n v="1678.7809"/>
    <n v="0"/>
    <n v="0.93279374496591505"/>
    <n v="839.39049999999997"/>
    <n v="758.28"/>
    <n v="68.7"/>
    <n v="0"/>
    <n v="17614.789400000001"/>
    <n v="510"/>
    <n v="3357.5619000000002"/>
    <n v="509.03000000000003"/>
    <n v="0"/>
    <n v="6"/>
    <n v="1678.7809"/>
    <n v="0"/>
    <d v="2024-12-23T00:00:00"/>
    <x v="18"/>
    <n v="955"/>
    <n v="517.31000000000006"/>
    <n v="8.2800000000000011"/>
    <n v="177"/>
    <n v="778"/>
    <n v="474.81999999999994"/>
    <n v="34.19"/>
    <n v="247.41"/>
    <n v="223.01999999999998"/>
    <n v="20.37"/>
    <n v="1106"/>
    <n v="14"/>
    <n v="17"/>
    <n v="509.03000000000003"/>
    <n v="0.1"/>
    <n v="0.05"/>
    <n v="0.7"/>
    <n v="32.979999999999997"/>
    <n v="0"/>
    <n v="0.65"/>
    <n v="0.98"/>
    <n v="0.96"/>
    <n v="0.94"/>
    <n v="0.2"/>
    <n v="0.1"/>
    <n v="0.05"/>
    <n v="0.05"/>
    <n v="510"/>
    <n v="0"/>
    <n v="0"/>
    <n v="11166.119999999999"/>
  </r>
  <r>
    <x v="1"/>
    <n v="70"/>
    <n v="69.92"/>
    <n v="69.92"/>
    <n v="1"/>
    <n v="1477.06"/>
    <n v="454.48"/>
    <n v="0"/>
    <n v="0"/>
    <n v="1"/>
    <n v="1.1111111111111099E-2"/>
    <n v="227.24"/>
    <n v="0"/>
    <n v="0.59253432494279201"/>
    <n v="0"/>
    <n v="71.69"/>
    <n v="6"/>
    <n v="0"/>
    <n v="2236.4699999999998"/>
    <n v="50"/>
    <n v="454.48"/>
    <n v="69.92"/>
    <n v="0"/>
    <n v="0"/>
    <n v="227.24"/>
    <n v="20"/>
    <d v="2024-12-23T00:00:00"/>
    <x v="9"/>
    <n v="80"/>
    <n v="70.08"/>
    <n v="0.16"/>
    <n v="14"/>
    <n v="66"/>
    <n v="41.43"/>
    <n v="28.49"/>
    <n v="38.35"/>
    <n v="24.44"/>
    <n v="1.1399999999999999"/>
    <n v="90"/>
    <n v="0"/>
    <n v="1"/>
    <n v="69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2.86"/>
  </r>
  <r>
    <x v="1"/>
    <n v="50"/>
    <n v="50.06"/>
    <n v="50"/>
    <n v="1"/>
    <n v="1056.25"/>
    <n v="325"/>
    <n v="0"/>
    <n v="0"/>
    <n v="1"/>
    <n v="7.1428571428571397E-2"/>
    <n v="0"/>
    <n v="0"/>
    <n v="0.66939672393128202"/>
    <n v="0"/>
    <n v="60.36"/>
    <n v="3.8"/>
    <n v="0"/>
    <n v="1445.41"/>
    <n v="50"/>
    <n v="325"/>
    <n v="0"/>
    <n v="0"/>
    <n v="0"/>
    <n v="0"/>
    <n v="0"/>
    <d v="2024-12-23T00:00:00"/>
    <x v="14"/>
    <n v="70"/>
    <n v="50.07"/>
    <n v="0.01"/>
    <n v="10"/>
    <n v="60"/>
    <n v="33.51"/>
    <n v="16.54"/>
    <n v="15.75"/>
    <n v="11.36"/>
    <n v="1.4"/>
    <n v="84"/>
    <n v="0"/>
    <n v="6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816.34"/>
  </r>
  <r>
    <x v="1"/>
    <n v="825"/>
    <n v="824.95"/>
    <n v="824.95"/>
    <n v="1"/>
    <n v="18499.503799999999"/>
    <n v="5692.1550000000007"/>
    <n v="0"/>
    <n v="0"/>
    <n v="0.92080253431890202"/>
    <n v="4.7591743119266103E-2"/>
    <n v="0"/>
    <n v="1423.0388"/>
    <n v="0.90229710891569204"/>
    <n v="1423.0388"/>
    <n v="1061.71"/>
    <n v="160.5"/>
    <n v="0"/>
    <n v="28259.9463"/>
    <n v="800"/>
    <n v="5692.1549999999997"/>
    <n v="0"/>
    <n v="824.95"/>
    <n v="64"/>
    <n v="1423.0388"/>
    <n v="25"/>
    <d v="2024-12-23T00:00:00"/>
    <x v="19"/>
    <n v="1436"/>
    <n v="831.04"/>
    <n v="6.089999999999999"/>
    <n v="242"/>
    <n v="1194"/>
    <n v="744.35"/>
    <n v="80.550000000000011"/>
    <n v="292.80999999999995"/>
    <n v="260.54999999999995"/>
    <n v="49.13"/>
    <n v="1744"/>
    <n v="86"/>
    <n v="83"/>
    <n v="360.81000000000006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7204.329999999998"/>
  </r>
  <r>
    <x v="1"/>
    <n v="50"/>
    <n v="50.05"/>
    <n v="50"/>
    <n v="1"/>
    <n v="1056.25"/>
    <n v="325"/>
    <n v="0"/>
    <n v="0"/>
    <n v="1"/>
    <n v="0"/>
    <n v="162.5"/>
    <n v="0"/>
    <n v="0.72107892107892102"/>
    <n v="81.25"/>
    <n v="66"/>
    <n v="0"/>
    <n v="0"/>
    <n v="1691"/>
    <n v="50"/>
    <n v="325"/>
    <n v="50"/>
    <n v="0"/>
    <n v="0"/>
    <n v="162.5"/>
    <n v="0"/>
    <d v="2024-12-23T00:00:00"/>
    <x v="11"/>
    <n v="71"/>
    <n v="50.05"/>
    <n v="0"/>
    <n v="13"/>
    <n v="58"/>
    <n v="36.090000000000003"/>
    <n v="13.95"/>
    <n v="18.87"/>
    <n v="15.3"/>
    <n v="1.42"/>
    <n v="76"/>
    <n v="0"/>
    <n v="0"/>
    <n v="50.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1.02"/>
  </r>
  <r>
    <x v="1"/>
    <n v="105"/>
    <n v="101.62"/>
    <n v="101.62"/>
    <n v="1"/>
    <n v="2146.7224999999999"/>
    <n v="660.53"/>
    <n v="0"/>
    <n v="0"/>
    <n v="1"/>
    <n v="6.1349693251533796E-3"/>
    <n v="330.26499999999999"/>
    <n v="0"/>
    <n v="0.64150757724857299"/>
    <n v="0"/>
    <n v="123.94"/>
    <n v="7.1"/>
    <n v="0"/>
    <n v="3268.5574999999999"/>
    <n v="100"/>
    <n v="660.53"/>
    <n v="101.62"/>
    <n v="0"/>
    <n v="0"/>
    <n v="330.26499999999999"/>
    <n v="5"/>
    <d v="2024-12-23T00:00:00"/>
    <x v="17"/>
    <n v="143"/>
    <n v="101.69999999999999"/>
    <n v="0.08"/>
    <n v="24"/>
    <n v="119"/>
    <n v="65.19"/>
    <n v="36.42"/>
    <n v="43.03"/>
    <n v="29.6"/>
    <n v="2.8099999999999996"/>
    <n v="163"/>
    <n v="0"/>
    <n v="1"/>
    <n v="101.62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09.05"/>
  </r>
  <r>
    <x v="1"/>
    <n v="50"/>
    <n v="44.510000000000005"/>
    <n v="44.510000000000005"/>
    <n v="0.89019999999999999"/>
    <n v="0"/>
    <n v="0"/>
    <n v="0"/>
    <n v="0"/>
    <n v="0.98387096774193605"/>
    <n v="0"/>
    <n v="0"/>
    <n v="0"/>
    <n v="0.83419456301954598"/>
    <n v="0"/>
    <n v="124.74"/>
    <n v="6"/>
    <n v="1084.3499999999999"/>
    <n v="1215.0899999999999"/>
    <n v="50"/>
    <n v="0"/>
    <n v="44.510000000000005"/>
    <n v="0"/>
    <n v="1"/>
    <n v="0"/>
    <n v="0"/>
    <d v="2024-12-23T00:00:00"/>
    <x v="12"/>
    <n v="70"/>
    <n v="48.92"/>
    <n v="4.41"/>
    <n v="17"/>
    <n v="53"/>
    <n v="37.130000000000003"/>
    <n v="7.37"/>
    <n v="20.76"/>
    <n v="14.29"/>
    <n v="1.43"/>
    <n v="61"/>
    <n v="0"/>
    <n v="0"/>
    <n v="44.51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84.3499999999999"/>
  </r>
  <r>
    <x v="1"/>
    <n v="55"/>
    <n v="53.23"/>
    <n v="53.23"/>
    <n v="1"/>
    <n v="1124.4838"/>
    <n v="345.995"/>
    <n v="0"/>
    <n v="0"/>
    <n v="0.97916666666666596"/>
    <n v="1.0638297872340399E-2"/>
    <n v="172.9975"/>
    <n v="0"/>
    <n v="0.713319556640992"/>
    <n v="86.498800000000003"/>
    <n v="84.74"/>
    <n v="6"/>
    <n v="0"/>
    <n v="1820.7149999999999"/>
    <n v="50"/>
    <n v="345.995"/>
    <n v="53.23"/>
    <n v="0"/>
    <n v="2"/>
    <n v="172.9975"/>
    <n v="5"/>
    <d v="2024-12-23T00:00:00"/>
    <x v="13"/>
    <n v="79"/>
    <n v="53.51"/>
    <n v="0.28000000000000003"/>
    <n v="6"/>
    <n v="73"/>
    <n v="37.97"/>
    <n v="15.26"/>
    <n v="9.24"/>
    <n v="6.51"/>
    <n v="1.48"/>
    <n v="94"/>
    <n v="0"/>
    <n v="1"/>
    <n v="53.2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32"/>
  </r>
  <r>
    <x v="1"/>
    <n v="61"/>
    <n v="61.13"/>
    <n v="61"/>
    <n v="1"/>
    <n v="1288.625"/>
    <n v="396.5"/>
    <n v="0"/>
    <n v="0"/>
    <n v="0.98888888888888904"/>
    <n v="0"/>
    <n v="198.25"/>
    <n v="0"/>
    <n v="0.68984132177326996"/>
    <n v="0"/>
    <n v="74.39"/>
    <n v="0"/>
    <n v="0"/>
    <n v="1957.7650000000001"/>
    <n v="50"/>
    <n v="396.5"/>
    <n v="61"/>
    <n v="0"/>
    <n v="0"/>
    <n v="198.25"/>
    <n v="11"/>
    <d v="2024-12-23T00:00:00"/>
    <x v="15"/>
    <n v="86"/>
    <n v="61.13"/>
    <n v="0"/>
    <n v="9"/>
    <n v="77"/>
    <n v="42.17"/>
    <n v="18.96"/>
    <n v="19.79"/>
    <n v="13.77"/>
    <n v="1.41"/>
    <n v="89"/>
    <n v="1"/>
    <n v="0"/>
    <n v="61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29.2"/>
  </r>
  <r>
    <x v="1"/>
    <n v="461"/>
    <n v="461.48999999999995"/>
    <n v="461"/>
    <n v="1"/>
    <n v="9738.625"/>
    <n v="2996.5"/>
    <n v="0"/>
    <n v="0"/>
    <n v="0.90297542043984502"/>
    <n v="3.1518624641833803E-2"/>
    <n v="0"/>
    <n v="0"/>
    <n v="0.70996121259398903"/>
    <n v="749.125"/>
    <n v="586.95000000000005"/>
    <n v="54.8"/>
    <n v="0"/>
    <n v="14126"/>
    <n v="425"/>
    <n v="2996.5"/>
    <n v="0"/>
    <n v="0"/>
    <n v="69"/>
    <n v="0"/>
    <n v="36"/>
    <d v="2024-12-23T00:00:00"/>
    <x v="10"/>
    <n v="616"/>
    <n v="471.84999999999997"/>
    <n v="10.36"/>
    <n v="125"/>
    <n v="491"/>
    <n v="327.64"/>
    <n v="133.85"/>
    <n v="220.32"/>
    <n v="169.54999999999998"/>
    <n v="11.86"/>
    <n v="698"/>
    <n v="6"/>
    <n v="22"/>
    <n v="219.47000000000003"/>
    <n v="0.1"/>
    <n v="0.05"/>
    <n v="0.7"/>
    <n v="32.5"/>
    <n v="0"/>
    <n v="0.65"/>
    <n v="0.98"/>
    <n v="0.96"/>
    <n v="0.94"/>
    <n v="0.2"/>
    <n v="0.1"/>
    <n v="0.05"/>
    <n v="0.05"/>
    <n v="425"/>
    <n v="0"/>
    <n v="461"/>
    <n v="7339.32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6" firstHeaderRow="0" firstDataRow="1" firstDataCol="2"/>
  <pivotFields count="59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axis="axisRow" compact="0" outline="0" showAll="0" defaultSubtotal="0">
      <items count="23">
        <item x="16"/>
        <item x="20"/>
        <item x="17"/>
        <item x="19"/>
        <item x="12"/>
        <item x="13"/>
        <item x="11"/>
        <item x="18"/>
        <item x="9"/>
        <item x="8"/>
        <item x="0"/>
        <item x="5"/>
        <item x="4"/>
        <item x="3"/>
        <item x="14"/>
        <item x="15"/>
        <item x="6"/>
        <item x="2"/>
        <item x="7"/>
        <item x="1"/>
        <item x="10"/>
        <item m="1" x="22"/>
        <item m="1"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7"/>
    <field x="0"/>
  </rowFields>
  <rowItems count="4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sortState xmlns:xlrd2="http://schemas.microsoft.com/office/spreadsheetml/2017/richdata2" ref="A2:Q55">
    <sortCondition ref="A1:A55"/>
  </sortState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13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Shown="0">
  <autoFilter ref="A1:BG43" xr:uid="{DE01B30A-39AF-4694-BB2D-3D7EA17167B1}">
    <filterColumn colId="0">
      <filters>
        <filter val="Week1"/>
      </filters>
    </filterColumn>
  </autoFilter>
  <sortState xmlns:xlrd2="http://schemas.microsoft.com/office/spreadsheetml/2017/richdata2" ref="A2:BG22">
    <sortCondition ref="AB1:AB43"/>
  </sortState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1" tableType="queryTable" totalsRowShown="0">
  <autoFilter ref="A1:T201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6</v>
      </c>
      <c r="D2">
        <v>800</v>
      </c>
    </row>
    <row r="3" spans="1:4" x14ac:dyDescent="0.25">
      <c r="A3" t="s">
        <v>1600</v>
      </c>
      <c r="B3" t="s">
        <v>1600</v>
      </c>
      <c r="C3">
        <v>20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10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1</v>
      </c>
      <c r="D9">
        <v>50</v>
      </c>
    </row>
    <row r="10" spans="1:4" x14ac:dyDescent="0.25">
      <c r="A10" t="s">
        <v>1814</v>
      </c>
      <c r="B10" t="s">
        <v>1814</v>
      </c>
      <c r="C10">
        <v>0</v>
      </c>
      <c r="D10">
        <v>100</v>
      </c>
    </row>
    <row r="11" spans="1:4" x14ac:dyDescent="0.25">
      <c r="A11" t="s">
        <v>1750</v>
      </c>
      <c r="B11" t="s">
        <v>1750</v>
      </c>
      <c r="C11">
        <v>1</v>
      </c>
      <c r="D11">
        <v>50</v>
      </c>
    </row>
    <row r="12" spans="1:4" x14ac:dyDescent="0.25">
      <c r="A12" t="s">
        <v>1716</v>
      </c>
      <c r="B12" t="s">
        <v>1716</v>
      </c>
      <c r="C12">
        <v>34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23</v>
      </c>
      <c r="D17">
        <v>150</v>
      </c>
    </row>
    <row r="18" spans="1:4" x14ac:dyDescent="0.25">
      <c r="A18" t="s">
        <v>1787</v>
      </c>
      <c r="B18" t="s">
        <v>1787</v>
      </c>
      <c r="C18">
        <v>0</v>
      </c>
      <c r="D18">
        <v>50</v>
      </c>
    </row>
    <row r="19" spans="1:4" x14ac:dyDescent="0.25">
      <c r="A19" t="s">
        <v>1742</v>
      </c>
      <c r="B19" t="s">
        <v>1742</v>
      </c>
      <c r="C19">
        <v>1</v>
      </c>
      <c r="D19">
        <v>50</v>
      </c>
    </row>
    <row r="20" spans="1:4" x14ac:dyDescent="0.25">
      <c r="A20" t="s">
        <v>1748</v>
      </c>
      <c r="B20" t="s">
        <v>1748</v>
      </c>
      <c r="C20">
        <v>1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0</v>
      </c>
      <c r="D23">
        <v>50</v>
      </c>
    </row>
    <row r="24" spans="1:4" x14ac:dyDescent="0.25">
      <c r="A24" t="s">
        <v>2071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45642</v>
      </c>
      <c r="D2" s="54">
        <f>C2+6</f>
        <v>45648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45649</v>
      </c>
      <c r="D3" s="54">
        <f>C3+6</f>
        <v>45655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G19" sqref="G19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1815</v>
      </c>
      <c r="B3">
        <v>4552</v>
      </c>
      <c r="C3">
        <v>154.5</v>
      </c>
      <c r="D3">
        <v>2</v>
      </c>
      <c r="E3">
        <v>309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0</v>
      </c>
    </row>
    <row r="4" spans="1:17" x14ac:dyDescent="0.25">
      <c r="A4" t="s">
        <v>1814</v>
      </c>
      <c r="B4">
        <v>4561</v>
      </c>
      <c r="C4">
        <v>309</v>
      </c>
      <c r="D4">
        <v>2</v>
      </c>
      <c r="E4">
        <v>618</v>
      </c>
      <c r="F4">
        <v>0</v>
      </c>
      <c r="G4">
        <v>1000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1000</v>
      </c>
    </row>
    <row r="5" spans="1:17" x14ac:dyDescent="0.25">
      <c r="A5" t="s">
        <v>1814</v>
      </c>
      <c r="B5">
        <v>4529</v>
      </c>
      <c r="C5">
        <v>309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4530</v>
      </c>
      <c r="C6">
        <v>309</v>
      </c>
      <c r="D6">
        <v>2</v>
      </c>
      <c r="E6">
        <v>618</v>
      </c>
      <c r="F6">
        <v>0</v>
      </c>
      <c r="G6">
        <v>1000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1000</v>
      </c>
    </row>
    <row r="7" spans="1:17" x14ac:dyDescent="0.25">
      <c r="A7" t="s">
        <v>1599</v>
      </c>
      <c r="B7">
        <v>4531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4532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4533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4534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4535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4542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4547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4549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4553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1599</v>
      </c>
      <c r="B16">
        <v>4558</v>
      </c>
      <c r="C16">
        <v>309</v>
      </c>
      <c r="D16">
        <v>2</v>
      </c>
      <c r="E16">
        <v>618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1599</v>
      </c>
      <c r="B17">
        <v>4568</v>
      </c>
      <c r="C17">
        <v>309</v>
      </c>
      <c r="D17">
        <v>2</v>
      </c>
      <c r="E17">
        <v>618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0</v>
      </c>
    </row>
    <row r="18" spans="1:17" x14ac:dyDescent="0.25">
      <c r="A18" t="s">
        <v>1599</v>
      </c>
      <c r="B18">
        <v>4569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1667</v>
      </c>
      <c r="B19">
        <v>4537</v>
      </c>
      <c r="C19">
        <v>154.5</v>
      </c>
      <c r="D19">
        <v>2</v>
      </c>
      <c r="E19">
        <v>309</v>
      </c>
      <c r="F19">
        <v>0</v>
      </c>
      <c r="G19">
        <v>250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250</v>
      </c>
    </row>
    <row r="20" spans="1:17" x14ac:dyDescent="0.25">
      <c r="A20" t="s">
        <v>1812</v>
      </c>
      <c r="B20">
        <v>4567</v>
      </c>
      <c r="C20">
        <v>154.5</v>
      </c>
      <c r="D20">
        <v>2</v>
      </c>
      <c r="E20">
        <v>309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1750</v>
      </c>
      <c r="B21">
        <v>4548</v>
      </c>
      <c r="C21">
        <v>154.5</v>
      </c>
      <c r="D21">
        <v>2</v>
      </c>
      <c r="E21">
        <v>309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1666</v>
      </c>
      <c r="C22">
        <v>154.5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Q22">
        <v>0</v>
      </c>
    </row>
    <row r="23" spans="1:17" x14ac:dyDescent="0.25">
      <c r="A23" t="s">
        <v>1600</v>
      </c>
      <c r="B23">
        <v>4571</v>
      </c>
      <c r="C23">
        <v>309</v>
      </c>
      <c r="D23">
        <v>2</v>
      </c>
      <c r="E23">
        <v>618</v>
      </c>
      <c r="F23">
        <v>0</v>
      </c>
      <c r="G23">
        <v>1000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1000</v>
      </c>
    </row>
    <row r="24" spans="1:17" x14ac:dyDescent="0.25">
      <c r="A24" t="s">
        <v>1600</v>
      </c>
      <c r="B24">
        <v>4538</v>
      </c>
      <c r="C24">
        <v>309</v>
      </c>
      <c r="D24">
        <v>2</v>
      </c>
      <c r="E24">
        <v>618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1600</v>
      </c>
      <c r="B25">
        <v>4539</v>
      </c>
      <c r="C25">
        <v>309</v>
      </c>
      <c r="D25">
        <v>2</v>
      </c>
      <c r="E25">
        <v>618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P25">
        <v>0</v>
      </c>
      <c r="Q25">
        <v>0</v>
      </c>
    </row>
    <row r="26" spans="1:17" x14ac:dyDescent="0.25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1000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1000</v>
      </c>
    </row>
    <row r="33" spans="1:17" x14ac:dyDescent="0.25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309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80" zoomScaleNormal="80" workbookViewId="0">
      <pane ySplit="4" topLeftCell="A5" activePane="bottomLeft" state="frozen"/>
      <selection pane="bottomLeft" activeCell="Y11" sqref="Y11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2079</v>
      </c>
      <c r="B1" s="26"/>
      <c r="C1" s="26"/>
    </row>
    <row r="2" spans="1:20" ht="18.75" x14ac:dyDescent="0.3">
      <c r="A2" s="25"/>
      <c r="B2" s="26"/>
      <c r="C2" s="26"/>
      <c r="D2" s="90" t="s">
        <v>68</v>
      </c>
      <c r="E2" s="90"/>
      <c r="F2" s="90"/>
      <c r="G2" s="90"/>
      <c r="H2" s="90"/>
      <c r="I2" s="90"/>
      <c r="J2" s="91" t="s">
        <v>69</v>
      </c>
      <c r="K2" s="91"/>
      <c r="L2" s="91"/>
      <c r="M2" s="91"/>
      <c r="N2" s="91"/>
      <c r="O2" s="91"/>
      <c r="P2" s="91"/>
    </row>
    <row r="3" spans="1:20" ht="15.75" x14ac:dyDescent="0.25">
      <c r="A3" s="25"/>
      <c r="B3" s="26"/>
      <c r="C3" s="26"/>
      <c r="D3" s="93" t="s">
        <v>70</v>
      </c>
      <c r="E3" s="93"/>
      <c r="F3" s="93" t="s">
        <v>71</v>
      </c>
      <c r="G3" s="93"/>
      <c r="H3" s="93"/>
      <c r="I3" s="93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92" t="s">
        <v>96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55321.927299999996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46287.927299999996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36767.748999999996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31441.748999999996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29396.34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1000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24070.34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1996.29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1437.29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24556.8613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22393.8613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3259.1849999999999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2950.1849999999999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3585.3249999999998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3276.3249999999998</v>
      </c>
    </row>
    <row r="14" spans="1:20" ht="15" customHeight="1" x14ac:dyDescent="0.25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6569.7224999999999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1000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4951.7224999999999</v>
      </c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3366.25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3057.25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5562.0150000000003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5253.0150000000003</v>
      </c>
    </row>
    <row r="17" spans="1:17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1537.6361999999999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1228.6361999999999</v>
      </c>
    </row>
    <row r="18" spans="1:17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2750.01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2441.0100000000002</v>
      </c>
    </row>
    <row r="19" spans="1:17" ht="15" customHeight="1" x14ac:dyDescent="0.25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3082.27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2773.27</v>
      </c>
    </row>
    <row r="20" spans="1:17" ht="15" customHeight="1" x14ac:dyDescent="0.25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1585.52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1276.52</v>
      </c>
    </row>
    <row r="21" spans="1:17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10327.615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309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9709.6149999999998</v>
      </c>
    </row>
    <row r="22" spans="1:17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4806.6100000000006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4497.6100000000006</v>
      </c>
    </row>
    <row r="23" spans="1:17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3760.8849999999998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3451.8849999999998</v>
      </c>
    </row>
    <row r="24" spans="1:17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3656.2250000000004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3347.2250000000004</v>
      </c>
    </row>
    <row r="25" spans="1:17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4079.3850000000002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3770.3850000000002</v>
      </c>
    </row>
    <row r="26" spans="1:17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2989.5374999999999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2680.5374999999999</v>
      </c>
    </row>
    <row r="27" spans="1:17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3177.6812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2868.6812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212135.04000000004</v>
      </c>
      <c r="E36" s="42">
        <f t="shared" si="5"/>
        <v>0</v>
      </c>
      <c r="F36" s="42">
        <f t="shared" si="5"/>
        <v>0</v>
      </c>
      <c r="G36" s="42">
        <f t="shared" si="5"/>
        <v>309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4250</v>
      </c>
      <c r="P36" s="42">
        <f t="shared" si="5"/>
        <v>0</v>
      </c>
      <c r="Q36" s="42">
        <f t="shared" si="5"/>
        <v>183165.04000000004</v>
      </c>
    </row>
    <row r="38" spans="4:17" ht="15" customHeight="1" x14ac:dyDescent="0.25">
      <c r="K38" s="79"/>
    </row>
    <row r="39" spans="4:17" ht="15" customHeight="1" x14ac:dyDescent="0.25">
      <c r="D39" s="43">
        <f>D36</f>
        <v>212135.04000000004</v>
      </c>
      <c r="E39" s="43">
        <f t="shared" ref="E39:Q39" si="6">E36</f>
        <v>0</v>
      </c>
      <c r="F39" s="43">
        <f t="shared" si="6"/>
        <v>0</v>
      </c>
      <c r="G39" s="43">
        <f t="shared" si="6"/>
        <v>309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4250</v>
      </c>
      <c r="P39" s="43">
        <f t="shared" si="6"/>
        <v>0</v>
      </c>
      <c r="Q39" s="43">
        <f t="shared" si="6"/>
        <v>183165.04000000004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12/16/24,  12/29/24</v>
      </c>
      <c r="F2" cm="1">
        <f t="array" ref="F2:F24">INDEX(PR!B:B,_xlfn.ANCHORARRAY($C2))</f>
        <v>1202</v>
      </c>
      <c r="H2" cm="1">
        <f t="array" ref="H2:H24">INDEX(PR!D:D,_xlfn.ANCHORARRAY($C2))</f>
        <v>55321.927299999996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12/16/24,  12/29/24</v>
      </c>
      <c r="F3">
        <v>3114</v>
      </c>
      <c r="H3">
        <v>36767.748999999996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12/16/24,  12/29/24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12/16/24,  12/29/24</v>
      </c>
      <c r="F5">
        <v>9066</v>
      </c>
      <c r="H5">
        <v>29396.34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1000</v>
      </c>
      <c r="P5">
        <v>0</v>
      </c>
    </row>
    <row r="6" spans="1:18" x14ac:dyDescent="0.25">
      <c r="C6">
        <v>10</v>
      </c>
      <c r="D6" t="str">
        <v>DIV12-PA</v>
      </c>
      <c r="E6" t="str">
        <v>12/16/24,  12/29/24</v>
      </c>
      <c r="F6">
        <v>12060</v>
      </c>
      <c r="H6">
        <v>1996.29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25">
      <c r="C7">
        <v>11</v>
      </c>
      <c r="D7" t="str">
        <v>DIV12-PA</v>
      </c>
      <c r="E7" t="str">
        <v>12/16/24,  12/29/24</v>
      </c>
      <c r="F7">
        <v>12078</v>
      </c>
      <c r="H7">
        <v>24556.8613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12/16/24,  12/29/24</v>
      </c>
      <c r="F8">
        <v>12081</v>
      </c>
      <c r="H8">
        <v>3259.1849999999999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12/16/24,  12/29/24</v>
      </c>
      <c r="F9">
        <v>12088</v>
      </c>
      <c r="H9">
        <v>3585.3249999999998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12/16/24,  12/29/24</v>
      </c>
      <c r="F10">
        <v>12101</v>
      </c>
      <c r="H10">
        <v>6569.7224999999999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1000</v>
      </c>
      <c r="P10">
        <v>0</v>
      </c>
    </row>
    <row r="11" spans="1:18" x14ac:dyDescent="0.25">
      <c r="C11">
        <v>15</v>
      </c>
      <c r="D11" t="str">
        <v>DIV12-PA</v>
      </c>
      <c r="E11" t="str">
        <v>12/16/24,  12/29/24</v>
      </c>
      <c r="F11">
        <v>12106</v>
      </c>
      <c r="H11">
        <v>3366.25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12/16/24,  12/29/24</v>
      </c>
      <c r="F12">
        <v>12114</v>
      </c>
      <c r="H12">
        <v>5562.0150000000003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12/16/24,  12/29/24</v>
      </c>
      <c r="F13">
        <v>12118</v>
      </c>
      <c r="H13">
        <v>1537.6361999999999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12/16/24,  12/29/24</v>
      </c>
      <c r="F14">
        <v>12119</v>
      </c>
      <c r="H14">
        <v>2750.01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12/16/24,  12/29/24</v>
      </c>
      <c r="F15">
        <v>12124</v>
      </c>
      <c r="H15">
        <v>3082.27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12/16/24,  12/29/24</v>
      </c>
      <c r="F16">
        <v>12138</v>
      </c>
      <c r="H16">
        <v>1585.52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12/16/24,  12/29/24</v>
      </c>
      <c r="F17">
        <v>12141</v>
      </c>
      <c r="H17">
        <v>10327.615</v>
      </c>
      <c r="I17">
        <v>0</v>
      </c>
      <c r="J17">
        <v>309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12/16/24,  12/29/24</v>
      </c>
      <c r="F18">
        <v>12145</v>
      </c>
      <c r="H18">
        <v>4806.6100000000006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12/16/24,  12/29/24</v>
      </c>
      <c r="F19">
        <v>12150</v>
      </c>
      <c r="H19">
        <v>3760.8849999999998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12/16/24,  12/29/24</v>
      </c>
      <c r="F20">
        <v>12154</v>
      </c>
      <c r="H20">
        <v>3656.2250000000004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12/16/24,  12/29/24</v>
      </c>
      <c r="F21">
        <v>12155</v>
      </c>
      <c r="H21">
        <v>4079.3850000000002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12/16/24,  12/29/24</v>
      </c>
      <c r="F22">
        <v>12157</v>
      </c>
      <c r="H22">
        <v>2989.5374999999999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12/16/24,  12/29/24</v>
      </c>
      <c r="F23">
        <v>12166</v>
      </c>
      <c r="H23">
        <v>3177.6812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12/16/24,  12/29/24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topLeftCell="N1" zoomScale="90" zoomScaleNormal="9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f>SUM($T$8,$W$6)-$Z$7</f>
        <v>9709.6149999999998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f>SUMIF(Deduction_and_other_Revenue[PARTNER],$B$2,Deduction_and_other_Revenue[Other Income])</f>
        <v>309</v>
      </c>
      <c r="Y4" s="9" t="s">
        <v>49</v>
      </c>
      <c r="Z4" s="10">
        <f>SUMIF(Deduction_and_other_Revenue[PARTNER],$B$2,Deduction_and_other_Revenue[LIFT LEASE TOTAL])</f>
        <v>927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173</v>
      </c>
      <c r="D6" s="4">
        <v>173.22</v>
      </c>
      <c r="E6" s="4">
        <v>173</v>
      </c>
      <c r="F6" s="58">
        <v>1</v>
      </c>
      <c r="G6" s="66">
        <v>3654.625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281.125</v>
      </c>
      <c r="O6" s="77">
        <v>0.84984412885348104</v>
      </c>
      <c r="P6" s="8">
        <v>281.125</v>
      </c>
      <c r="Q6" s="8">
        <v>144.33000000000001</v>
      </c>
      <c r="R6" s="8">
        <v>15.9</v>
      </c>
      <c r="S6" s="8">
        <v>0</v>
      </c>
      <c r="T6" s="8">
        <v>5501.6049999999996</v>
      </c>
      <c r="U6" s="6"/>
      <c r="V6" s="46" t="s">
        <v>55</v>
      </c>
      <c r="W6" s="47">
        <f>SUM(W3:W5)</f>
        <v>309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160</v>
      </c>
      <c r="D7" s="4">
        <v>158.84</v>
      </c>
      <c r="E7" s="4">
        <v>158.84</v>
      </c>
      <c r="F7" s="58">
        <v>1</v>
      </c>
      <c r="G7" s="66">
        <v>3355.4949999999999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258.11500000000001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f>IFERROR(SUM(Z3:Z6),0)</f>
        <v>927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333</v>
      </c>
      <c r="D8" s="21">
        <f t="shared" ref="D8:E8" si="0">SUM(D6:D7)</f>
        <v>332.06</v>
      </c>
      <c r="E8" s="21">
        <f t="shared" si="0"/>
        <v>331.84000000000003</v>
      </c>
      <c r="F8" s="67"/>
      <c r="G8" s="76">
        <f>SUM(G6:G7)</f>
        <v>7010.12</v>
      </c>
      <c r="H8" s="22">
        <f t="shared" ref="H8:M8" si="1">SUM(H6:H7)</f>
        <v>2156.96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281.125</v>
      </c>
      <c r="O8" s="78"/>
      <c r="P8" s="22">
        <f>SUM(P6:P7)</f>
        <v>539.24</v>
      </c>
      <c r="Q8" s="22">
        <f>SUM(Q6:Q7)</f>
        <v>297.07000000000005</v>
      </c>
      <c r="R8" s="22">
        <f>SUM(R6:R7)</f>
        <v>43.1</v>
      </c>
      <c r="S8" s="22">
        <f>SUM(S6:S7)</f>
        <v>0</v>
      </c>
      <c r="T8" s="22">
        <f>SUM(T6:T7)</f>
        <v>10327.615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7">_xlfn._xlws.FILTER(VDPMVReport[[Week]:[Tolls]],VDPMVReport[PARTNER NAME]=$B$2,"No Data for the Selected Partner")</f>
        <v>45642</v>
      </c>
      <c r="C12" s="6" t="str">
        <v>ABDELAZIZ</v>
      </c>
      <c r="D12" s="6" t="str">
        <v>MEHDAOUI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 cm="1">
        <f t="array" ref="V12:X13">_xlfn._xlws.FILTER(Deduction_and_other_Revenue[[ Lift Lease Rate]:[LIFT LEASE TOTAL]],Deduction_and_other_Revenue[PARTNER]=$B$2,"No Data for the Selected Partner")</f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tr">
        <v>ABDELAZIZ</v>
      </c>
      <c r="D13" s="6" t="str">
        <v>MEHDAOUI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tr">
        <v>ABDELGHANI</v>
      </c>
      <c r="D14" s="6" t="str">
        <v>TAIBAOUI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tr">
        <v>ABDELGHANI</v>
      </c>
      <c r="D15" s="6" t="str">
        <v>TAIBAOUI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tr">
        <v>ABDOUN</v>
      </c>
      <c r="D16" s="6" t="str">
        <v>ALI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tr">
        <v>ABDOUN</v>
      </c>
      <c r="D17" s="6" t="str">
        <v>ALI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4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topLeftCell="P1" workbookViewId="0">
      <selection activeCell="Y12" sqref="A2:AH174"/>
    </sheetView>
  </sheetViews>
  <sheetFormatPr defaultRowHeight="15" x14ac:dyDescent="0.25"/>
  <cols>
    <col min="1" max="1" width="10.7109375" bestFit="1" customWidth="1"/>
    <col min="2" max="2" width="15" hidden="1" customWidth="1"/>
    <col min="3" max="3" width="19.42578125" hidden="1" customWidth="1"/>
    <col min="4" max="4" width="18.140625" hidden="1" customWidth="1"/>
    <col min="5" max="5" width="18" bestFit="1" customWidth="1"/>
    <col min="6" max="6" width="18.85546875" bestFit="1" customWidth="1"/>
    <col min="7" max="7" width="20" hidden="1" customWidth="1"/>
    <col min="8" max="8" width="15.42578125" hidden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45642</v>
      </c>
      <c r="B2" t="s">
        <v>1828</v>
      </c>
      <c r="C2" t="s">
        <v>1829</v>
      </c>
      <c r="D2">
        <v>67</v>
      </c>
      <c r="E2">
        <v>0.96153846153846156</v>
      </c>
      <c r="F2">
        <v>1.3333333333333334E-2</v>
      </c>
      <c r="G2">
        <v>41.72</v>
      </c>
      <c r="H2">
        <v>0</v>
      </c>
      <c r="I2">
        <v>41.72</v>
      </c>
      <c r="J2">
        <v>817.16</v>
      </c>
      <c r="K2">
        <v>46.38</v>
      </c>
      <c r="L2">
        <v>0</v>
      </c>
      <c r="M2" t="s">
        <v>1830</v>
      </c>
      <c r="N2">
        <v>16</v>
      </c>
      <c r="O2">
        <v>51</v>
      </c>
      <c r="P2">
        <v>37.700000000000003</v>
      </c>
      <c r="Q2">
        <v>0</v>
      </c>
      <c r="R2">
        <v>4.0199999999999996</v>
      </c>
      <c r="S2">
        <v>21.59</v>
      </c>
      <c r="T2">
        <v>19.100000000000001</v>
      </c>
      <c r="U2">
        <v>1.61</v>
      </c>
      <c r="V2">
        <v>75</v>
      </c>
      <c r="W2">
        <v>3</v>
      </c>
      <c r="X2">
        <v>1</v>
      </c>
      <c r="Y2">
        <v>41.72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41.72</v>
      </c>
      <c r="AF2" t="s">
        <v>1725</v>
      </c>
      <c r="AG2" t="s">
        <v>1601</v>
      </c>
      <c r="AH2">
        <v>0.7</v>
      </c>
    </row>
    <row r="3" spans="1:34" x14ac:dyDescent="0.25">
      <c r="A3" s="2">
        <v>45642</v>
      </c>
      <c r="B3" t="s">
        <v>1907</v>
      </c>
      <c r="C3" t="s">
        <v>1908</v>
      </c>
      <c r="D3">
        <v>43</v>
      </c>
      <c r="E3">
        <v>1</v>
      </c>
      <c r="F3">
        <v>0</v>
      </c>
      <c r="G3">
        <v>34.65</v>
      </c>
      <c r="H3">
        <v>2.59</v>
      </c>
      <c r="I3">
        <v>32.06</v>
      </c>
      <c r="J3">
        <v>608.04</v>
      </c>
      <c r="K3">
        <v>28</v>
      </c>
      <c r="L3">
        <v>21.5</v>
      </c>
      <c r="M3" t="s">
        <v>1909</v>
      </c>
      <c r="N3">
        <v>5</v>
      </c>
      <c r="O3">
        <v>38</v>
      </c>
      <c r="P3">
        <v>29.8</v>
      </c>
      <c r="Q3">
        <v>0</v>
      </c>
      <c r="R3">
        <v>2.2599999999999998</v>
      </c>
      <c r="S3">
        <v>8.51</v>
      </c>
      <c r="T3">
        <v>7.52</v>
      </c>
      <c r="U3">
        <v>1.24</v>
      </c>
      <c r="V3">
        <v>63</v>
      </c>
      <c r="W3">
        <v>0</v>
      </c>
      <c r="X3">
        <v>0</v>
      </c>
      <c r="Y3">
        <v>32.06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32.06</v>
      </c>
      <c r="AF3" t="s">
        <v>1709</v>
      </c>
      <c r="AG3" t="s">
        <v>1601</v>
      </c>
      <c r="AH3">
        <v>0.7</v>
      </c>
    </row>
    <row r="4" spans="1:34" x14ac:dyDescent="0.25">
      <c r="A4" s="2">
        <v>45649</v>
      </c>
      <c r="B4" t="s">
        <v>1828</v>
      </c>
      <c r="C4" t="s">
        <v>1829</v>
      </c>
      <c r="D4">
        <v>27</v>
      </c>
      <c r="E4">
        <v>0.97222222222222221</v>
      </c>
      <c r="F4">
        <v>0</v>
      </c>
      <c r="G4">
        <v>16.68</v>
      </c>
      <c r="H4">
        <v>1.41</v>
      </c>
      <c r="I4">
        <v>15.27</v>
      </c>
      <c r="J4">
        <v>302.57</v>
      </c>
      <c r="K4">
        <v>32.9</v>
      </c>
      <c r="L4">
        <v>9.5</v>
      </c>
      <c r="M4" t="s">
        <v>1830</v>
      </c>
      <c r="N4">
        <v>0</v>
      </c>
      <c r="O4">
        <v>27</v>
      </c>
      <c r="P4">
        <v>12.54</v>
      </c>
      <c r="Q4">
        <v>0</v>
      </c>
      <c r="R4">
        <v>2.73</v>
      </c>
      <c r="S4">
        <v>7.22</v>
      </c>
      <c r="T4">
        <v>4.53</v>
      </c>
      <c r="U4">
        <v>1.62</v>
      </c>
      <c r="V4">
        <v>35</v>
      </c>
      <c r="W4">
        <v>1</v>
      </c>
      <c r="X4">
        <v>0</v>
      </c>
      <c r="Y4">
        <v>15.27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15.27</v>
      </c>
      <c r="AF4" t="s">
        <v>1725</v>
      </c>
      <c r="AG4" t="s">
        <v>1601</v>
      </c>
      <c r="AH4">
        <v>0.7</v>
      </c>
    </row>
    <row r="5" spans="1:34" x14ac:dyDescent="0.25">
      <c r="A5" s="2">
        <v>45649</v>
      </c>
      <c r="B5" t="s">
        <v>1907</v>
      </c>
      <c r="C5" t="s">
        <v>1908</v>
      </c>
      <c r="D5">
        <v>35</v>
      </c>
      <c r="E5">
        <v>1</v>
      </c>
      <c r="F5">
        <v>0</v>
      </c>
      <c r="G5">
        <v>36.26</v>
      </c>
      <c r="H5">
        <v>7.97</v>
      </c>
      <c r="I5">
        <v>28.29</v>
      </c>
      <c r="J5">
        <v>542.97</v>
      </c>
      <c r="K5">
        <v>60.26</v>
      </c>
      <c r="L5">
        <v>12</v>
      </c>
      <c r="M5" t="s">
        <v>1909</v>
      </c>
      <c r="N5">
        <v>4</v>
      </c>
      <c r="O5">
        <v>31</v>
      </c>
      <c r="P5">
        <v>25.15</v>
      </c>
      <c r="Q5">
        <v>0</v>
      </c>
      <c r="R5">
        <v>3.14</v>
      </c>
      <c r="S5">
        <v>8.89</v>
      </c>
      <c r="T5">
        <v>6.63</v>
      </c>
      <c r="U5">
        <v>0.97</v>
      </c>
      <c r="V5">
        <v>36</v>
      </c>
      <c r="W5">
        <v>0</v>
      </c>
      <c r="X5">
        <v>0</v>
      </c>
      <c r="Y5">
        <v>28.29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28.29</v>
      </c>
      <c r="AF5" t="s">
        <v>1709</v>
      </c>
      <c r="AG5" t="s">
        <v>1601</v>
      </c>
      <c r="AH5">
        <v>0.7</v>
      </c>
    </row>
    <row r="6" spans="1:34" x14ac:dyDescent="0.25">
      <c r="A6" s="2">
        <v>45642</v>
      </c>
      <c r="B6" t="s">
        <v>2001</v>
      </c>
      <c r="C6" t="s">
        <v>2002</v>
      </c>
      <c r="D6">
        <v>115</v>
      </c>
      <c r="E6">
        <v>1</v>
      </c>
      <c r="F6">
        <v>7.1942446043165471E-3</v>
      </c>
      <c r="G6">
        <v>64.88</v>
      </c>
      <c r="H6">
        <v>3.62</v>
      </c>
      <c r="I6">
        <v>61.26</v>
      </c>
      <c r="J6">
        <v>1436.22</v>
      </c>
      <c r="K6">
        <v>83.11</v>
      </c>
      <c r="L6">
        <v>15.6</v>
      </c>
      <c r="M6" t="s">
        <v>1834</v>
      </c>
      <c r="N6">
        <v>5</v>
      </c>
      <c r="O6">
        <v>110</v>
      </c>
      <c r="P6">
        <v>57.7</v>
      </c>
      <c r="Q6">
        <v>0</v>
      </c>
      <c r="R6">
        <v>3.56</v>
      </c>
      <c r="S6">
        <v>6.98</v>
      </c>
      <c r="T6">
        <v>6.77</v>
      </c>
      <c r="U6">
        <v>1.77</v>
      </c>
      <c r="V6">
        <v>139</v>
      </c>
      <c r="W6">
        <v>0</v>
      </c>
      <c r="X6">
        <v>1</v>
      </c>
      <c r="Y6">
        <v>61.26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61.26</v>
      </c>
      <c r="AF6" t="s">
        <v>1732</v>
      </c>
      <c r="AG6" t="s">
        <v>1600</v>
      </c>
      <c r="AH6">
        <v>0.7</v>
      </c>
    </row>
    <row r="7" spans="1:34" x14ac:dyDescent="0.25">
      <c r="A7" s="2">
        <v>45642</v>
      </c>
      <c r="B7" t="s">
        <v>1852</v>
      </c>
      <c r="C7" t="s">
        <v>1853</v>
      </c>
      <c r="D7">
        <v>30</v>
      </c>
      <c r="E7">
        <v>1</v>
      </c>
      <c r="F7">
        <v>0</v>
      </c>
      <c r="G7">
        <v>14.46</v>
      </c>
      <c r="H7">
        <v>0.01</v>
      </c>
      <c r="I7">
        <v>14.450000000000001</v>
      </c>
      <c r="J7">
        <v>335.19</v>
      </c>
      <c r="K7">
        <v>0</v>
      </c>
      <c r="L7">
        <v>6.5</v>
      </c>
      <c r="M7" t="s">
        <v>1854</v>
      </c>
      <c r="N7">
        <v>2</v>
      </c>
      <c r="O7">
        <v>28</v>
      </c>
      <c r="P7">
        <v>14.16</v>
      </c>
      <c r="Q7">
        <v>0</v>
      </c>
      <c r="R7">
        <v>0.28999999999999998</v>
      </c>
      <c r="S7">
        <v>0</v>
      </c>
      <c r="T7">
        <v>0</v>
      </c>
      <c r="U7">
        <v>2.0699999999999998</v>
      </c>
      <c r="V7">
        <v>42</v>
      </c>
      <c r="W7">
        <v>0</v>
      </c>
      <c r="X7">
        <v>0</v>
      </c>
      <c r="Y7">
        <v>14.450000000000001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14.450000000000001</v>
      </c>
      <c r="AF7" t="s">
        <v>1718</v>
      </c>
      <c r="AG7" t="s">
        <v>1599</v>
      </c>
      <c r="AH7">
        <v>0.7</v>
      </c>
    </row>
    <row r="8" spans="1:34" x14ac:dyDescent="0.25">
      <c r="A8" s="2">
        <v>45649</v>
      </c>
      <c r="B8" t="s">
        <v>2001</v>
      </c>
      <c r="C8" t="s">
        <v>2002</v>
      </c>
      <c r="D8">
        <v>92</v>
      </c>
      <c r="E8">
        <v>1</v>
      </c>
      <c r="F8">
        <v>0.01</v>
      </c>
      <c r="G8">
        <v>44.08</v>
      </c>
      <c r="H8">
        <v>0</v>
      </c>
      <c r="I8">
        <v>44.08</v>
      </c>
      <c r="J8">
        <v>1015.77</v>
      </c>
      <c r="K8">
        <v>95.04</v>
      </c>
      <c r="L8">
        <v>0</v>
      </c>
      <c r="M8" t="s">
        <v>1834</v>
      </c>
      <c r="N8">
        <v>4</v>
      </c>
      <c r="O8">
        <v>88</v>
      </c>
      <c r="P8">
        <v>40.53</v>
      </c>
      <c r="Q8">
        <v>0</v>
      </c>
      <c r="R8">
        <v>3.55</v>
      </c>
      <c r="S8">
        <v>7.33</v>
      </c>
      <c r="T8">
        <v>6.48</v>
      </c>
      <c r="U8">
        <v>2.09</v>
      </c>
      <c r="V8">
        <v>100</v>
      </c>
      <c r="W8">
        <v>0</v>
      </c>
      <c r="X8">
        <v>1</v>
      </c>
      <c r="Y8">
        <v>44.08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44.08</v>
      </c>
      <c r="AF8" t="s">
        <v>1732</v>
      </c>
      <c r="AG8" t="s">
        <v>1600</v>
      </c>
      <c r="AH8">
        <v>0.7</v>
      </c>
    </row>
    <row r="9" spans="1:34" x14ac:dyDescent="0.25">
      <c r="A9" s="2">
        <v>45642</v>
      </c>
      <c r="B9" t="s">
        <v>1883</v>
      </c>
      <c r="C9" t="s">
        <v>1884</v>
      </c>
      <c r="D9">
        <v>68</v>
      </c>
      <c r="E9">
        <v>0.99038461538461542</v>
      </c>
      <c r="F9">
        <v>4.8543689320388349E-2</v>
      </c>
      <c r="G9">
        <v>45.64</v>
      </c>
      <c r="H9">
        <v>1.04</v>
      </c>
      <c r="I9">
        <v>44.6</v>
      </c>
      <c r="J9">
        <v>822.73</v>
      </c>
      <c r="K9">
        <v>34.299999999999997</v>
      </c>
      <c r="L9">
        <v>7.6</v>
      </c>
      <c r="M9" t="s">
        <v>1885</v>
      </c>
      <c r="N9">
        <v>8</v>
      </c>
      <c r="O9">
        <v>60</v>
      </c>
      <c r="P9">
        <v>39.67</v>
      </c>
      <c r="Q9">
        <v>0</v>
      </c>
      <c r="R9">
        <v>4.92</v>
      </c>
      <c r="S9">
        <v>6.81</v>
      </c>
      <c r="T9">
        <v>6.25</v>
      </c>
      <c r="U9">
        <v>1.49</v>
      </c>
      <c r="V9">
        <v>103</v>
      </c>
      <c r="W9">
        <v>1</v>
      </c>
      <c r="X9">
        <v>5</v>
      </c>
      <c r="Y9">
        <v>0</v>
      </c>
      <c r="Z9">
        <v>0</v>
      </c>
      <c r="AA9" t="s">
        <v>114</v>
      </c>
      <c r="AB9">
        <v>44.6</v>
      </c>
      <c r="AC9">
        <v>0.1</v>
      </c>
      <c r="AD9">
        <v>0.05</v>
      </c>
      <c r="AE9">
        <v>0</v>
      </c>
      <c r="AF9" t="s">
        <v>1680</v>
      </c>
      <c r="AG9" t="s">
        <v>1600</v>
      </c>
      <c r="AH9">
        <v>0.7</v>
      </c>
    </row>
    <row r="10" spans="1:34" x14ac:dyDescent="0.25">
      <c r="A10" s="2">
        <v>45642</v>
      </c>
      <c r="B10" t="s">
        <v>2120</v>
      </c>
      <c r="C10" t="s">
        <v>2013</v>
      </c>
      <c r="D10">
        <v>0</v>
      </c>
      <c r="E10">
        <v>0.66666666666666663</v>
      </c>
      <c r="F10">
        <v>0.5</v>
      </c>
      <c r="G10">
        <v>0.3</v>
      </c>
      <c r="H10">
        <v>0.1</v>
      </c>
      <c r="I10">
        <v>0.19999999999999998</v>
      </c>
      <c r="J10">
        <v>0</v>
      </c>
      <c r="K10">
        <v>0</v>
      </c>
      <c r="L10">
        <v>0</v>
      </c>
      <c r="M10" t="s">
        <v>2121</v>
      </c>
      <c r="N10">
        <v>0</v>
      </c>
      <c r="O10">
        <v>0</v>
      </c>
      <c r="P10">
        <v>0.09</v>
      </c>
      <c r="Q10">
        <v>1</v>
      </c>
      <c r="R10">
        <v>0.11</v>
      </c>
      <c r="S10">
        <v>0.3</v>
      </c>
      <c r="T10">
        <v>0.09</v>
      </c>
      <c r="U10">
        <v>0</v>
      </c>
      <c r="V10">
        <v>2</v>
      </c>
      <c r="W10">
        <v>0</v>
      </c>
      <c r="X10">
        <v>1</v>
      </c>
      <c r="Y10">
        <v>0</v>
      </c>
      <c r="Z10">
        <v>0</v>
      </c>
      <c r="AA10" t="s">
        <v>114</v>
      </c>
      <c r="AB10">
        <v>0.19999999999999998</v>
      </c>
      <c r="AC10">
        <v>0.1</v>
      </c>
      <c r="AD10">
        <v>0.05</v>
      </c>
      <c r="AE10">
        <v>0</v>
      </c>
      <c r="AF10" t="s">
        <v>2019</v>
      </c>
      <c r="AG10" t="s">
        <v>1599</v>
      </c>
      <c r="AH10">
        <v>0.7</v>
      </c>
    </row>
    <row r="11" spans="1:34" x14ac:dyDescent="0.25">
      <c r="A11" s="2">
        <v>45649</v>
      </c>
      <c r="B11" t="s">
        <v>1883</v>
      </c>
      <c r="C11" t="s">
        <v>1884</v>
      </c>
      <c r="D11">
        <v>88</v>
      </c>
      <c r="E11">
        <v>0.97560975609756095</v>
      </c>
      <c r="F11">
        <v>3.3333333333333333E-2</v>
      </c>
      <c r="G11">
        <v>49.09</v>
      </c>
      <c r="H11">
        <v>0</v>
      </c>
      <c r="I11">
        <v>49.09</v>
      </c>
      <c r="J11">
        <v>869.89</v>
      </c>
      <c r="K11">
        <v>46.78</v>
      </c>
      <c r="L11">
        <v>12</v>
      </c>
      <c r="M11" t="s">
        <v>1885</v>
      </c>
      <c r="N11">
        <v>8</v>
      </c>
      <c r="O11">
        <v>80</v>
      </c>
      <c r="P11">
        <v>44.38</v>
      </c>
      <c r="Q11">
        <v>0</v>
      </c>
      <c r="R11">
        <v>4.71</v>
      </c>
      <c r="S11">
        <v>5.95</v>
      </c>
      <c r="T11">
        <v>5.17</v>
      </c>
      <c r="U11">
        <v>1.79</v>
      </c>
      <c r="V11">
        <v>120</v>
      </c>
      <c r="W11">
        <v>3</v>
      </c>
      <c r="X11">
        <v>4</v>
      </c>
      <c r="Y11">
        <v>49.09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49.09</v>
      </c>
      <c r="AF11" t="s">
        <v>1680</v>
      </c>
      <c r="AG11" t="s">
        <v>1600</v>
      </c>
      <c r="AH11">
        <v>0.7</v>
      </c>
    </row>
    <row r="12" spans="1:34" x14ac:dyDescent="0.25">
      <c r="A12" s="2">
        <v>45642</v>
      </c>
      <c r="B12" t="s">
        <v>1831</v>
      </c>
      <c r="C12" t="s">
        <v>1832</v>
      </c>
      <c r="D12">
        <v>34</v>
      </c>
      <c r="E12">
        <v>0.95121951219512191</v>
      </c>
      <c r="F12">
        <v>7.6923076923076927E-2</v>
      </c>
      <c r="G12">
        <v>18.989999999999998</v>
      </c>
      <c r="H12">
        <v>0</v>
      </c>
      <c r="I12">
        <v>18.989999999999998</v>
      </c>
      <c r="J12">
        <v>381.43</v>
      </c>
      <c r="K12">
        <v>50.69</v>
      </c>
      <c r="L12">
        <v>0</v>
      </c>
      <c r="M12" t="s">
        <v>1833</v>
      </c>
      <c r="N12">
        <v>4</v>
      </c>
      <c r="O12">
        <v>30</v>
      </c>
      <c r="P12">
        <v>16.059999999999999</v>
      </c>
      <c r="Q12">
        <v>0</v>
      </c>
      <c r="R12">
        <v>2.93</v>
      </c>
      <c r="S12">
        <v>6.04</v>
      </c>
      <c r="T12">
        <v>5.24</v>
      </c>
      <c r="U12">
        <v>1.79</v>
      </c>
      <c r="V12">
        <v>39</v>
      </c>
      <c r="W12">
        <v>2</v>
      </c>
      <c r="X12">
        <v>3</v>
      </c>
      <c r="Y12">
        <v>0</v>
      </c>
      <c r="Z12">
        <v>0</v>
      </c>
      <c r="AA12" t="s">
        <v>114</v>
      </c>
      <c r="AB12">
        <v>18.989999999999998</v>
      </c>
      <c r="AC12">
        <v>0.1</v>
      </c>
      <c r="AD12">
        <v>0.05</v>
      </c>
      <c r="AE12">
        <v>0</v>
      </c>
      <c r="AF12" t="s">
        <v>1613</v>
      </c>
      <c r="AG12" t="s">
        <v>1599</v>
      </c>
      <c r="AH12">
        <v>0.7</v>
      </c>
    </row>
    <row r="13" spans="1:34" x14ac:dyDescent="0.25">
      <c r="A13" s="2">
        <v>45649</v>
      </c>
      <c r="B13" t="s">
        <v>1845</v>
      </c>
      <c r="C13" t="s">
        <v>1846</v>
      </c>
      <c r="D13">
        <v>64</v>
      </c>
      <c r="E13">
        <v>1</v>
      </c>
      <c r="F13">
        <v>1.4492753623188406E-2</v>
      </c>
      <c r="G13">
        <v>29.68</v>
      </c>
      <c r="H13">
        <v>0.68</v>
      </c>
      <c r="I13">
        <v>29</v>
      </c>
      <c r="J13">
        <v>745.1</v>
      </c>
      <c r="K13">
        <v>22</v>
      </c>
      <c r="L13">
        <v>7.5</v>
      </c>
      <c r="M13" t="s">
        <v>1847</v>
      </c>
      <c r="N13">
        <v>7</v>
      </c>
      <c r="O13">
        <v>57</v>
      </c>
      <c r="P13">
        <v>27.75</v>
      </c>
      <c r="Q13">
        <v>0</v>
      </c>
      <c r="R13">
        <v>1.25</v>
      </c>
      <c r="S13">
        <v>3.39</v>
      </c>
      <c r="T13">
        <v>3.2</v>
      </c>
      <c r="U13">
        <v>2.16</v>
      </c>
      <c r="V13">
        <v>69</v>
      </c>
      <c r="W13">
        <v>0</v>
      </c>
      <c r="X13">
        <v>1</v>
      </c>
      <c r="Y13">
        <v>29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</v>
      </c>
      <c r="AF13" t="s">
        <v>1615</v>
      </c>
      <c r="AG13" t="s">
        <v>1599</v>
      </c>
      <c r="AH13">
        <v>0.7</v>
      </c>
    </row>
    <row r="14" spans="1:34" x14ac:dyDescent="0.25">
      <c r="A14" s="2">
        <v>45649</v>
      </c>
      <c r="B14" t="s">
        <v>1831</v>
      </c>
      <c r="C14" t="s">
        <v>1832</v>
      </c>
      <c r="D14">
        <v>20</v>
      </c>
      <c r="E14">
        <v>0.82608695652173914</v>
      </c>
      <c r="F14">
        <v>0</v>
      </c>
      <c r="G14">
        <v>10.06</v>
      </c>
      <c r="H14">
        <v>0</v>
      </c>
      <c r="I14">
        <v>10.06</v>
      </c>
      <c r="J14">
        <v>240.65</v>
      </c>
      <c r="K14">
        <v>9.09</v>
      </c>
      <c r="L14">
        <v>0</v>
      </c>
      <c r="M14" t="s">
        <v>1833</v>
      </c>
      <c r="N14">
        <v>3</v>
      </c>
      <c r="O14">
        <v>17</v>
      </c>
      <c r="P14">
        <v>9.56</v>
      </c>
      <c r="Q14">
        <v>0</v>
      </c>
      <c r="R14">
        <v>0.5</v>
      </c>
      <c r="S14">
        <v>0</v>
      </c>
      <c r="T14">
        <v>0</v>
      </c>
      <c r="U14">
        <v>1.99</v>
      </c>
      <c r="V14">
        <v>19</v>
      </c>
      <c r="W14">
        <v>4</v>
      </c>
      <c r="X14">
        <v>0</v>
      </c>
      <c r="Y14">
        <v>0</v>
      </c>
      <c r="Z14">
        <v>0</v>
      </c>
      <c r="AA14" t="s">
        <v>115</v>
      </c>
      <c r="AB14">
        <v>10.06</v>
      </c>
      <c r="AC14">
        <v>0.1</v>
      </c>
      <c r="AD14">
        <v>0.05</v>
      </c>
      <c r="AE14">
        <v>0</v>
      </c>
      <c r="AF14" t="s">
        <v>1613</v>
      </c>
      <c r="AG14" t="s">
        <v>1599</v>
      </c>
      <c r="AH14">
        <v>0.7</v>
      </c>
    </row>
    <row r="15" spans="1:34" x14ac:dyDescent="0.25">
      <c r="A15" s="2">
        <v>45642</v>
      </c>
      <c r="B15" t="s">
        <v>1858</v>
      </c>
      <c r="C15" t="s">
        <v>1859</v>
      </c>
      <c r="D15">
        <v>52</v>
      </c>
      <c r="E15">
        <v>1</v>
      </c>
      <c r="F15">
        <v>4.6728971962616821E-2</v>
      </c>
      <c r="G15">
        <v>43.23</v>
      </c>
      <c r="H15">
        <v>0.73</v>
      </c>
      <c r="I15">
        <v>42.5</v>
      </c>
      <c r="J15">
        <v>530.22</v>
      </c>
      <c r="K15">
        <v>14</v>
      </c>
      <c r="L15">
        <v>6</v>
      </c>
      <c r="M15" t="s">
        <v>1860</v>
      </c>
      <c r="N15">
        <v>10</v>
      </c>
      <c r="O15">
        <v>42</v>
      </c>
      <c r="P15">
        <v>40.1</v>
      </c>
      <c r="Q15">
        <v>0</v>
      </c>
      <c r="R15">
        <v>2.4</v>
      </c>
      <c r="S15">
        <v>6.48</v>
      </c>
      <c r="T15">
        <v>6.18</v>
      </c>
      <c r="U15">
        <v>1.2</v>
      </c>
      <c r="V15">
        <v>107</v>
      </c>
      <c r="W15">
        <v>0</v>
      </c>
      <c r="X15">
        <v>5</v>
      </c>
      <c r="Y15">
        <v>0</v>
      </c>
      <c r="Z15">
        <v>0</v>
      </c>
      <c r="AA15" t="s">
        <v>114</v>
      </c>
      <c r="AB15">
        <v>42.5</v>
      </c>
      <c r="AC15">
        <v>0.1</v>
      </c>
      <c r="AD15">
        <v>0.05</v>
      </c>
      <c r="AE15">
        <v>0</v>
      </c>
      <c r="AF15" t="s">
        <v>1619</v>
      </c>
      <c r="AG15" t="s">
        <v>1599</v>
      </c>
      <c r="AH15">
        <v>0.7</v>
      </c>
    </row>
    <row r="16" spans="1:34" x14ac:dyDescent="0.25">
      <c r="A16" s="2">
        <v>45642</v>
      </c>
      <c r="B16" t="s">
        <v>1835</v>
      </c>
      <c r="C16" t="s">
        <v>1836</v>
      </c>
      <c r="D16">
        <v>59</v>
      </c>
      <c r="E16">
        <v>0.96052631578947367</v>
      </c>
      <c r="F16">
        <v>6.8493150684931503E-2</v>
      </c>
      <c r="G16">
        <v>40.49</v>
      </c>
      <c r="H16">
        <v>0</v>
      </c>
      <c r="I16">
        <v>40.49</v>
      </c>
      <c r="J16">
        <v>761.02</v>
      </c>
      <c r="K16">
        <v>40.32</v>
      </c>
      <c r="L16">
        <v>1.9</v>
      </c>
      <c r="M16" t="s">
        <v>1837</v>
      </c>
      <c r="N16">
        <v>27</v>
      </c>
      <c r="O16">
        <v>32</v>
      </c>
      <c r="P16">
        <v>35.700000000000003</v>
      </c>
      <c r="Q16">
        <v>0</v>
      </c>
      <c r="R16">
        <v>4.79</v>
      </c>
      <c r="S16">
        <v>30.28</v>
      </c>
      <c r="T16">
        <v>28.65</v>
      </c>
      <c r="U16">
        <v>1.46</v>
      </c>
      <c r="V16">
        <v>73</v>
      </c>
      <c r="W16">
        <v>3</v>
      </c>
      <c r="X16">
        <v>5</v>
      </c>
      <c r="Y16">
        <v>0</v>
      </c>
      <c r="Z16">
        <v>0</v>
      </c>
      <c r="AA16" t="s">
        <v>114</v>
      </c>
      <c r="AB16">
        <v>40.49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25">
      <c r="A17" s="2">
        <v>45649</v>
      </c>
      <c r="B17" t="s">
        <v>1858</v>
      </c>
      <c r="C17" t="s">
        <v>1859</v>
      </c>
      <c r="D17">
        <v>46</v>
      </c>
      <c r="E17">
        <v>1</v>
      </c>
      <c r="F17">
        <v>4.4642857142857144E-2</v>
      </c>
      <c r="G17">
        <v>40.4</v>
      </c>
      <c r="H17">
        <v>0.49</v>
      </c>
      <c r="I17">
        <v>39.909999999999997</v>
      </c>
      <c r="J17">
        <v>537.88</v>
      </c>
      <c r="K17">
        <v>10.99</v>
      </c>
      <c r="L17">
        <v>12</v>
      </c>
      <c r="M17" t="s">
        <v>1860</v>
      </c>
      <c r="N17">
        <v>6</v>
      </c>
      <c r="O17">
        <v>40</v>
      </c>
      <c r="P17">
        <v>38.51</v>
      </c>
      <c r="Q17">
        <v>0</v>
      </c>
      <c r="R17">
        <v>1.4</v>
      </c>
      <c r="S17">
        <v>3.76</v>
      </c>
      <c r="T17">
        <v>3.59</v>
      </c>
      <c r="U17">
        <v>1.1399999999999999</v>
      </c>
      <c r="V17">
        <v>112</v>
      </c>
      <c r="W17">
        <v>0</v>
      </c>
      <c r="X17">
        <v>5</v>
      </c>
      <c r="Y17">
        <v>0</v>
      </c>
      <c r="Z17">
        <v>0</v>
      </c>
      <c r="AA17" t="s">
        <v>115</v>
      </c>
      <c r="AB17">
        <v>39.909999999999997</v>
      </c>
      <c r="AC17">
        <v>0.1</v>
      </c>
      <c r="AD17">
        <v>0.05</v>
      </c>
      <c r="AE17">
        <v>0</v>
      </c>
      <c r="AF17" t="s">
        <v>1619</v>
      </c>
      <c r="AG17" t="s">
        <v>1599</v>
      </c>
      <c r="AH17">
        <v>0.7</v>
      </c>
    </row>
    <row r="18" spans="1:34" x14ac:dyDescent="0.25">
      <c r="A18" s="2">
        <v>45649</v>
      </c>
      <c r="B18" t="s">
        <v>1835</v>
      </c>
      <c r="C18" t="s">
        <v>1836</v>
      </c>
      <c r="D18">
        <v>43</v>
      </c>
      <c r="E18">
        <v>0.92307692307692313</v>
      </c>
      <c r="F18">
        <v>6.25E-2</v>
      </c>
      <c r="G18">
        <v>32.79</v>
      </c>
      <c r="H18">
        <v>0.28999999999999998</v>
      </c>
      <c r="I18">
        <v>32.5</v>
      </c>
      <c r="J18">
        <v>562.66</v>
      </c>
      <c r="K18">
        <v>51.76</v>
      </c>
      <c r="L18">
        <v>0</v>
      </c>
      <c r="M18" t="s">
        <v>1837</v>
      </c>
      <c r="N18">
        <v>9</v>
      </c>
      <c r="O18">
        <v>34</v>
      </c>
      <c r="P18">
        <v>22.79</v>
      </c>
      <c r="Q18">
        <v>1</v>
      </c>
      <c r="R18">
        <v>9.6999999999999993</v>
      </c>
      <c r="S18">
        <v>17.52</v>
      </c>
      <c r="T18">
        <v>16</v>
      </c>
      <c r="U18">
        <v>1.31</v>
      </c>
      <c r="V18">
        <v>48</v>
      </c>
      <c r="W18">
        <v>3</v>
      </c>
      <c r="X18">
        <v>3</v>
      </c>
      <c r="Y18">
        <v>0</v>
      </c>
      <c r="Z18">
        <v>0</v>
      </c>
      <c r="AA18" t="s">
        <v>115</v>
      </c>
      <c r="AB18">
        <v>32.5</v>
      </c>
      <c r="AC18">
        <v>0.1</v>
      </c>
      <c r="AD18">
        <v>0.05</v>
      </c>
      <c r="AE18">
        <v>0</v>
      </c>
      <c r="AF18" t="s">
        <v>1662</v>
      </c>
      <c r="AG18" t="s">
        <v>1601</v>
      </c>
      <c r="AH18">
        <v>0.7</v>
      </c>
    </row>
    <row r="19" spans="1:34" x14ac:dyDescent="0.25">
      <c r="A19" s="2">
        <v>45642</v>
      </c>
      <c r="B19" t="s">
        <v>2003</v>
      </c>
      <c r="C19" t="s">
        <v>2004</v>
      </c>
      <c r="D19">
        <v>74</v>
      </c>
      <c r="E19">
        <v>1</v>
      </c>
      <c r="F19">
        <v>0</v>
      </c>
      <c r="G19">
        <v>50.92</v>
      </c>
      <c r="H19">
        <v>0</v>
      </c>
      <c r="I19">
        <v>50.92</v>
      </c>
      <c r="J19">
        <v>897.86</v>
      </c>
      <c r="K19">
        <v>43.56</v>
      </c>
      <c r="L19">
        <v>0</v>
      </c>
      <c r="M19" t="s">
        <v>1841</v>
      </c>
      <c r="N19">
        <v>12</v>
      </c>
      <c r="O19">
        <v>62</v>
      </c>
      <c r="P19">
        <v>38.18</v>
      </c>
      <c r="Q19">
        <v>0</v>
      </c>
      <c r="R19">
        <v>12.74</v>
      </c>
      <c r="S19">
        <v>19.13</v>
      </c>
      <c r="T19">
        <v>13.7</v>
      </c>
      <c r="U19">
        <v>1.45</v>
      </c>
      <c r="V19">
        <v>71</v>
      </c>
      <c r="W19">
        <v>0</v>
      </c>
      <c r="X19">
        <v>0</v>
      </c>
      <c r="Y19">
        <v>50.92</v>
      </c>
      <c r="Z19">
        <v>0</v>
      </c>
      <c r="AA19" t="s">
        <v>114</v>
      </c>
      <c r="AB19">
        <v>0</v>
      </c>
      <c r="AC19">
        <v>0.1</v>
      </c>
      <c r="AD19">
        <v>0.05</v>
      </c>
      <c r="AE19">
        <v>50.92</v>
      </c>
      <c r="AF19" t="s">
        <v>1694</v>
      </c>
      <c r="AG19" t="s">
        <v>1748</v>
      </c>
      <c r="AH19">
        <v>0.7</v>
      </c>
    </row>
    <row r="20" spans="1:34" x14ac:dyDescent="0.25">
      <c r="A20" s="2">
        <v>45642</v>
      </c>
      <c r="B20" t="s">
        <v>1877</v>
      </c>
      <c r="C20" t="s">
        <v>1878</v>
      </c>
      <c r="D20">
        <v>51</v>
      </c>
      <c r="E20">
        <v>1</v>
      </c>
      <c r="F20">
        <v>4.2857142857142858E-2</v>
      </c>
      <c r="G20">
        <v>37.99</v>
      </c>
      <c r="H20">
        <v>1.62</v>
      </c>
      <c r="I20">
        <v>36.370000000000005</v>
      </c>
      <c r="J20">
        <v>545.94000000000005</v>
      </c>
      <c r="K20">
        <v>33</v>
      </c>
      <c r="L20">
        <v>6</v>
      </c>
      <c r="M20" t="s">
        <v>1879</v>
      </c>
      <c r="N20">
        <v>21</v>
      </c>
      <c r="O20">
        <v>30</v>
      </c>
      <c r="P20">
        <v>32.82</v>
      </c>
      <c r="Q20">
        <v>0</v>
      </c>
      <c r="R20">
        <v>3.56</v>
      </c>
      <c r="S20">
        <v>27.37</v>
      </c>
      <c r="T20">
        <v>23.85</v>
      </c>
      <c r="U20">
        <v>1.34</v>
      </c>
      <c r="V20">
        <v>70</v>
      </c>
      <c r="W20">
        <v>0</v>
      </c>
      <c r="X20">
        <v>3</v>
      </c>
      <c r="Y20">
        <v>0</v>
      </c>
      <c r="Z20">
        <v>0</v>
      </c>
      <c r="AA20" t="s">
        <v>114</v>
      </c>
      <c r="AB20">
        <v>36.370000000000005</v>
      </c>
      <c r="AC20">
        <v>0.1</v>
      </c>
      <c r="AD20">
        <v>0.05</v>
      </c>
      <c r="AE20">
        <v>0</v>
      </c>
      <c r="AF20" t="s">
        <v>1653</v>
      </c>
      <c r="AG20" t="s">
        <v>1599</v>
      </c>
      <c r="AH20">
        <v>0.7</v>
      </c>
    </row>
    <row r="21" spans="1:34" x14ac:dyDescent="0.25">
      <c r="A21" s="2">
        <v>45649</v>
      </c>
      <c r="B21" t="s">
        <v>2003</v>
      </c>
      <c r="C21" t="s">
        <v>2004</v>
      </c>
      <c r="D21">
        <v>86</v>
      </c>
      <c r="E21">
        <v>0.98888888888888893</v>
      </c>
      <c r="F21">
        <v>0</v>
      </c>
      <c r="G21">
        <v>61.13</v>
      </c>
      <c r="H21">
        <v>0</v>
      </c>
      <c r="I21">
        <v>61.13</v>
      </c>
      <c r="J21">
        <v>1029.2</v>
      </c>
      <c r="K21">
        <v>74.39</v>
      </c>
      <c r="L21">
        <v>0</v>
      </c>
      <c r="M21" t="s">
        <v>1841</v>
      </c>
      <c r="N21">
        <v>9</v>
      </c>
      <c r="O21">
        <v>77</v>
      </c>
      <c r="P21">
        <v>42.17</v>
      </c>
      <c r="Q21">
        <v>0</v>
      </c>
      <c r="R21">
        <v>18.96</v>
      </c>
      <c r="S21">
        <v>19.79</v>
      </c>
      <c r="T21">
        <v>13.77</v>
      </c>
      <c r="U21">
        <v>1.41</v>
      </c>
      <c r="V21">
        <v>89</v>
      </c>
      <c r="W21">
        <v>1</v>
      </c>
      <c r="X21">
        <v>0</v>
      </c>
      <c r="Y21">
        <v>61.13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61.13</v>
      </c>
      <c r="AF21" t="s">
        <v>1694</v>
      </c>
      <c r="AG21" t="s">
        <v>1748</v>
      </c>
      <c r="AH21">
        <v>0.7</v>
      </c>
    </row>
    <row r="22" spans="1:34" x14ac:dyDescent="0.25">
      <c r="A22" s="2">
        <v>45649</v>
      </c>
      <c r="B22" t="s">
        <v>1877</v>
      </c>
      <c r="C22" t="s">
        <v>1878</v>
      </c>
      <c r="D22">
        <v>92</v>
      </c>
      <c r="E22">
        <v>0.94736842105263153</v>
      </c>
      <c r="F22">
        <v>4.6296296296296294E-2</v>
      </c>
      <c r="G22">
        <v>51.01</v>
      </c>
      <c r="H22">
        <v>0.05</v>
      </c>
      <c r="I22">
        <v>50.96</v>
      </c>
      <c r="J22">
        <v>1008.5</v>
      </c>
      <c r="K22">
        <v>55.03</v>
      </c>
      <c r="L22">
        <v>1.9</v>
      </c>
      <c r="M22" t="s">
        <v>1879</v>
      </c>
      <c r="N22">
        <v>22</v>
      </c>
      <c r="O22">
        <v>70</v>
      </c>
      <c r="P22">
        <v>45.19</v>
      </c>
      <c r="Q22">
        <v>6</v>
      </c>
      <c r="R22">
        <v>5.77</v>
      </c>
      <c r="S22">
        <v>26.26</v>
      </c>
      <c r="T22">
        <v>24.12</v>
      </c>
      <c r="U22">
        <v>1.8</v>
      </c>
      <c r="V22">
        <v>108</v>
      </c>
      <c r="W22">
        <v>0</v>
      </c>
      <c r="X22">
        <v>5</v>
      </c>
      <c r="Y22">
        <v>0</v>
      </c>
      <c r="Z22">
        <v>50.96</v>
      </c>
      <c r="AA22" t="s">
        <v>115</v>
      </c>
      <c r="AB22">
        <v>0</v>
      </c>
      <c r="AC22">
        <v>0.1</v>
      </c>
      <c r="AD22">
        <v>0.05</v>
      </c>
      <c r="AE22">
        <v>50.96</v>
      </c>
      <c r="AF22" t="s">
        <v>1653</v>
      </c>
      <c r="AG22" t="s">
        <v>1599</v>
      </c>
      <c r="AH22">
        <v>0.7</v>
      </c>
    </row>
    <row r="23" spans="1:34" x14ac:dyDescent="0.25">
      <c r="A23" s="2">
        <v>45642</v>
      </c>
      <c r="B23" t="s">
        <v>1842</v>
      </c>
      <c r="C23" t="s">
        <v>1843</v>
      </c>
      <c r="D23">
        <v>81</v>
      </c>
      <c r="E23">
        <v>1</v>
      </c>
      <c r="F23">
        <v>0</v>
      </c>
      <c r="G23">
        <v>50.67</v>
      </c>
      <c r="H23">
        <v>2.82</v>
      </c>
      <c r="I23">
        <v>47.85</v>
      </c>
      <c r="J23">
        <v>838.33</v>
      </c>
      <c r="K23">
        <v>31.11</v>
      </c>
      <c r="L23">
        <v>4</v>
      </c>
      <c r="M23" t="s">
        <v>1844</v>
      </c>
      <c r="N23">
        <v>7</v>
      </c>
      <c r="O23">
        <v>74</v>
      </c>
      <c r="P23">
        <v>36.83</v>
      </c>
      <c r="Q23">
        <v>0</v>
      </c>
      <c r="R23">
        <v>11.02</v>
      </c>
      <c r="S23">
        <v>3.49</v>
      </c>
      <c r="T23">
        <v>3.17</v>
      </c>
      <c r="U23">
        <v>1.6</v>
      </c>
      <c r="V23">
        <v>87</v>
      </c>
      <c r="W23">
        <v>0</v>
      </c>
      <c r="X23">
        <v>0</v>
      </c>
      <c r="Y23">
        <v>47.85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47.85</v>
      </c>
      <c r="AF23" t="s">
        <v>1798</v>
      </c>
      <c r="AG23" t="s">
        <v>1812</v>
      </c>
      <c r="AH23">
        <v>0.7</v>
      </c>
    </row>
    <row r="24" spans="1:34" x14ac:dyDescent="0.25">
      <c r="A24" s="2">
        <v>45642</v>
      </c>
      <c r="B24" t="s">
        <v>1838</v>
      </c>
      <c r="C24" t="s">
        <v>1839</v>
      </c>
      <c r="D24">
        <v>48</v>
      </c>
      <c r="E24">
        <v>0.97560975609756095</v>
      </c>
      <c r="F24">
        <v>2.5000000000000001E-2</v>
      </c>
      <c r="G24">
        <v>35.25</v>
      </c>
      <c r="H24">
        <v>0.48</v>
      </c>
      <c r="I24">
        <v>34.770000000000003</v>
      </c>
      <c r="J24">
        <v>641.86</v>
      </c>
      <c r="K24">
        <v>43</v>
      </c>
      <c r="L24">
        <v>6</v>
      </c>
      <c r="M24" t="s">
        <v>1840</v>
      </c>
      <c r="N24">
        <v>7</v>
      </c>
      <c r="O24">
        <v>41</v>
      </c>
      <c r="P24">
        <v>27.68</v>
      </c>
      <c r="Q24">
        <v>1</v>
      </c>
      <c r="R24">
        <v>7.08</v>
      </c>
      <c r="S24">
        <v>10.49</v>
      </c>
      <c r="T24">
        <v>7.84</v>
      </c>
      <c r="U24">
        <v>1.36</v>
      </c>
      <c r="V24">
        <v>40</v>
      </c>
      <c r="W24">
        <v>0</v>
      </c>
      <c r="X24">
        <v>1</v>
      </c>
      <c r="Y24">
        <v>34.770000000000003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34.770000000000003</v>
      </c>
      <c r="AF24" t="s">
        <v>1629</v>
      </c>
      <c r="AG24" t="s">
        <v>1599</v>
      </c>
      <c r="AH24">
        <v>0.7</v>
      </c>
    </row>
    <row r="25" spans="1:34" x14ac:dyDescent="0.25">
      <c r="A25" s="2">
        <v>45649</v>
      </c>
      <c r="B25" t="s">
        <v>1842</v>
      </c>
      <c r="C25" t="s">
        <v>1843</v>
      </c>
      <c r="D25">
        <v>79</v>
      </c>
      <c r="E25">
        <v>0.97916666666666663</v>
      </c>
      <c r="F25">
        <v>1.0638297872340425E-2</v>
      </c>
      <c r="G25">
        <v>53.51</v>
      </c>
      <c r="H25">
        <v>0.28000000000000003</v>
      </c>
      <c r="I25">
        <v>53.23</v>
      </c>
      <c r="J25">
        <v>874.32</v>
      </c>
      <c r="K25">
        <v>84.74</v>
      </c>
      <c r="L25">
        <v>6</v>
      </c>
      <c r="M25" t="s">
        <v>1844</v>
      </c>
      <c r="N25">
        <v>6</v>
      </c>
      <c r="O25">
        <v>73</v>
      </c>
      <c r="P25">
        <v>37.97</v>
      </c>
      <c r="Q25">
        <v>2</v>
      </c>
      <c r="R25">
        <v>15.26</v>
      </c>
      <c r="S25">
        <v>9.24</v>
      </c>
      <c r="T25">
        <v>6.51</v>
      </c>
      <c r="U25">
        <v>1.48</v>
      </c>
      <c r="V25">
        <v>94</v>
      </c>
      <c r="W25">
        <v>0</v>
      </c>
      <c r="X25">
        <v>1</v>
      </c>
      <c r="Y25">
        <v>53.23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53.23</v>
      </c>
      <c r="AF25" t="s">
        <v>1798</v>
      </c>
      <c r="AG25" t="s">
        <v>1812</v>
      </c>
      <c r="AH25">
        <v>0.7</v>
      </c>
    </row>
    <row r="26" spans="1:34" x14ac:dyDescent="0.25">
      <c r="A26" s="2">
        <v>45642</v>
      </c>
      <c r="B26" t="s">
        <v>2005</v>
      </c>
      <c r="C26" t="s">
        <v>1930</v>
      </c>
      <c r="D26">
        <v>50</v>
      </c>
      <c r="E26">
        <v>0.77659574468085102</v>
      </c>
      <c r="F26">
        <v>1.3698630136986301E-2</v>
      </c>
      <c r="G26">
        <v>47.83</v>
      </c>
      <c r="H26">
        <v>0.26</v>
      </c>
      <c r="I26">
        <v>47.57</v>
      </c>
      <c r="J26">
        <v>726.3</v>
      </c>
      <c r="K26">
        <v>43.19</v>
      </c>
      <c r="L26">
        <v>0</v>
      </c>
      <c r="M26" t="s">
        <v>1848</v>
      </c>
      <c r="N26">
        <v>25</v>
      </c>
      <c r="O26">
        <v>25</v>
      </c>
      <c r="P26">
        <v>39.869999999999997</v>
      </c>
      <c r="Q26">
        <v>21</v>
      </c>
      <c r="R26">
        <v>7.7</v>
      </c>
      <c r="S26">
        <v>40.36</v>
      </c>
      <c r="T26">
        <v>34.58</v>
      </c>
      <c r="U26">
        <v>1.05</v>
      </c>
      <c r="V26">
        <v>73</v>
      </c>
      <c r="W26">
        <v>0</v>
      </c>
      <c r="X26">
        <v>1</v>
      </c>
      <c r="Y26">
        <v>0</v>
      </c>
      <c r="Z26">
        <v>0</v>
      </c>
      <c r="AA26" t="s">
        <v>114</v>
      </c>
      <c r="AB26">
        <v>47.57</v>
      </c>
      <c r="AC26">
        <v>0.1</v>
      </c>
      <c r="AD26">
        <v>0.05</v>
      </c>
      <c r="AE26">
        <v>0</v>
      </c>
      <c r="AF26" t="s">
        <v>1639</v>
      </c>
      <c r="AG26" t="s">
        <v>1601</v>
      </c>
      <c r="AH26">
        <v>0.7</v>
      </c>
    </row>
    <row r="27" spans="1:34" x14ac:dyDescent="0.25">
      <c r="A27" s="2">
        <v>45649</v>
      </c>
      <c r="B27" t="s">
        <v>2005</v>
      </c>
      <c r="C27" t="s">
        <v>1930</v>
      </c>
      <c r="D27">
        <v>70</v>
      </c>
      <c r="E27">
        <v>0.98809523809523814</v>
      </c>
      <c r="F27">
        <v>1.2048192771084338E-2</v>
      </c>
      <c r="G27">
        <v>54.17</v>
      </c>
      <c r="H27">
        <v>0.16</v>
      </c>
      <c r="I27">
        <v>54.010000000000005</v>
      </c>
      <c r="J27">
        <v>726.6</v>
      </c>
      <c r="K27">
        <v>36.299999999999997</v>
      </c>
      <c r="L27">
        <v>1.5</v>
      </c>
      <c r="M27" t="s">
        <v>1848</v>
      </c>
      <c r="N27">
        <v>9</v>
      </c>
      <c r="O27">
        <v>61</v>
      </c>
      <c r="P27">
        <v>34.21</v>
      </c>
      <c r="Q27">
        <v>1</v>
      </c>
      <c r="R27">
        <v>19.8</v>
      </c>
      <c r="S27">
        <v>40.51</v>
      </c>
      <c r="T27">
        <v>25.95</v>
      </c>
      <c r="U27">
        <v>1.29</v>
      </c>
      <c r="V27">
        <v>83</v>
      </c>
      <c r="W27">
        <v>0</v>
      </c>
      <c r="X27">
        <v>1</v>
      </c>
      <c r="Y27">
        <v>54.010000000000005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54.010000000000005</v>
      </c>
      <c r="AF27" t="s">
        <v>1639</v>
      </c>
      <c r="AG27" t="s">
        <v>1601</v>
      </c>
      <c r="AH27">
        <v>0.7</v>
      </c>
    </row>
    <row r="28" spans="1:34" x14ac:dyDescent="0.25">
      <c r="A28" s="2">
        <v>45642</v>
      </c>
      <c r="B28" t="s">
        <v>1889</v>
      </c>
      <c r="C28" t="s">
        <v>1890</v>
      </c>
      <c r="D28">
        <v>78</v>
      </c>
      <c r="E28">
        <v>0.93388429752066116</v>
      </c>
      <c r="F28">
        <v>7.9646017699115043E-2</v>
      </c>
      <c r="G28">
        <v>47.28</v>
      </c>
      <c r="H28">
        <v>0.46</v>
      </c>
      <c r="I28">
        <v>46.82</v>
      </c>
      <c r="J28">
        <v>806.84</v>
      </c>
      <c r="K28">
        <v>24</v>
      </c>
      <c r="L28">
        <v>6</v>
      </c>
      <c r="M28" t="s">
        <v>1891</v>
      </c>
      <c r="N28">
        <v>32</v>
      </c>
      <c r="O28">
        <v>46</v>
      </c>
      <c r="P28">
        <v>45.59</v>
      </c>
      <c r="Q28">
        <v>1</v>
      </c>
      <c r="R28">
        <v>1.23</v>
      </c>
      <c r="S28">
        <v>27.1</v>
      </c>
      <c r="T28">
        <v>26.97</v>
      </c>
      <c r="U28">
        <v>1.65</v>
      </c>
      <c r="V28">
        <v>113</v>
      </c>
      <c r="W28">
        <v>7</v>
      </c>
      <c r="X28">
        <v>9</v>
      </c>
      <c r="Y28">
        <v>0</v>
      </c>
      <c r="Z28">
        <v>0</v>
      </c>
      <c r="AA28" t="s">
        <v>114</v>
      </c>
      <c r="AB28">
        <v>46.82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25">
      <c r="A29" s="2">
        <v>45642</v>
      </c>
      <c r="B29" t="s">
        <v>1845</v>
      </c>
      <c r="C29" t="s">
        <v>1846</v>
      </c>
      <c r="D29">
        <v>62</v>
      </c>
      <c r="E29">
        <v>0.98701298701298701</v>
      </c>
      <c r="F29">
        <v>2.6315789473684209E-2</v>
      </c>
      <c r="G29">
        <v>30.28</v>
      </c>
      <c r="H29">
        <v>0</v>
      </c>
      <c r="I29">
        <v>30.28</v>
      </c>
      <c r="J29">
        <v>666.44</v>
      </c>
      <c r="K29">
        <v>20</v>
      </c>
      <c r="L29">
        <v>0</v>
      </c>
      <c r="M29" t="s">
        <v>1847</v>
      </c>
      <c r="N29">
        <v>13</v>
      </c>
      <c r="O29">
        <v>49</v>
      </c>
      <c r="P29">
        <v>29.48</v>
      </c>
      <c r="Q29">
        <v>0</v>
      </c>
      <c r="R29">
        <v>0.79</v>
      </c>
      <c r="S29">
        <v>9.76</v>
      </c>
      <c r="T29">
        <v>9.5299999999999994</v>
      </c>
      <c r="U29">
        <v>2.0499999999999998</v>
      </c>
      <c r="V29">
        <v>76</v>
      </c>
      <c r="W29">
        <v>1</v>
      </c>
      <c r="X29">
        <v>2</v>
      </c>
      <c r="Y29">
        <v>30.28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30.28</v>
      </c>
      <c r="AF29" t="s">
        <v>1615</v>
      </c>
      <c r="AG29" t="s">
        <v>1599</v>
      </c>
      <c r="AH29">
        <v>0.7</v>
      </c>
    </row>
    <row r="30" spans="1:34" x14ac:dyDescent="0.25">
      <c r="A30" s="2">
        <v>45649</v>
      </c>
      <c r="B30" t="s">
        <v>1889</v>
      </c>
      <c r="C30" t="s">
        <v>1890</v>
      </c>
      <c r="D30">
        <v>54</v>
      </c>
      <c r="E30">
        <v>0.94047619047619047</v>
      </c>
      <c r="F30">
        <v>7.5949367088607597E-2</v>
      </c>
      <c r="G30">
        <v>38.130000000000003</v>
      </c>
      <c r="H30">
        <v>0</v>
      </c>
      <c r="I30">
        <v>38.130000000000003</v>
      </c>
      <c r="J30">
        <v>665.67</v>
      </c>
      <c r="K30">
        <v>23.39</v>
      </c>
      <c r="L30">
        <v>3.3</v>
      </c>
      <c r="M30" t="s">
        <v>1891</v>
      </c>
      <c r="N30">
        <v>14</v>
      </c>
      <c r="O30">
        <v>40</v>
      </c>
      <c r="P30">
        <v>35.35</v>
      </c>
      <c r="Q30">
        <v>0</v>
      </c>
      <c r="R30">
        <v>2.78</v>
      </c>
      <c r="S30">
        <v>23.09</v>
      </c>
      <c r="T30">
        <v>20.87</v>
      </c>
      <c r="U30">
        <v>1.42</v>
      </c>
      <c r="V30">
        <v>79</v>
      </c>
      <c r="W30">
        <v>5</v>
      </c>
      <c r="X30">
        <v>6</v>
      </c>
      <c r="Y30">
        <v>0</v>
      </c>
      <c r="Z30">
        <v>0</v>
      </c>
      <c r="AA30" t="s">
        <v>115</v>
      </c>
      <c r="AB30">
        <v>38.130000000000003</v>
      </c>
      <c r="AC30">
        <v>0.1</v>
      </c>
      <c r="AD30">
        <v>0.05</v>
      </c>
      <c r="AE30">
        <v>0</v>
      </c>
      <c r="AF30" t="s">
        <v>1655</v>
      </c>
      <c r="AG30" t="s">
        <v>1599</v>
      </c>
      <c r="AH30">
        <v>0.7</v>
      </c>
    </row>
    <row r="31" spans="1:34" x14ac:dyDescent="0.25">
      <c r="A31" s="2">
        <v>45642</v>
      </c>
      <c r="B31" t="s">
        <v>1904</v>
      </c>
      <c r="C31" t="s">
        <v>1905</v>
      </c>
      <c r="D31">
        <v>8</v>
      </c>
      <c r="E31">
        <v>0.81818181818181823</v>
      </c>
      <c r="F31">
        <v>0.1111111111111111</v>
      </c>
      <c r="G31">
        <v>6.09</v>
      </c>
      <c r="H31">
        <v>1.22</v>
      </c>
      <c r="I31">
        <v>4.87</v>
      </c>
      <c r="J31">
        <v>93.26</v>
      </c>
      <c r="K31">
        <v>1</v>
      </c>
      <c r="L31">
        <v>6</v>
      </c>
      <c r="M31" t="s">
        <v>1906</v>
      </c>
      <c r="N31">
        <v>3</v>
      </c>
      <c r="O31">
        <v>5</v>
      </c>
      <c r="P31">
        <v>4.6500000000000004</v>
      </c>
      <c r="Q31">
        <v>2</v>
      </c>
      <c r="R31">
        <v>0.23</v>
      </c>
      <c r="S31">
        <v>0</v>
      </c>
      <c r="T31">
        <v>0</v>
      </c>
      <c r="U31">
        <v>1.31</v>
      </c>
      <c r="V31">
        <v>9</v>
      </c>
      <c r="W31">
        <v>0</v>
      </c>
      <c r="X31">
        <v>1</v>
      </c>
      <c r="Y31">
        <v>0</v>
      </c>
      <c r="Z31">
        <v>0</v>
      </c>
      <c r="AA31" t="s">
        <v>114</v>
      </c>
      <c r="AB31">
        <v>4.87</v>
      </c>
      <c r="AC31">
        <v>0.1</v>
      </c>
      <c r="AD31">
        <v>0.05</v>
      </c>
      <c r="AE31">
        <v>0</v>
      </c>
      <c r="AF31" t="s">
        <v>1685</v>
      </c>
      <c r="AG31" t="s">
        <v>1599</v>
      </c>
      <c r="AH31">
        <v>0.7</v>
      </c>
    </row>
    <row r="32" spans="1:34" x14ac:dyDescent="0.25">
      <c r="A32" s="2">
        <v>45642</v>
      </c>
      <c r="B32" t="s">
        <v>2040</v>
      </c>
      <c r="C32" t="s">
        <v>2002</v>
      </c>
      <c r="D32">
        <v>55</v>
      </c>
      <c r="E32">
        <v>1</v>
      </c>
      <c r="F32">
        <v>3.0769230769230771E-2</v>
      </c>
      <c r="G32">
        <v>27.86</v>
      </c>
      <c r="H32">
        <v>0</v>
      </c>
      <c r="I32">
        <v>27.86</v>
      </c>
      <c r="J32">
        <v>619.91999999999996</v>
      </c>
      <c r="K32">
        <v>50.5</v>
      </c>
      <c r="L32">
        <v>0</v>
      </c>
      <c r="M32" t="s">
        <v>2041</v>
      </c>
      <c r="N32">
        <v>17</v>
      </c>
      <c r="O32">
        <v>38</v>
      </c>
      <c r="P32">
        <v>27.17</v>
      </c>
      <c r="Q32">
        <v>0</v>
      </c>
      <c r="R32">
        <v>0.68</v>
      </c>
      <c r="S32">
        <v>15.81</v>
      </c>
      <c r="T32">
        <v>15.4</v>
      </c>
      <c r="U32">
        <v>1.97</v>
      </c>
      <c r="V32">
        <v>65</v>
      </c>
      <c r="W32">
        <v>0</v>
      </c>
      <c r="X32">
        <v>2</v>
      </c>
      <c r="Y32">
        <v>27.86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27.86</v>
      </c>
      <c r="AF32" t="s">
        <v>2026</v>
      </c>
      <c r="AG32" t="s">
        <v>1599</v>
      </c>
      <c r="AH32">
        <v>0.7</v>
      </c>
    </row>
    <row r="33" spans="1:34" x14ac:dyDescent="0.25">
      <c r="A33" s="2">
        <v>45649</v>
      </c>
      <c r="B33" t="s">
        <v>1895</v>
      </c>
      <c r="C33" t="s">
        <v>1896</v>
      </c>
      <c r="D33">
        <v>33</v>
      </c>
      <c r="E33">
        <v>0.86956521739130432</v>
      </c>
      <c r="F33">
        <v>7.4999999999999997E-2</v>
      </c>
      <c r="G33">
        <v>18.55</v>
      </c>
      <c r="H33">
        <v>0</v>
      </c>
      <c r="I33">
        <v>18.55</v>
      </c>
      <c r="J33">
        <v>422.29</v>
      </c>
      <c r="K33">
        <v>34.700000000000003</v>
      </c>
      <c r="L33">
        <v>2.7</v>
      </c>
      <c r="M33" t="s">
        <v>1897</v>
      </c>
      <c r="N33">
        <v>11</v>
      </c>
      <c r="O33">
        <v>22</v>
      </c>
      <c r="P33">
        <v>17.649999999999999</v>
      </c>
      <c r="Q33">
        <v>0</v>
      </c>
      <c r="R33">
        <v>0.9</v>
      </c>
      <c r="S33">
        <v>6.53</v>
      </c>
      <c r="T33">
        <v>6.16</v>
      </c>
      <c r="U33">
        <v>1.78</v>
      </c>
      <c r="V33">
        <v>40</v>
      </c>
      <c r="W33">
        <v>6</v>
      </c>
      <c r="X33">
        <v>3</v>
      </c>
      <c r="Y33">
        <v>0</v>
      </c>
      <c r="Z33">
        <v>0</v>
      </c>
      <c r="AA33" t="s">
        <v>115</v>
      </c>
      <c r="AB33">
        <v>18.55</v>
      </c>
      <c r="AC33">
        <v>0.1</v>
      </c>
      <c r="AD33">
        <v>0.05</v>
      </c>
      <c r="AE33">
        <v>0</v>
      </c>
      <c r="AF33" t="s">
        <v>1675</v>
      </c>
      <c r="AG33" t="s">
        <v>1599</v>
      </c>
      <c r="AH33">
        <v>0.7</v>
      </c>
    </row>
    <row r="34" spans="1:34" x14ac:dyDescent="0.25">
      <c r="A34" s="2">
        <v>45649</v>
      </c>
      <c r="B34" t="s">
        <v>2040</v>
      </c>
      <c r="C34" t="s">
        <v>2002</v>
      </c>
      <c r="D34">
        <v>79</v>
      </c>
      <c r="E34">
        <v>0.95833333333333337</v>
      </c>
      <c r="F34">
        <v>2.1739130434782608E-2</v>
      </c>
      <c r="G34">
        <v>39.75</v>
      </c>
      <c r="H34">
        <v>0.2</v>
      </c>
      <c r="I34">
        <v>39.549999999999997</v>
      </c>
      <c r="J34">
        <v>856.68</v>
      </c>
      <c r="K34">
        <v>51.98</v>
      </c>
      <c r="L34">
        <v>7.9</v>
      </c>
      <c r="M34" t="s">
        <v>2041</v>
      </c>
      <c r="N34">
        <v>23</v>
      </c>
      <c r="O34">
        <v>56</v>
      </c>
      <c r="P34">
        <v>37.5</v>
      </c>
      <c r="Q34">
        <v>4</v>
      </c>
      <c r="R34">
        <v>2.04</v>
      </c>
      <c r="S34">
        <v>26.37</v>
      </c>
      <c r="T34">
        <v>24.92</v>
      </c>
      <c r="U34">
        <v>1.99</v>
      </c>
      <c r="V34">
        <v>92</v>
      </c>
      <c r="W34">
        <v>0</v>
      </c>
      <c r="X34">
        <v>2</v>
      </c>
      <c r="Y34">
        <v>39.549999999999997</v>
      </c>
      <c r="Z34">
        <v>0</v>
      </c>
      <c r="AA34" t="s">
        <v>115</v>
      </c>
      <c r="AB34">
        <v>0</v>
      </c>
      <c r="AC34">
        <v>0.1</v>
      </c>
      <c r="AD34">
        <v>0.05</v>
      </c>
      <c r="AE34">
        <v>39.549999999999997</v>
      </c>
      <c r="AF34" t="s">
        <v>2026</v>
      </c>
      <c r="AG34" t="s">
        <v>1599</v>
      </c>
      <c r="AH34">
        <v>0.7</v>
      </c>
    </row>
    <row r="35" spans="1:34" x14ac:dyDescent="0.25">
      <c r="A35" s="2">
        <v>45642</v>
      </c>
      <c r="B35" t="s">
        <v>1871</v>
      </c>
      <c r="C35" t="s">
        <v>1872</v>
      </c>
      <c r="D35">
        <v>50</v>
      </c>
      <c r="E35">
        <v>0.95081967213114749</v>
      </c>
      <c r="F35">
        <v>0</v>
      </c>
      <c r="G35">
        <v>39.549999999999997</v>
      </c>
      <c r="H35">
        <v>0.01</v>
      </c>
      <c r="I35">
        <v>39.54</v>
      </c>
      <c r="J35">
        <v>759.08</v>
      </c>
      <c r="K35">
        <v>61.85</v>
      </c>
      <c r="L35">
        <v>4.34</v>
      </c>
      <c r="M35" t="s">
        <v>1873</v>
      </c>
      <c r="N35">
        <v>21</v>
      </c>
      <c r="O35">
        <v>29</v>
      </c>
      <c r="P35">
        <v>37.25</v>
      </c>
      <c r="Q35">
        <v>2</v>
      </c>
      <c r="R35">
        <v>2.29</v>
      </c>
      <c r="S35">
        <v>36.869999999999997</v>
      </c>
      <c r="T35">
        <v>34.630000000000003</v>
      </c>
      <c r="U35">
        <v>1.26</v>
      </c>
      <c r="V35">
        <v>58</v>
      </c>
      <c r="W35">
        <v>1</v>
      </c>
      <c r="X35">
        <v>0</v>
      </c>
      <c r="Y35">
        <v>39.54</v>
      </c>
      <c r="Z35">
        <v>0</v>
      </c>
      <c r="AA35" t="s">
        <v>114</v>
      </c>
      <c r="AB35">
        <v>0</v>
      </c>
      <c r="AC35">
        <v>0.1</v>
      </c>
      <c r="AD35">
        <v>0.05</v>
      </c>
      <c r="AE35">
        <v>39.54</v>
      </c>
      <c r="AF35" t="s">
        <v>1602</v>
      </c>
      <c r="AG35" t="s">
        <v>1601</v>
      </c>
      <c r="AH35">
        <v>0.7</v>
      </c>
    </row>
    <row r="36" spans="1:34" x14ac:dyDescent="0.25">
      <c r="A36" s="2">
        <v>45642</v>
      </c>
      <c r="B36" t="s">
        <v>1898</v>
      </c>
      <c r="C36" t="s">
        <v>1899</v>
      </c>
      <c r="D36">
        <v>95</v>
      </c>
      <c r="E36">
        <v>0.99212598425196852</v>
      </c>
      <c r="F36">
        <v>1.5873015873015872E-2</v>
      </c>
      <c r="G36">
        <v>58.88</v>
      </c>
      <c r="H36">
        <v>4.25</v>
      </c>
      <c r="I36">
        <v>54.63</v>
      </c>
      <c r="J36">
        <v>1080.8699999999999</v>
      </c>
      <c r="K36">
        <v>33.54</v>
      </c>
      <c r="L36">
        <v>6</v>
      </c>
      <c r="M36" t="s">
        <v>1900</v>
      </c>
      <c r="N36">
        <v>15</v>
      </c>
      <c r="O36">
        <v>80</v>
      </c>
      <c r="P36">
        <v>50.98</v>
      </c>
      <c r="Q36">
        <v>1</v>
      </c>
      <c r="R36">
        <v>3.65</v>
      </c>
      <c r="S36">
        <v>18.57</v>
      </c>
      <c r="T36">
        <v>16.71</v>
      </c>
      <c r="U36">
        <v>1.61</v>
      </c>
      <c r="V36">
        <v>126</v>
      </c>
      <c r="W36">
        <v>0</v>
      </c>
      <c r="X36">
        <v>2</v>
      </c>
      <c r="Y36">
        <v>54.63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54.63</v>
      </c>
      <c r="AF36" t="s">
        <v>1661</v>
      </c>
      <c r="AG36" t="s">
        <v>1601</v>
      </c>
      <c r="AH36">
        <v>0.7</v>
      </c>
    </row>
    <row r="37" spans="1:34" x14ac:dyDescent="0.25">
      <c r="A37" s="2">
        <v>45649</v>
      </c>
      <c r="B37" t="s">
        <v>1852</v>
      </c>
      <c r="C37" t="s">
        <v>1853</v>
      </c>
      <c r="D37">
        <v>39</v>
      </c>
      <c r="E37">
        <v>0.92727272727272725</v>
      </c>
      <c r="F37">
        <v>1.9607843137254902E-2</v>
      </c>
      <c r="G37">
        <v>27.45</v>
      </c>
      <c r="H37">
        <v>0.01</v>
      </c>
      <c r="I37">
        <v>27.439999999999998</v>
      </c>
      <c r="J37">
        <v>492.06</v>
      </c>
      <c r="K37">
        <v>31</v>
      </c>
      <c r="L37">
        <v>0</v>
      </c>
      <c r="M37" t="s">
        <v>1854</v>
      </c>
      <c r="N37">
        <v>10</v>
      </c>
      <c r="O37">
        <v>29</v>
      </c>
      <c r="P37">
        <v>26.27</v>
      </c>
      <c r="Q37">
        <v>4</v>
      </c>
      <c r="R37">
        <v>1.1599999999999999</v>
      </c>
      <c r="S37">
        <v>8.16</v>
      </c>
      <c r="T37">
        <v>7.82</v>
      </c>
      <c r="U37">
        <v>1.42</v>
      </c>
      <c r="V37">
        <v>51</v>
      </c>
      <c r="W37">
        <v>0</v>
      </c>
      <c r="X37">
        <v>1</v>
      </c>
      <c r="Y37">
        <v>0</v>
      </c>
      <c r="Z37">
        <v>0</v>
      </c>
      <c r="AA37" t="s">
        <v>115</v>
      </c>
      <c r="AB37">
        <v>27.439999999999998</v>
      </c>
      <c r="AC37">
        <v>0.1</v>
      </c>
      <c r="AD37">
        <v>0.05</v>
      </c>
      <c r="AE37">
        <v>0</v>
      </c>
      <c r="AF37" t="s">
        <v>1718</v>
      </c>
      <c r="AG37" t="s">
        <v>1599</v>
      </c>
      <c r="AH37">
        <v>0.7</v>
      </c>
    </row>
    <row r="38" spans="1:34" x14ac:dyDescent="0.25">
      <c r="A38" s="2">
        <v>45649</v>
      </c>
      <c r="B38" t="s">
        <v>1898</v>
      </c>
      <c r="C38" t="s">
        <v>1899</v>
      </c>
      <c r="D38">
        <v>5</v>
      </c>
      <c r="E38">
        <v>1</v>
      </c>
      <c r="F38">
        <v>0.14285714285714285</v>
      </c>
      <c r="G38">
        <v>8.5500000000000007</v>
      </c>
      <c r="H38">
        <v>3.42</v>
      </c>
      <c r="I38">
        <v>5.1300000000000008</v>
      </c>
      <c r="J38">
        <v>91.51</v>
      </c>
      <c r="K38">
        <v>4</v>
      </c>
      <c r="L38">
        <v>6</v>
      </c>
      <c r="M38" t="s">
        <v>1900</v>
      </c>
      <c r="N38">
        <v>2</v>
      </c>
      <c r="O38">
        <v>3</v>
      </c>
      <c r="P38">
        <v>4.1100000000000003</v>
      </c>
      <c r="Q38">
        <v>0</v>
      </c>
      <c r="R38">
        <v>1.02</v>
      </c>
      <c r="S38">
        <v>4.28</v>
      </c>
      <c r="T38">
        <v>3.26</v>
      </c>
      <c r="U38">
        <v>0.57999999999999996</v>
      </c>
      <c r="V38">
        <v>7</v>
      </c>
      <c r="W38">
        <v>0</v>
      </c>
      <c r="X38">
        <v>1</v>
      </c>
      <c r="Y38">
        <v>0</v>
      </c>
      <c r="Z38">
        <v>0</v>
      </c>
      <c r="AA38" t="s">
        <v>115</v>
      </c>
      <c r="AB38">
        <v>5.1300000000000008</v>
      </c>
      <c r="AC38">
        <v>0.1</v>
      </c>
      <c r="AD38">
        <v>0.05</v>
      </c>
      <c r="AE38">
        <v>0</v>
      </c>
      <c r="AF38" t="s">
        <v>1661</v>
      </c>
      <c r="AG38" t="s">
        <v>1601</v>
      </c>
      <c r="AH38">
        <v>0.7</v>
      </c>
    </row>
    <row r="39" spans="1:34" x14ac:dyDescent="0.25">
      <c r="A39" s="2">
        <v>45642</v>
      </c>
      <c r="B39" t="s">
        <v>1984</v>
      </c>
      <c r="C39" t="s">
        <v>1985</v>
      </c>
      <c r="D39">
        <v>67</v>
      </c>
      <c r="E39">
        <v>1</v>
      </c>
      <c r="F39">
        <v>2.247191011235955E-2</v>
      </c>
      <c r="G39">
        <v>50.48</v>
      </c>
      <c r="H39">
        <v>0.02</v>
      </c>
      <c r="I39">
        <v>50.459999999999994</v>
      </c>
      <c r="J39">
        <v>855.94</v>
      </c>
      <c r="K39">
        <v>32.25</v>
      </c>
      <c r="L39">
        <v>6</v>
      </c>
      <c r="M39" t="s">
        <v>1986</v>
      </c>
      <c r="N39">
        <v>28</v>
      </c>
      <c r="O39">
        <v>39</v>
      </c>
      <c r="P39">
        <v>47.19</v>
      </c>
      <c r="Q39">
        <v>0</v>
      </c>
      <c r="R39">
        <v>3.27</v>
      </c>
      <c r="S39">
        <v>28.6</v>
      </c>
      <c r="T39">
        <v>26.69</v>
      </c>
      <c r="U39">
        <v>1.33</v>
      </c>
      <c r="V39">
        <v>89</v>
      </c>
      <c r="W39">
        <v>0</v>
      </c>
      <c r="X39">
        <v>2</v>
      </c>
      <c r="Y39">
        <v>50.459999999999994</v>
      </c>
      <c r="Z39">
        <v>0</v>
      </c>
      <c r="AA39" t="s">
        <v>114</v>
      </c>
      <c r="AB39">
        <v>0</v>
      </c>
      <c r="AC39">
        <v>0.1</v>
      </c>
      <c r="AD39">
        <v>0.05</v>
      </c>
      <c r="AE39">
        <v>50.459999999999994</v>
      </c>
      <c r="AF39" t="s">
        <v>1826</v>
      </c>
      <c r="AG39" t="s">
        <v>1670</v>
      </c>
      <c r="AH39">
        <v>0.7</v>
      </c>
    </row>
    <row r="40" spans="1:34" x14ac:dyDescent="0.25">
      <c r="A40" s="2">
        <v>45642</v>
      </c>
      <c r="B40" t="s">
        <v>2013</v>
      </c>
      <c r="C40" t="s">
        <v>2014</v>
      </c>
      <c r="D40">
        <v>91</v>
      </c>
      <c r="E40">
        <v>0.93495934959349591</v>
      </c>
      <c r="F40">
        <v>3.4782608695652174E-2</v>
      </c>
      <c r="G40">
        <v>57.53</v>
      </c>
      <c r="H40">
        <v>1.58</v>
      </c>
      <c r="I40">
        <v>55.95</v>
      </c>
      <c r="J40">
        <v>1145.51</v>
      </c>
      <c r="K40">
        <v>84.51</v>
      </c>
      <c r="L40">
        <v>13.3</v>
      </c>
      <c r="M40" t="s">
        <v>1921</v>
      </c>
      <c r="N40">
        <v>28</v>
      </c>
      <c r="O40">
        <v>63</v>
      </c>
      <c r="P40">
        <v>52.14</v>
      </c>
      <c r="Q40">
        <v>8</v>
      </c>
      <c r="R40">
        <v>3.8</v>
      </c>
      <c r="S40">
        <v>35.75</v>
      </c>
      <c r="T40">
        <v>32.630000000000003</v>
      </c>
      <c r="U40">
        <v>1.58</v>
      </c>
      <c r="V40">
        <v>115</v>
      </c>
      <c r="W40">
        <v>0</v>
      </c>
      <c r="X40">
        <v>4</v>
      </c>
      <c r="Y40">
        <v>0</v>
      </c>
      <c r="Z40">
        <v>0</v>
      </c>
      <c r="AA40" t="s">
        <v>114</v>
      </c>
      <c r="AB40">
        <v>55.95</v>
      </c>
      <c r="AC40">
        <v>0.1</v>
      </c>
      <c r="AD40">
        <v>0.05</v>
      </c>
      <c r="AE40">
        <v>0</v>
      </c>
      <c r="AF40" t="s">
        <v>1711</v>
      </c>
      <c r="AG40" t="s">
        <v>1601</v>
      </c>
      <c r="AH40">
        <v>0.7</v>
      </c>
    </row>
    <row r="41" spans="1:34" x14ac:dyDescent="0.25">
      <c r="A41" s="2">
        <v>45649</v>
      </c>
      <c r="B41" t="s">
        <v>1984</v>
      </c>
      <c r="C41" t="s">
        <v>1985</v>
      </c>
      <c r="D41">
        <v>66</v>
      </c>
      <c r="E41">
        <v>0.98837209302325579</v>
      </c>
      <c r="F41">
        <v>8.2352941176470587E-2</v>
      </c>
      <c r="G41">
        <v>50.3</v>
      </c>
      <c r="H41">
        <v>0.03</v>
      </c>
      <c r="I41">
        <v>50.269999999999996</v>
      </c>
      <c r="J41">
        <v>734.17</v>
      </c>
      <c r="K41">
        <v>53</v>
      </c>
      <c r="L41">
        <v>5.7</v>
      </c>
      <c r="M41" t="s">
        <v>1986</v>
      </c>
      <c r="N41">
        <v>17</v>
      </c>
      <c r="O41">
        <v>49</v>
      </c>
      <c r="P41">
        <v>41.15</v>
      </c>
      <c r="Q41">
        <v>1</v>
      </c>
      <c r="R41">
        <v>9.1300000000000008</v>
      </c>
      <c r="S41">
        <v>31.57</v>
      </c>
      <c r="T41">
        <v>26.94</v>
      </c>
      <c r="U41">
        <v>1.31</v>
      </c>
      <c r="V41">
        <v>85</v>
      </c>
      <c r="W41">
        <v>0</v>
      </c>
      <c r="X41">
        <v>7</v>
      </c>
      <c r="Y41">
        <v>0</v>
      </c>
      <c r="Z41">
        <v>0</v>
      </c>
      <c r="AA41" t="s">
        <v>115</v>
      </c>
      <c r="AB41">
        <v>50.269999999999996</v>
      </c>
      <c r="AC41">
        <v>0.1</v>
      </c>
      <c r="AD41">
        <v>0.05</v>
      </c>
      <c r="AE41">
        <v>0</v>
      </c>
      <c r="AF41" t="s">
        <v>1826</v>
      </c>
      <c r="AG41" t="s">
        <v>1670</v>
      </c>
      <c r="AH41">
        <v>0.7</v>
      </c>
    </row>
    <row r="42" spans="1:34" x14ac:dyDescent="0.25">
      <c r="A42" s="2">
        <v>45649</v>
      </c>
      <c r="B42" t="s">
        <v>2013</v>
      </c>
      <c r="C42" t="s">
        <v>2014</v>
      </c>
      <c r="D42">
        <v>85</v>
      </c>
      <c r="E42">
        <v>0.91818181818181821</v>
      </c>
      <c r="F42">
        <v>4.9504950495049507E-2</v>
      </c>
      <c r="G42">
        <v>59.13</v>
      </c>
      <c r="H42">
        <v>3.46</v>
      </c>
      <c r="I42">
        <v>55.67</v>
      </c>
      <c r="J42">
        <v>1173.52</v>
      </c>
      <c r="K42">
        <v>72.290000000000006</v>
      </c>
      <c r="L42">
        <v>24.83</v>
      </c>
      <c r="M42" t="s">
        <v>1921</v>
      </c>
      <c r="N42">
        <v>21</v>
      </c>
      <c r="O42">
        <v>64</v>
      </c>
      <c r="P42">
        <v>51.11</v>
      </c>
      <c r="Q42">
        <v>9</v>
      </c>
      <c r="R42">
        <v>4.55</v>
      </c>
      <c r="S42">
        <v>28.18</v>
      </c>
      <c r="T42">
        <v>25.78</v>
      </c>
      <c r="U42">
        <v>1.44</v>
      </c>
      <c r="V42">
        <v>101</v>
      </c>
      <c r="W42">
        <v>0</v>
      </c>
      <c r="X42">
        <v>5</v>
      </c>
      <c r="Y42">
        <v>0</v>
      </c>
      <c r="Z42">
        <v>0</v>
      </c>
      <c r="AA42" t="s">
        <v>115</v>
      </c>
      <c r="AB42">
        <v>55.67</v>
      </c>
      <c r="AC42">
        <v>0.1</v>
      </c>
      <c r="AD42">
        <v>0.05</v>
      </c>
      <c r="AE42">
        <v>0</v>
      </c>
      <c r="AF42" t="s">
        <v>1711</v>
      </c>
      <c r="AG42" t="s">
        <v>1601</v>
      </c>
      <c r="AH42">
        <v>0.7</v>
      </c>
    </row>
    <row r="43" spans="1:34" x14ac:dyDescent="0.25">
      <c r="A43" s="2">
        <v>45642</v>
      </c>
      <c r="B43" t="s">
        <v>1855</v>
      </c>
      <c r="C43" t="s">
        <v>1856</v>
      </c>
      <c r="D43">
        <v>86</v>
      </c>
      <c r="E43">
        <v>1</v>
      </c>
      <c r="F43">
        <v>2.8846153846153848E-2</v>
      </c>
      <c r="G43">
        <v>39.659999999999997</v>
      </c>
      <c r="H43">
        <v>0.97</v>
      </c>
      <c r="I43">
        <v>38.69</v>
      </c>
      <c r="J43">
        <v>958.01</v>
      </c>
      <c r="K43">
        <v>121.13</v>
      </c>
      <c r="L43">
        <v>7.8</v>
      </c>
      <c r="M43" t="s">
        <v>1857</v>
      </c>
      <c r="N43">
        <v>6</v>
      </c>
      <c r="O43">
        <v>80</v>
      </c>
      <c r="P43">
        <v>36.049999999999997</v>
      </c>
      <c r="Q43">
        <v>0</v>
      </c>
      <c r="R43">
        <v>2.64</v>
      </c>
      <c r="S43">
        <v>8.2799999999999994</v>
      </c>
      <c r="T43">
        <v>6.98</v>
      </c>
      <c r="U43">
        <v>2.17</v>
      </c>
      <c r="V43">
        <v>104</v>
      </c>
      <c r="W43">
        <v>0</v>
      </c>
      <c r="X43">
        <v>3</v>
      </c>
      <c r="Y43">
        <v>38.69</v>
      </c>
      <c r="Z43">
        <v>0</v>
      </c>
      <c r="AA43" t="s">
        <v>114</v>
      </c>
      <c r="AB43">
        <v>0</v>
      </c>
      <c r="AC43">
        <v>0.1</v>
      </c>
      <c r="AD43">
        <v>0.05</v>
      </c>
      <c r="AE43">
        <v>38.69</v>
      </c>
      <c r="AF43" t="s">
        <v>1771</v>
      </c>
      <c r="AG43" t="s">
        <v>1601</v>
      </c>
      <c r="AH43">
        <v>0.7</v>
      </c>
    </row>
    <row r="44" spans="1:34" x14ac:dyDescent="0.25">
      <c r="A44" s="2">
        <v>45642</v>
      </c>
      <c r="B44" t="s">
        <v>1849</v>
      </c>
      <c r="C44" t="s">
        <v>1850</v>
      </c>
      <c r="D44">
        <v>67</v>
      </c>
      <c r="E44">
        <v>1</v>
      </c>
      <c r="F44">
        <v>4.1095890410958902E-2</v>
      </c>
      <c r="G44">
        <v>50.22</v>
      </c>
      <c r="H44">
        <v>0.43</v>
      </c>
      <c r="I44">
        <v>49.79</v>
      </c>
      <c r="J44">
        <v>1067.81</v>
      </c>
      <c r="K44">
        <v>43.73</v>
      </c>
      <c r="L44">
        <v>9.3000000000000007</v>
      </c>
      <c r="M44" t="s">
        <v>1851</v>
      </c>
      <c r="N44">
        <v>2</v>
      </c>
      <c r="O44">
        <v>65</v>
      </c>
      <c r="P44">
        <v>44.8</v>
      </c>
      <c r="Q44">
        <v>0</v>
      </c>
      <c r="R44">
        <v>4.99</v>
      </c>
      <c r="S44">
        <v>4.78</v>
      </c>
      <c r="T44">
        <v>3.77</v>
      </c>
      <c r="U44">
        <v>1.33</v>
      </c>
      <c r="V44">
        <v>73</v>
      </c>
      <c r="W44">
        <v>0</v>
      </c>
      <c r="X44">
        <v>3</v>
      </c>
      <c r="Y44">
        <v>0</v>
      </c>
      <c r="Z44">
        <v>0</v>
      </c>
      <c r="AA44" t="s">
        <v>114</v>
      </c>
      <c r="AB44">
        <v>49.79</v>
      </c>
      <c r="AC44">
        <v>0.1</v>
      </c>
      <c r="AD44">
        <v>0.05</v>
      </c>
      <c r="AE44">
        <v>0</v>
      </c>
      <c r="AF44" t="s">
        <v>1722</v>
      </c>
      <c r="AG44" t="s">
        <v>1600</v>
      </c>
      <c r="AH44">
        <v>0.7</v>
      </c>
    </row>
    <row r="45" spans="1:34" x14ac:dyDescent="0.25">
      <c r="A45" s="2">
        <v>45649</v>
      </c>
      <c r="B45" t="s">
        <v>1855</v>
      </c>
      <c r="C45" t="s">
        <v>1856</v>
      </c>
      <c r="D45">
        <v>39</v>
      </c>
      <c r="E45">
        <v>0.98</v>
      </c>
      <c r="F45">
        <v>4.0816326530612242E-2</v>
      </c>
      <c r="G45">
        <v>19.100000000000001</v>
      </c>
      <c r="H45">
        <v>0</v>
      </c>
      <c r="I45">
        <v>19.100000000000001</v>
      </c>
      <c r="J45">
        <v>417.11</v>
      </c>
      <c r="K45">
        <v>13</v>
      </c>
      <c r="L45">
        <v>0</v>
      </c>
      <c r="M45" t="s">
        <v>1857</v>
      </c>
      <c r="N45">
        <v>2</v>
      </c>
      <c r="O45">
        <v>37</v>
      </c>
      <c r="P45">
        <v>17.78</v>
      </c>
      <c r="Q45">
        <v>1</v>
      </c>
      <c r="R45">
        <v>1.32</v>
      </c>
      <c r="S45">
        <v>4.13</v>
      </c>
      <c r="T45">
        <v>3.21</v>
      </c>
      <c r="U45">
        <v>2.04</v>
      </c>
      <c r="V45">
        <v>49</v>
      </c>
      <c r="W45">
        <v>0</v>
      </c>
      <c r="X45">
        <v>2</v>
      </c>
      <c r="Y45">
        <v>0</v>
      </c>
      <c r="Z45">
        <v>0</v>
      </c>
      <c r="AA45" t="s">
        <v>115</v>
      </c>
      <c r="AB45">
        <v>19.100000000000001</v>
      </c>
      <c r="AC45">
        <v>0.1</v>
      </c>
      <c r="AD45">
        <v>0.05</v>
      </c>
      <c r="AE45">
        <v>0</v>
      </c>
      <c r="AF45" t="s">
        <v>1771</v>
      </c>
      <c r="AG45" t="s">
        <v>1601</v>
      </c>
      <c r="AH45">
        <v>0.7</v>
      </c>
    </row>
    <row r="46" spans="1:34" x14ac:dyDescent="0.25">
      <c r="A46" s="2">
        <v>45649</v>
      </c>
      <c r="B46" t="s">
        <v>1849</v>
      </c>
      <c r="C46" t="s">
        <v>1850</v>
      </c>
      <c r="D46">
        <v>76</v>
      </c>
      <c r="E46">
        <v>1</v>
      </c>
      <c r="F46">
        <v>0</v>
      </c>
      <c r="G46">
        <v>50.33</v>
      </c>
      <c r="H46">
        <v>0.9</v>
      </c>
      <c r="I46">
        <v>49.43</v>
      </c>
      <c r="J46">
        <v>1073.6400000000001</v>
      </c>
      <c r="K46">
        <v>123.21</v>
      </c>
      <c r="L46">
        <v>3</v>
      </c>
      <c r="M46" t="s">
        <v>1851</v>
      </c>
      <c r="N46">
        <v>3</v>
      </c>
      <c r="O46">
        <v>73</v>
      </c>
      <c r="P46">
        <v>44.44</v>
      </c>
      <c r="Q46">
        <v>0</v>
      </c>
      <c r="R46">
        <v>4.99</v>
      </c>
      <c r="S46">
        <v>9.39</v>
      </c>
      <c r="T46">
        <v>7.37</v>
      </c>
      <c r="U46">
        <v>1.51</v>
      </c>
      <c r="V46">
        <v>84</v>
      </c>
      <c r="W46">
        <v>0</v>
      </c>
      <c r="X46">
        <v>0</v>
      </c>
      <c r="Y46">
        <v>49.43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49.43</v>
      </c>
      <c r="AF46" t="s">
        <v>1722</v>
      </c>
      <c r="AG46" t="s">
        <v>1600</v>
      </c>
      <c r="AH46">
        <v>0.7</v>
      </c>
    </row>
    <row r="47" spans="1:34" x14ac:dyDescent="0.25">
      <c r="A47" s="2">
        <v>45649</v>
      </c>
      <c r="B47" t="s">
        <v>1910</v>
      </c>
      <c r="C47" t="s">
        <v>1911</v>
      </c>
      <c r="D47">
        <v>43</v>
      </c>
      <c r="E47">
        <v>1</v>
      </c>
      <c r="F47">
        <v>0</v>
      </c>
      <c r="G47">
        <v>21.69</v>
      </c>
      <c r="H47">
        <v>0.26</v>
      </c>
      <c r="I47">
        <v>21.43</v>
      </c>
      <c r="J47">
        <v>543.58000000000004</v>
      </c>
      <c r="K47">
        <v>59.67</v>
      </c>
      <c r="L47">
        <v>6</v>
      </c>
      <c r="M47" t="s">
        <v>1912</v>
      </c>
      <c r="N47">
        <v>4</v>
      </c>
      <c r="O47">
        <v>39</v>
      </c>
      <c r="P47">
        <v>19.73</v>
      </c>
      <c r="Q47">
        <v>0</v>
      </c>
      <c r="R47">
        <v>1.7</v>
      </c>
      <c r="S47">
        <v>0.89</v>
      </c>
      <c r="T47">
        <v>0.8</v>
      </c>
      <c r="U47">
        <v>1.98</v>
      </c>
      <c r="V47">
        <v>47</v>
      </c>
      <c r="W47">
        <v>0</v>
      </c>
      <c r="X47">
        <v>0</v>
      </c>
      <c r="Y47">
        <v>21.43</v>
      </c>
      <c r="Z47">
        <v>0</v>
      </c>
      <c r="AA47" t="s">
        <v>115</v>
      </c>
      <c r="AB47">
        <v>0</v>
      </c>
      <c r="AC47">
        <v>0.1</v>
      </c>
      <c r="AD47">
        <v>0.05</v>
      </c>
      <c r="AE47">
        <v>21.43</v>
      </c>
      <c r="AF47" t="s">
        <v>1686</v>
      </c>
      <c r="AG47" t="s">
        <v>1599</v>
      </c>
      <c r="AH47">
        <v>0.7</v>
      </c>
    </row>
    <row r="48" spans="1:34" x14ac:dyDescent="0.25">
      <c r="A48" s="2">
        <v>45642</v>
      </c>
      <c r="B48" t="s">
        <v>1868</v>
      </c>
      <c r="C48" t="s">
        <v>1869</v>
      </c>
      <c r="D48">
        <v>52</v>
      </c>
      <c r="E48">
        <v>1</v>
      </c>
      <c r="F48">
        <v>0</v>
      </c>
      <c r="G48">
        <v>39.340000000000003</v>
      </c>
      <c r="H48">
        <v>6.78</v>
      </c>
      <c r="I48">
        <v>32.56</v>
      </c>
      <c r="J48">
        <v>648.21</v>
      </c>
      <c r="K48">
        <v>108.99</v>
      </c>
      <c r="L48">
        <v>24</v>
      </c>
      <c r="M48" t="s">
        <v>1870</v>
      </c>
      <c r="N48">
        <v>24</v>
      </c>
      <c r="O48">
        <v>28</v>
      </c>
      <c r="P48">
        <v>30.32</v>
      </c>
      <c r="Q48">
        <v>0</v>
      </c>
      <c r="R48">
        <v>2.2400000000000002</v>
      </c>
      <c r="S48">
        <v>21.68</v>
      </c>
      <c r="T48">
        <v>17.32</v>
      </c>
      <c r="U48">
        <v>1.32</v>
      </c>
      <c r="V48">
        <v>58</v>
      </c>
      <c r="W48">
        <v>0</v>
      </c>
      <c r="X48">
        <v>0</v>
      </c>
      <c r="Y48">
        <v>32.56</v>
      </c>
      <c r="Z48">
        <v>0</v>
      </c>
      <c r="AA48" t="s">
        <v>114</v>
      </c>
      <c r="AB48">
        <v>0</v>
      </c>
      <c r="AC48">
        <v>0.1</v>
      </c>
      <c r="AD48">
        <v>0.05</v>
      </c>
      <c r="AE48">
        <v>32.56</v>
      </c>
      <c r="AF48" t="s">
        <v>1641</v>
      </c>
      <c r="AG48" t="s">
        <v>1667</v>
      </c>
      <c r="AH48">
        <v>0.7</v>
      </c>
    </row>
    <row r="49" spans="1:34" x14ac:dyDescent="0.25">
      <c r="A49" s="2">
        <v>45649</v>
      </c>
      <c r="B49" t="s">
        <v>1868</v>
      </c>
      <c r="C49" t="s">
        <v>1869</v>
      </c>
      <c r="D49">
        <v>70</v>
      </c>
      <c r="E49">
        <v>0.9838709677419355</v>
      </c>
      <c r="F49">
        <v>0</v>
      </c>
      <c r="G49">
        <v>48.92</v>
      </c>
      <c r="H49">
        <v>4.41</v>
      </c>
      <c r="I49">
        <v>44.510000000000005</v>
      </c>
      <c r="J49">
        <v>1084.3499999999999</v>
      </c>
      <c r="K49">
        <v>124.74</v>
      </c>
      <c r="L49">
        <v>6</v>
      </c>
      <c r="M49" t="s">
        <v>1870</v>
      </c>
      <c r="N49">
        <v>17</v>
      </c>
      <c r="O49">
        <v>53</v>
      </c>
      <c r="P49">
        <v>37.130000000000003</v>
      </c>
      <c r="Q49">
        <v>1</v>
      </c>
      <c r="R49">
        <v>7.37</v>
      </c>
      <c r="S49">
        <v>20.76</v>
      </c>
      <c r="T49">
        <v>14.29</v>
      </c>
      <c r="U49">
        <v>1.43</v>
      </c>
      <c r="V49">
        <v>61</v>
      </c>
      <c r="W49">
        <v>0</v>
      </c>
      <c r="X49">
        <v>0</v>
      </c>
      <c r="Y49">
        <v>44.510000000000005</v>
      </c>
      <c r="Z49">
        <v>0</v>
      </c>
      <c r="AA49" t="s">
        <v>115</v>
      </c>
      <c r="AB49">
        <v>0</v>
      </c>
      <c r="AC49">
        <v>0.1</v>
      </c>
      <c r="AD49">
        <v>0.05</v>
      </c>
      <c r="AE49">
        <v>44.510000000000005</v>
      </c>
      <c r="AF49" t="s">
        <v>1641</v>
      </c>
      <c r="AG49" t="s">
        <v>1667</v>
      </c>
      <c r="AH49">
        <v>0.7</v>
      </c>
    </row>
    <row r="50" spans="1:34" x14ac:dyDescent="0.25">
      <c r="A50" s="2">
        <v>45642</v>
      </c>
      <c r="B50" t="s">
        <v>2006</v>
      </c>
      <c r="C50" t="s">
        <v>2007</v>
      </c>
      <c r="D50">
        <v>65</v>
      </c>
      <c r="E50">
        <v>1</v>
      </c>
      <c r="F50">
        <v>0</v>
      </c>
      <c r="G50">
        <v>50.19</v>
      </c>
      <c r="H50">
        <v>2.44</v>
      </c>
      <c r="I50">
        <v>47.75</v>
      </c>
      <c r="J50">
        <v>707.05</v>
      </c>
      <c r="K50">
        <v>12</v>
      </c>
      <c r="L50">
        <v>1.5</v>
      </c>
      <c r="M50" t="s">
        <v>1861</v>
      </c>
      <c r="N50">
        <v>5</v>
      </c>
      <c r="O50">
        <v>60</v>
      </c>
      <c r="P50">
        <v>27.87</v>
      </c>
      <c r="Q50">
        <v>0</v>
      </c>
      <c r="R50">
        <v>19.87</v>
      </c>
      <c r="S50">
        <v>11.07</v>
      </c>
      <c r="T50">
        <v>7.87</v>
      </c>
      <c r="U50">
        <v>1.3</v>
      </c>
      <c r="V50">
        <v>72</v>
      </c>
      <c r="W50">
        <v>0</v>
      </c>
      <c r="X50">
        <v>0</v>
      </c>
      <c r="Y50">
        <v>47.75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47.75</v>
      </c>
      <c r="AF50" t="s">
        <v>1693</v>
      </c>
      <c r="AG50" t="s">
        <v>1745</v>
      </c>
      <c r="AH50">
        <v>0.7</v>
      </c>
    </row>
    <row r="51" spans="1:34" x14ac:dyDescent="0.25">
      <c r="A51" s="2">
        <v>45649</v>
      </c>
      <c r="B51" t="s">
        <v>2006</v>
      </c>
      <c r="C51" t="s">
        <v>2007</v>
      </c>
      <c r="D51">
        <v>94</v>
      </c>
      <c r="E51">
        <v>0.89380530973451322</v>
      </c>
      <c r="F51">
        <v>2.9702970297029702E-2</v>
      </c>
      <c r="G51">
        <v>60</v>
      </c>
      <c r="H51">
        <v>0.1</v>
      </c>
      <c r="I51">
        <v>59.9</v>
      </c>
      <c r="J51">
        <v>1050.47</v>
      </c>
      <c r="K51">
        <v>73.8</v>
      </c>
      <c r="L51">
        <v>6</v>
      </c>
      <c r="M51" t="s">
        <v>1861</v>
      </c>
      <c r="N51">
        <v>10</v>
      </c>
      <c r="O51">
        <v>84</v>
      </c>
      <c r="P51">
        <v>40.43</v>
      </c>
      <c r="Q51">
        <v>12</v>
      </c>
      <c r="R51">
        <v>19.46</v>
      </c>
      <c r="S51">
        <v>16.78</v>
      </c>
      <c r="T51">
        <v>13.18</v>
      </c>
      <c r="U51">
        <v>1.57</v>
      </c>
      <c r="V51">
        <v>101</v>
      </c>
      <c r="W51">
        <v>0</v>
      </c>
      <c r="X51">
        <v>3</v>
      </c>
      <c r="Y51">
        <v>0</v>
      </c>
      <c r="Z51">
        <v>0</v>
      </c>
      <c r="AA51" t="s">
        <v>115</v>
      </c>
      <c r="AB51">
        <v>59.9</v>
      </c>
      <c r="AC51">
        <v>0.1</v>
      </c>
      <c r="AD51">
        <v>0.05</v>
      </c>
      <c r="AE51">
        <v>0</v>
      </c>
      <c r="AF51" t="s">
        <v>1693</v>
      </c>
      <c r="AG51" t="s">
        <v>1745</v>
      </c>
      <c r="AH51">
        <v>0.7</v>
      </c>
    </row>
    <row r="52" spans="1:34" x14ac:dyDescent="0.25">
      <c r="A52" s="2">
        <v>45642</v>
      </c>
      <c r="B52" t="s">
        <v>1975</v>
      </c>
      <c r="C52" t="s">
        <v>1976</v>
      </c>
      <c r="D52">
        <v>77</v>
      </c>
      <c r="E52">
        <v>0.83908045977011492</v>
      </c>
      <c r="F52">
        <v>0</v>
      </c>
      <c r="G52">
        <v>60.04</v>
      </c>
      <c r="H52">
        <v>0.5</v>
      </c>
      <c r="I52">
        <v>59.54</v>
      </c>
      <c r="J52">
        <v>999.1</v>
      </c>
      <c r="K52">
        <v>54.2</v>
      </c>
      <c r="L52">
        <v>0</v>
      </c>
      <c r="M52" t="s">
        <v>1977</v>
      </c>
      <c r="N52">
        <v>27</v>
      </c>
      <c r="O52">
        <v>50</v>
      </c>
      <c r="P52">
        <v>43.27</v>
      </c>
      <c r="Q52">
        <v>14</v>
      </c>
      <c r="R52">
        <v>16.27</v>
      </c>
      <c r="S52">
        <v>35.56</v>
      </c>
      <c r="T52">
        <v>31.29</v>
      </c>
      <c r="U52">
        <v>1.28</v>
      </c>
      <c r="V52">
        <v>73</v>
      </c>
      <c r="W52">
        <v>0</v>
      </c>
      <c r="X52">
        <v>0</v>
      </c>
      <c r="Y52">
        <v>0</v>
      </c>
      <c r="Z52">
        <v>0</v>
      </c>
      <c r="AA52" t="s">
        <v>114</v>
      </c>
      <c r="AB52">
        <v>59.54</v>
      </c>
      <c r="AC52">
        <v>0.1</v>
      </c>
      <c r="AD52">
        <v>0.05</v>
      </c>
      <c r="AE52">
        <v>0</v>
      </c>
      <c r="AF52" t="s">
        <v>1962</v>
      </c>
      <c r="AG52" t="s">
        <v>1670</v>
      </c>
      <c r="AH52">
        <v>0.7</v>
      </c>
    </row>
    <row r="53" spans="1:34" x14ac:dyDescent="0.25">
      <c r="A53" s="2">
        <v>45642</v>
      </c>
      <c r="B53" t="s">
        <v>1892</v>
      </c>
      <c r="C53" t="s">
        <v>2007</v>
      </c>
      <c r="D53">
        <v>58</v>
      </c>
      <c r="E53">
        <v>1</v>
      </c>
      <c r="F53">
        <v>4.6511627906976744E-2</v>
      </c>
      <c r="G53">
        <v>50.02</v>
      </c>
      <c r="H53">
        <v>1.73</v>
      </c>
      <c r="I53">
        <v>48.290000000000006</v>
      </c>
      <c r="J53">
        <v>681.96</v>
      </c>
      <c r="K53">
        <v>42</v>
      </c>
      <c r="L53">
        <v>7.06</v>
      </c>
      <c r="M53" t="s">
        <v>1918</v>
      </c>
      <c r="N53">
        <v>8</v>
      </c>
      <c r="O53">
        <v>50</v>
      </c>
      <c r="P53">
        <v>32.57</v>
      </c>
      <c r="Q53">
        <v>0</v>
      </c>
      <c r="R53">
        <v>15.73</v>
      </c>
      <c r="S53">
        <v>12.7</v>
      </c>
      <c r="T53">
        <v>8.6199999999999992</v>
      </c>
      <c r="U53">
        <v>1.1599999999999999</v>
      </c>
      <c r="V53">
        <v>86</v>
      </c>
      <c r="W53">
        <v>0</v>
      </c>
      <c r="X53">
        <v>4</v>
      </c>
      <c r="Y53">
        <v>0</v>
      </c>
      <c r="Z53">
        <v>0</v>
      </c>
      <c r="AA53" t="s">
        <v>114</v>
      </c>
      <c r="AB53">
        <v>48.290000000000006</v>
      </c>
      <c r="AC53">
        <v>0.1</v>
      </c>
      <c r="AD53">
        <v>0.05</v>
      </c>
      <c r="AE53">
        <v>0</v>
      </c>
      <c r="AF53" t="s">
        <v>1712</v>
      </c>
      <c r="AG53" t="s">
        <v>1699</v>
      </c>
      <c r="AH53">
        <v>0.7</v>
      </c>
    </row>
    <row r="54" spans="1:34" x14ac:dyDescent="0.25">
      <c r="A54" s="2">
        <v>45649</v>
      </c>
      <c r="B54" t="s">
        <v>1975</v>
      </c>
      <c r="C54" t="s">
        <v>1976</v>
      </c>
      <c r="D54">
        <v>67</v>
      </c>
      <c r="E54">
        <v>0.76543209876543206</v>
      </c>
      <c r="F54">
        <v>0</v>
      </c>
      <c r="G54">
        <v>55.1</v>
      </c>
      <c r="H54">
        <v>0.69</v>
      </c>
      <c r="I54">
        <v>54.410000000000004</v>
      </c>
      <c r="J54">
        <v>792.97</v>
      </c>
      <c r="K54">
        <v>74.3</v>
      </c>
      <c r="L54">
        <v>0</v>
      </c>
      <c r="M54" t="s">
        <v>1977</v>
      </c>
      <c r="N54">
        <v>12</v>
      </c>
      <c r="O54">
        <v>55</v>
      </c>
      <c r="P54">
        <v>32.76</v>
      </c>
      <c r="Q54">
        <v>19</v>
      </c>
      <c r="R54">
        <v>21.65</v>
      </c>
      <c r="S54">
        <v>34.18</v>
      </c>
      <c r="T54">
        <v>23.48</v>
      </c>
      <c r="U54">
        <v>1.22</v>
      </c>
      <c r="V54">
        <v>62</v>
      </c>
      <c r="W54">
        <v>0</v>
      </c>
      <c r="X54">
        <v>0</v>
      </c>
      <c r="Y54">
        <v>0</v>
      </c>
      <c r="Z54">
        <v>0</v>
      </c>
      <c r="AA54" t="s">
        <v>115</v>
      </c>
      <c r="AB54">
        <v>54.410000000000004</v>
      </c>
      <c r="AC54">
        <v>0.1</v>
      </c>
      <c r="AD54">
        <v>0.05</v>
      </c>
      <c r="AE54">
        <v>0</v>
      </c>
      <c r="AF54" t="s">
        <v>1962</v>
      </c>
      <c r="AG54" t="s">
        <v>1670</v>
      </c>
      <c r="AH54">
        <v>0.7</v>
      </c>
    </row>
    <row r="55" spans="1:34" x14ac:dyDescent="0.25">
      <c r="A55" s="2">
        <v>45649</v>
      </c>
      <c r="B55" t="s">
        <v>1892</v>
      </c>
      <c r="C55" t="s">
        <v>2007</v>
      </c>
      <c r="D55">
        <v>70</v>
      </c>
      <c r="E55">
        <v>1</v>
      </c>
      <c r="F55">
        <v>7.1428571428571425E-2</v>
      </c>
      <c r="G55">
        <v>50.07</v>
      </c>
      <c r="H55">
        <v>0.01</v>
      </c>
      <c r="I55">
        <v>50.06</v>
      </c>
      <c r="J55">
        <v>816.34</v>
      </c>
      <c r="K55">
        <v>60.36</v>
      </c>
      <c r="L55">
        <v>3.8</v>
      </c>
      <c r="M55" t="s">
        <v>1918</v>
      </c>
      <c r="N55">
        <v>10</v>
      </c>
      <c r="O55">
        <v>60</v>
      </c>
      <c r="P55">
        <v>33.51</v>
      </c>
      <c r="Q55">
        <v>0</v>
      </c>
      <c r="R55">
        <v>16.54</v>
      </c>
      <c r="S55">
        <v>15.75</v>
      </c>
      <c r="T55">
        <v>11.36</v>
      </c>
      <c r="U55">
        <v>1.4</v>
      </c>
      <c r="V55">
        <v>84</v>
      </c>
      <c r="W55">
        <v>0</v>
      </c>
      <c r="X55">
        <v>6</v>
      </c>
      <c r="Y55">
        <v>0</v>
      </c>
      <c r="Z55">
        <v>0</v>
      </c>
      <c r="AA55" t="s">
        <v>115</v>
      </c>
      <c r="AB55">
        <v>50.06</v>
      </c>
      <c r="AC55">
        <v>0.1</v>
      </c>
      <c r="AD55">
        <v>0.05</v>
      </c>
      <c r="AE55">
        <v>0</v>
      </c>
      <c r="AF55" t="s">
        <v>1712</v>
      </c>
      <c r="AG55" t="s">
        <v>1699</v>
      </c>
      <c r="AH55">
        <v>0.7</v>
      </c>
    </row>
    <row r="56" spans="1:34" x14ac:dyDescent="0.25">
      <c r="A56" s="2">
        <v>45649</v>
      </c>
      <c r="B56" t="s">
        <v>1838</v>
      </c>
      <c r="C56" t="s">
        <v>1839</v>
      </c>
      <c r="D56">
        <v>27</v>
      </c>
      <c r="E56">
        <v>1</v>
      </c>
      <c r="F56">
        <v>0</v>
      </c>
      <c r="G56">
        <v>15.36</v>
      </c>
      <c r="H56">
        <v>0</v>
      </c>
      <c r="I56">
        <v>15.36</v>
      </c>
      <c r="J56">
        <v>329.22</v>
      </c>
      <c r="K56">
        <v>31</v>
      </c>
      <c r="L56">
        <v>0</v>
      </c>
      <c r="M56" t="s">
        <v>1840</v>
      </c>
      <c r="N56">
        <v>2</v>
      </c>
      <c r="O56">
        <v>25</v>
      </c>
      <c r="P56">
        <v>12.43</v>
      </c>
      <c r="Q56">
        <v>0</v>
      </c>
      <c r="R56">
        <v>2.94</v>
      </c>
      <c r="S56">
        <v>0</v>
      </c>
      <c r="T56">
        <v>0</v>
      </c>
      <c r="U56">
        <v>1.76</v>
      </c>
      <c r="V56">
        <v>23</v>
      </c>
      <c r="W56">
        <v>0</v>
      </c>
      <c r="X56">
        <v>0</v>
      </c>
      <c r="Y56">
        <v>15.36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15.36</v>
      </c>
      <c r="AF56" t="s">
        <v>1629</v>
      </c>
      <c r="AG56" t="s">
        <v>1599</v>
      </c>
      <c r="AH56">
        <v>0.7</v>
      </c>
    </row>
    <row r="57" spans="1:34" x14ac:dyDescent="0.25">
      <c r="A57" s="2">
        <v>45642</v>
      </c>
      <c r="B57" t="s">
        <v>2034</v>
      </c>
      <c r="C57" t="s">
        <v>1883</v>
      </c>
      <c r="D57">
        <v>16</v>
      </c>
      <c r="E57">
        <v>1</v>
      </c>
      <c r="F57">
        <v>4.7619047619047616E-2</v>
      </c>
      <c r="G57">
        <v>19.510000000000002</v>
      </c>
      <c r="H57">
        <v>0.05</v>
      </c>
      <c r="I57">
        <v>19.46</v>
      </c>
      <c r="J57">
        <v>189.3</v>
      </c>
      <c r="K57">
        <v>9</v>
      </c>
      <c r="L57">
        <v>0</v>
      </c>
      <c r="M57" t="s">
        <v>2035</v>
      </c>
      <c r="N57">
        <v>0</v>
      </c>
      <c r="O57">
        <v>16</v>
      </c>
      <c r="P57">
        <v>8.08</v>
      </c>
      <c r="Q57">
        <v>0</v>
      </c>
      <c r="R57">
        <v>11.38</v>
      </c>
      <c r="S57">
        <v>3.74</v>
      </c>
      <c r="T57">
        <v>1.18</v>
      </c>
      <c r="U57">
        <v>0.82</v>
      </c>
      <c r="V57">
        <v>21</v>
      </c>
      <c r="W57">
        <v>0</v>
      </c>
      <c r="X57">
        <v>1</v>
      </c>
      <c r="Y57">
        <v>0</v>
      </c>
      <c r="Z57">
        <v>0</v>
      </c>
      <c r="AA57" t="s">
        <v>114</v>
      </c>
      <c r="AB57">
        <v>19.46</v>
      </c>
      <c r="AC57">
        <v>0.1</v>
      </c>
      <c r="AD57">
        <v>0.05</v>
      </c>
      <c r="AE57">
        <v>0</v>
      </c>
      <c r="AF57" t="s">
        <v>1966</v>
      </c>
      <c r="AG57" t="s">
        <v>1814</v>
      </c>
      <c r="AH57">
        <v>0.7</v>
      </c>
    </row>
    <row r="58" spans="1:34" x14ac:dyDescent="0.25">
      <c r="A58" s="2">
        <v>45642</v>
      </c>
      <c r="B58" t="s">
        <v>1862</v>
      </c>
      <c r="C58" t="s">
        <v>1863</v>
      </c>
      <c r="D58">
        <v>38</v>
      </c>
      <c r="E58">
        <v>1</v>
      </c>
      <c r="F58">
        <v>7.1428571428571425E-2</v>
      </c>
      <c r="G58">
        <v>30.11</v>
      </c>
      <c r="H58">
        <v>0</v>
      </c>
      <c r="I58">
        <v>30.11</v>
      </c>
      <c r="J58">
        <v>467.28</v>
      </c>
      <c r="K58">
        <v>21</v>
      </c>
      <c r="L58">
        <v>0</v>
      </c>
      <c r="M58" t="s">
        <v>1864</v>
      </c>
      <c r="N58">
        <v>23</v>
      </c>
      <c r="O58">
        <v>15</v>
      </c>
      <c r="P58">
        <v>29.34</v>
      </c>
      <c r="Q58">
        <v>0</v>
      </c>
      <c r="R58">
        <v>0.76</v>
      </c>
      <c r="S58">
        <v>25.61</v>
      </c>
      <c r="T58">
        <v>24.88</v>
      </c>
      <c r="U58">
        <v>1.26</v>
      </c>
      <c r="V58">
        <v>56</v>
      </c>
      <c r="W58">
        <v>0</v>
      </c>
      <c r="X58">
        <v>4</v>
      </c>
      <c r="Y58">
        <v>0</v>
      </c>
      <c r="Z58">
        <v>0</v>
      </c>
      <c r="AA58" t="s">
        <v>114</v>
      </c>
      <c r="AB58">
        <v>30.11</v>
      </c>
      <c r="AC58">
        <v>0.1</v>
      </c>
      <c r="AD58">
        <v>0.05</v>
      </c>
      <c r="AE58">
        <v>0</v>
      </c>
      <c r="AF58" t="s">
        <v>1604</v>
      </c>
      <c r="AG58" t="s">
        <v>1599</v>
      </c>
      <c r="AH58">
        <v>0.7</v>
      </c>
    </row>
    <row r="59" spans="1:34" x14ac:dyDescent="0.25">
      <c r="A59" s="2">
        <v>45649</v>
      </c>
      <c r="B59" t="s">
        <v>1862</v>
      </c>
      <c r="C59" t="s">
        <v>1863</v>
      </c>
      <c r="D59">
        <v>32</v>
      </c>
      <c r="E59">
        <v>0.95121951219512191</v>
      </c>
      <c r="F59">
        <v>2.564102564102564E-2</v>
      </c>
      <c r="G59">
        <v>18.760000000000002</v>
      </c>
      <c r="H59">
        <v>0</v>
      </c>
      <c r="I59">
        <v>18.760000000000002</v>
      </c>
      <c r="J59">
        <v>419.26</v>
      </c>
      <c r="K59">
        <v>18</v>
      </c>
      <c r="L59">
        <v>0</v>
      </c>
      <c r="M59" t="s">
        <v>1864</v>
      </c>
      <c r="N59">
        <v>9</v>
      </c>
      <c r="O59">
        <v>23</v>
      </c>
      <c r="P59">
        <v>16.93</v>
      </c>
      <c r="Q59">
        <v>1</v>
      </c>
      <c r="R59">
        <v>1.83</v>
      </c>
      <c r="S59">
        <v>0</v>
      </c>
      <c r="T59">
        <v>0</v>
      </c>
      <c r="U59">
        <v>1.71</v>
      </c>
      <c r="V59">
        <v>39</v>
      </c>
      <c r="W59">
        <v>1</v>
      </c>
      <c r="X59">
        <v>1</v>
      </c>
      <c r="Y59">
        <v>18.760000000000002</v>
      </c>
      <c r="Z59">
        <v>0</v>
      </c>
      <c r="AA59" t="s">
        <v>115</v>
      </c>
      <c r="AB59">
        <v>0</v>
      </c>
      <c r="AC59">
        <v>0.1</v>
      </c>
      <c r="AD59">
        <v>0.05</v>
      </c>
      <c r="AE59">
        <v>18.760000000000002</v>
      </c>
      <c r="AF59" t="s">
        <v>1604</v>
      </c>
      <c r="AG59" t="s">
        <v>1599</v>
      </c>
      <c r="AH59">
        <v>0.7</v>
      </c>
    </row>
    <row r="60" spans="1:34" x14ac:dyDescent="0.25">
      <c r="A60" s="2">
        <v>45642</v>
      </c>
      <c r="B60" t="s">
        <v>2008</v>
      </c>
      <c r="C60" t="s">
        <v>2009</v>
      </c>
      <c r="D60">
        <v>150</v>
      </c>
      <c r="E60">
        <v>0.98795180722891562</v>
      </c>
      <c r="F60">
        <v>1.8292682926829267E-2</v>
      </c>
      <c r="G60">
        <v>83.88</v>
      </c>
      <c r="H60">
        <v>0.65</v>
      </c>
      <c r="I60">
        <v>83.22999999999999</v>
      </c>
      <c r="J60">
        <v>1797.35</v>
      </c>
      <c r="K60">
        <v>100.21</v>
      </c>
      <c r="L60">
        <v>8.1999999999999993</v>
      </c>
      <c r="M60" t="s">
        <v>1914</v>
      </c>
      <c r="N60">
        <v>17</v>
      </c>
      <c r="O60">
        <v>133</v>
      </c>
      <c r="P60">
        <v>74.59</v>
      </c>
      <c r="Q60">
        <v>2</v>
      </c>
      <c r="R60">
        <v>8.64</v>
      </c>
      <c r="S60">
        <v>15.33</v>
      </c>
      <c r="T60">
        <v>14.15</v>
      </c>
      <c r="U60">
        <v>1.79</v>
      </c>
      <c r="V60">
        <v>164</v>
      </c>
      <c r="W60">
        <v>0</v>
      </c>
      <c r="X60">
        <v>3</v>
      </c>
      <c r="Y60">
        <v>83.22999999999999</v>
      </c>
      <c r="Z60">
        <v>0</v>
      </c>
      <c r="AA60" t="s">
        <v>114</v>
      </c>
      <c r="AB60">
        <v>0</v>
      </c>
      <c r="AC60">
        <v>0.1</v>
      </c>
      <c r="AD60">
        <v>0.05</v>
      </c>
      <c r="AE60">
        <v>83.22999999999999</v>
      </c>
      <c r="AF60" t="s">
        <v>1706</v>
      </c>
      <c r="AG60" t="s">
        <v>1716</v>
      </c>
      <c r="AH60">
        <v>0.7</v>
      </c>
    </row>
    <row r="61" spans="1:34" x14ac:dyDescent="0.25">
      <c r="A61" s="2">
        <v>45642</v>
      </c>
      <c r="B61" t="s">
        <v>2042</v>
      </c>
      <c r="C61" t="s">
        <v>1863</v>
      </c>
      <c r="D61">
        <v>21</v>
      </c>
      <c r="E61">
        <v>1</v>
      </c>
      <c r="F61">
        <v>4.3478260869565216E-2</v>
      </c>
      <c r="G61">
        <v>13.94</v>
      </c>
      <c r="H61">
        <v>0</v>
      </c>
      <c r="I61">
        <v>13.94</v>
      </c>
      <c r="J61">
        <v>331.54</v>
      </c>
      <c r="K61">
        <v>23.39</v>
      </c>
      <c r="L61">
        <v>13.9</v>
      </c>
      <c r="M61" t="s">
        <v>2043</v>
      </c>
      <c r="N61">
        <v>4</v>
      </c>
      <c r="O61">
        <v>17</v>
      </c>
      <c r="P61">
        <v>13.57</v>
      </c>
      <c r="Q61">
        <v>0</v>
      </c>
      <c r="R61">
        <v>0.37</v>
      </c>
      <c r="S61">
        <v>2.82</v>
      </c>
      <c r="T61">
        <v>2.73</v>
      </c>
      <c r="U61">
        <v>1.51</v>
      </c>
      <c r="V61">
        <v>23</v>
      </c>
      <c r="W61">
        <v>0</v>
      </c>
      <c r="X61">
        <v>1</v>
      </c>
      <c r="Y61">
        <v>0</v>
      </c>
      <c r="Z61">
        <v>0</v>
      </c>
      <c r="AA61" t="s">
        <v>114</v>
      </c>
      <c r="AB61">
        <v>13.94</v>
      </c>
      <c r="AC61">
        <v>0.1</v>
      </c>
      <c r="AD61">
        <v>0.05</v>
      </c>
      <c r="AE61">
        <v>0</v>
      </c>
      <c r="AF61" t="s">
        <v>2027</v>
      </c>
      <c r="AG61" t="s">
        <v>1601</v>
      </c>
      <c r="AH61">
        <v>0.7</v>
      </c>
    </row>
    <row r="62" spans="1:34" x14ac:dyDescent="0.25">
      <c r="A62" s="2">
        <v>45649</v>
      </c>
      <c r="B62" t="s">
        <v>2008</v>
      </c>
      <c r="C62" t="s">
        <v>2009</v>
      </c>
      <c r="D62">
        <v>157</v>
      </c>
      <c r="E62">
        <v>1</v>
      </c>
      <c r="F62">
        <v>5.9171597633136093E-3</v>
      </c>
      <c r="G62">
        <v>84.84</v>
      </c>
      <c r="H62">
        <v>3.48</v>
      </c>
      <c r="I62">
        <v>81.36</v>
      </c>
      <c r="J62">
        <v>1806.49</v>
      </c>
      <c r="K62">
        <v>98.93</v>
      </c>
      <c r="L62">
        <v>5.5</v>
      </c>
      <c r="M62" t="s">
        <v>1914</v>
      </c>
      <c r="N62">
        <v>10</v>
      </c>
      <c r="O62">
        <v>147</v>
      </c>
      <c r="P62">
        <v>69.69</v>
      </c>
      <c r="Q62">
        <v>0</v>
      </c>
      <c r="R62">
        <v>11.67</v>
      </c>
      <c r="S62">
        <v>11.68</v>
      </c>
      <c r="T62">
        <v>6.92</v>
      </c>
      <c r="U62">
        <v>1.85</v>
      </c>
      <c r="V62">
        <v>169</v>
      </c>
      <c r="W62">
        <v>0</v>
      </c>
      <c r="X62">
        <v>1</v>
      </c>
      <c r="Y62">
        <v>81.36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81.36</v>
      </c>
      <c r="AF62" t="s">
        <v>1706</v>
      </c>
      <c r="AG62" t="s">
        <v>1716</v>
      </c>
      <c r="AH62">
        <v>0.7</v>
      </c>
    </row>
    <row r="63" spans="1:34" x14ac:dyDescent="0.25">
      <c r="A63" s="2">
        <v>45649</v>
      </c>
      <c r="B63" t="s">
        <v>2042</v>
      </c>
      <c r="C63" t="s">
        <v>1863</v>
      </c>
      <c r="D63">
        <v>56</v>
      </c>
      <c r="E63">
        <v>1</v>
      </c>
      <c r="F63">
        <v>0</v>
      </c>
      <c r="G63">
        <v>26.44</v>
      </c>
      <c r="H63">
        <v>0.4</v>
      </c>
      <c r="I63">
        <v>26.040000000000003</v>
      </c>
      <c r="J63">
        <v>670.12</v>
      </c>
      <c r="K63">
        <v>89.19</v>
      </c>
      <c r="L63">
        <v>9</v>
      </c>
      <c r="M63" t="s">
        <v>2043</v>
      </c>
      <c r="N63">
        <v>2</v>
      </c>
      <c r="O63">
        <v>54</v>
      </c>
      <c r="P63">
        <v>23.61</v>
      </c>
      <c r="Q63">
        <v>0</v>
      </c>
      <c r="R63">
        <v>2.4300000000000002</v>
      </c>
      <c r="S63">
        <v>5.78</v>
      </c>
      <c r="T63">
        <v>5.32</v>
      </c>
      <c r="U63">
        <v>2.12</v>
      </c>
      <c r="V63">
        <v>56</v>
      </c>
      <c r="W63">
        <v>0</v>
      </c>
      <c r="X63">
        <v>0</v>
      </c>
      <c r="Y63">
        <v>26.040000000000003</v>
      </c>
      <c r="Z63">
        <v>0</v>
      </c>
      <c r="AA63" t="s">
        <v>115</v>
      </c>
      <c r="AB63">
        <v>0</v>
      </c>
      <c r="AC63">
        <v>0.1</v>
      </c>
      <c r="AD63">
        <v>0.05</v>
      </c>
      <c r="AE63">
        <v>26.040000000000003</v>
      </c>
      <c r="AF63" t="s">
        <v>2027</v>
      </c>
      <c r="AG63" t="s">
        <v>1601</v>
      </c>
      <c r="AH63">
        <v>0.7</v>
      </c>
    </row>
    <row r="64" spans="1:34" x14ac:dyDescent="0.25">
      <c r="A64" s="2">
        <v>45649</v>
      </c>
      <c r="B64" t="s">
        <v>1880</v>
      </c>
      <c r="C64" t="s">
        <v>1881</v>
      </c>
      <c r="D64">
        <v>44</v>
      </c>
      <c r="E64">
        <v>0.98076923076923073</v>
      </c>
      <c r="F64">
        <v>5.8823529411764705E-2</v>
      </c>
      <c r="G64">
        <v>22</v>
      </c>
      <c r="H64">
        <v>0.5</v>
      </c>
      <c r="I64">
        <v>21.5</v>
      </c>
      <c r="J64">
        <v>513.34</v>
      </c>
      <c r="K64">
        <v>19.510000000000002</v>
      </c>
      <c r="L64">
        <v>6</v>
      </c>
      <c r="M64" t="s">
        <v>1882</v>
      </c>
      <c r="N64">
        <v>4</v>
      </c>
      <c r="O64">
        <v>40</v>
      </c>
      <c r="P64">
        <v>18.3</v>
      </c>
      <c r="Q64">
        <v>0</v>
      </c>
      <c r="R64">
        <v>3.19</v>
      </c>
      <c r="S64">
        <v>3.6</v>
      </c>
      <c r="T64">
        <v>2.42</v>
      </c>
      <c r="U64">
        <v>2</v>
      </c>
      <c r="V64">
        <v>51</v>
      </c>
      <c r="W64">
        <v>1</v>
      </c>
      <c r="X64">
        <v>3</v>
      </c>
      <c r="Y64">
        <v>0</v>
      </c>
      <c r="Z64">
        <v>0</v>
      </c>
      <c r="AA64" t="s">
        <v>115</v>
      </c>
      <c r="AB64">
        <v>21.5</v>
      </c>
      <c r="AC64">
        <v>0.1</v>
      </c>
      <c r="AD64">
        <v>0.05</v>
      </c>
      <c r="AE64">
        <v>0</v>
      </c>
      <c r="AF64" t="s">
        <v>1735</v>
      </c>
      <c r="AG64" t="s">
        <v>1599</v>
      </c>
      <c r="AH64">
        <v>0.7</v>
      </c>
    </row>
    <row r="65" spans="1:34" x14ac:dyDescent="0.25">
      <c r="A65" s="2">
        <v>45642</v>
      </c>
      <c r="B65" t="s">
        <v>1865</v>
      </c>
      <c r="C65" t="s">
        <v>1866</v>
      </c>
      <c r="D65">
        <v>80</v>
      </c>
      <c r="E65">
        <v>1</v>
      </c>
      <c r="F65">
        <v>1.0526315789473684E-2</v>
      </c>
      <c r="G65">
        <v>50.21</v>
      </c>
      <c r="H65">
        <v>0.28999999999999998</v>
      </c>
      <c r="I65">
        <v>49.92</v>
      </c>
      <c r="J65">
        <v>954.42</v>
      </c>
      <c r="K65">
        <v>35.03</v>
      </c>
      <c r="L65">
        <v>12</v>
      </c>
      <c r="M65" t="s">
        <v>1867</v>
      </c>
      <c r="N65">
        <v>42</v>
      </c>
      <c r="O65">
        <v>38</v>
      </c>
      <c r="P65">
        <v>48.86</v>
      </c>
      <c r="Q65">
        <v>0</v>
      </c>
      <c r="R65">
        <v>1.06</v>
      </c>
      <c r="S65">
        <v>44.31</v>
      </c>
      <c r="T65">
        <v>43.1</v>
      </c>
      <c r="U65">
        <v>1.59</v>
      </c>
      <c r="V65">
        <v>95</v>
      </c>
      <c r="W65">
        <v>0</v>
      </c>
      <c r="X65">
        <v>1</v>
      </c>
      <c r="Y65">
        <v>49.92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49.92</v>
      </c>
      <c r="AF65" t="s">
        <v>1733</v>
      </c>
      <c r="AG65" t="s">
        <v>1600</v>
      </c>
      <c r="AH65">
        <v>0.7</v>
      </c>
    </row>
    <row r="66" spans="1:34" x14ac:dyDescent="0.25">
      <c r="A66" s="2">
        <v>45649</v>
      </c>
      <c r="B66" t="s">
        <v>1865</v>
      </c>
      <c r="C66" t="s">
        <v>1866</v>
      </c>
      <c r="D66">
        <v>60</v>
      </c>
      <c r="E66">
        <v>0.94805194805194803</v>
      </c>
      <c r="F66">
        <v>4.1095890410958902E-2</v>
      </c>
      <c r="G66">
        <v>34.979999999999997</v>
      </c>
      <c r="H66">
        <v>0</v>
      </c>
      <c r="I66">
        <v>34.979999999999997</v>
      </c>
      <c r="J66">
        <v>622.57000000000005</v>
      </c>
      <c r="K66">
        <v>14</v>
      </c>
      <c r="L66">
        <v>0</v>
      </c>
      <c r="M66" t="s">
        <v>1867</v>
      </c>
      <c r="N66">
        <v>18</v>
      </c>
      <c r="O66">
        <v>42</v>
      </c>
      <c r="P66">
        <v>29.75</v>
      </c>
      <c r="Q66">
        <v>0</v>
      </c>
      <c r="R66">
        <v>5.23</v>
      </c>
      <c r="S66">
        <v>28.45</v>
      </c>
      <c r="T66">
        <v>23.8</v>
      </c>
      <c r="U66">
        <v>1.72</v>
      </c>
      <c r="V66">
        <v>73</v>
      </c>
      <c r="W66">
        <v>4</v>
      </c>
      <c r="X66">
        <v>3</v>
      </c>
      <c r="Y66">
        <v>0</v>
      </c>
      <c r="Z66">
        <v>34.979999999999997</v>
      </c>
      <c r="AA66" t="s">
        <v>115</v>
      </c>
      <c r="AB66">
        <v>0</v>
      </c>
      <c r="AC66">
        <v>0.1</v>
      </c>
      <c r="AD66">
        <v>0.05</v>
      </c>
      <c r="AE66">
        <v>34.979999999999997</v>
      </c>
      <c r="AF66" t="s">
        <v>1733</v>
      </c>
      <c r="AG66" t="s">
        <v>1600</v>
      </c>
      <c r="AH66">
        <v>0.7</v>
      </c>
    </row>
    <row r="67" spans="1:34" x14ac:dyDescent="0.25">
      <c r="A67" s="2">
        <v>45649</v>
      </c>
      <c r="B67" t="s">
        <v>1871</v>
      </c>
      <c r="C67" t="s">
        <v>1872</v>
      </c>
      <c r="D67">
        <v>29</v>
      </c>
      <c r="E67">
        <v>1</v>
      </c>
      <c r="F67">
        <v>0</v>
      </c>
      <c r="G67">
        <v>15.93</v>
      </c>
      <c r="H67">
        <v>0</v>
      </c>
      <c r="I67">
        <v>15.93</v>
      </c>
      <c r="J67">
        <v>343.85</v>
      </c>
      <c r="K67">
        <v>62.9</v>
      </c>
      <c r="L67">
        <v>0</v>
      </c>
      <c r="M67" t="s">
        <v>1873</v>
      </c>
      <c r="N67">
        <v>6</v>
      </c>
      <c r="O67">
        <v>23</v>
      </c>
      <c r="P67">
        <v>14.38</v>
      </c>
      <c r="Q67">
        <v>0</v>
      </c>
      <c r="R67">
        <v>1.55</v>
      </c>
      <c r="S67">
        <v>10.210000000000001</v>
      </c>
      <c r="T67">
        <v>9.6199999999999992</v>
      </c>
      <c r="U67">
        <v>1.82</v>
      </c>
      <c r="V67">
        <v>27</v>
      </c>
      <c r="W67">
        <v>0</v>
      </c>
      <c r="X67">
        <v>0</v>
      </c>
      <c r="Y67">
        <v>15.93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15.93</v>
      </c>
      <c r="AF67" t="s">
        <v>1602</v>
      </c>
      <c r="AG67" t="s">
        <v>1601</v>
      </c>
      <c r="AH67">
        <v>0.7</v>
      </c>
    </row>
    <row r="68" spans="1:34" x14ac:dyDescent="0.25">
      <c r="A68" s="2">
        <v>45649</v>
      </c>
      <c r="B68" t="s">
        <v>1901</v>
      </c>
      <c r="C68" t="s">
        <v>1902</v>
      </c>
      <c r="D68">
        <v>97</v>
      </c>
      <c r="E68">
        <v>1</v>
      </c>
      <c r="F68">
        <v>9.2592592592592587E-3</v>
      </c>
      <c r="G68">
        <v>61.18</v>
      </c>
      <c r="H68">
        <v>1.18</v>
      </c>
      <c r="I68">
        <v>60</v>
      </c>
      <c r="J68">
        <v>1157.27</v>
      </c>
      <c r="K68">
        <v>65.37</v>
      </c>
      <c r="L68">
        <v>8.9</v>
      </c>
      <c r="M68" t="s">
        <v>1903</v>
      </c>
      <c r="N68">
        <v>25</v>
      </c>
      <c r="O68">
        <v>72</v>
      </c>
      <c r="P68">
        <v>52.04</v>
      </c>
      <c r="Q68">
        <v>0</v>
      </c>
      <c r="R68">
        <v>7.97</v>
      </c>
      <c r="S68">
        <v>35.409999999999997</v>
      </c>
      <c r="T68">
        <v>31.22</v>
      </c>
      <c r="U68">
        <v>1.59</v>
      </c>
      <c r="V68">
        <v>108</v>
      </c>
      <c r="W68">
        <v>0</v>
      </c>
      <c r="X68">
        <v>1</v>
      </c>
      <c r="Y68">
        <v>60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60</v>
      </c>
      <c r="AF68" t="s">
        <v>1736</v>
      </c>
      <c r="AG68" t="s">
        <v>1670</v>
      </c>
      <c r="AH68">
        <v>0.7</v>
      </c>
    </row>
    <row r="69" spans="1:34" x14ac:dyDescent="0.25">
      <c r="A69" s="2">
        <v>45642</v>
      </c>
      <c r="B69" t="s">
        <v>1874</v>
      </c>
      <c r="C69" t="s">
        <v>1875</v>
      </c>
      <c r="D69">
        <v>19</v>
      </c>
      <c r="E69">
        <v>0.96</v>
      </c>
      <c r="F69">
        <v>0</v>
      </c>
      <c r="G69">
        <v>11.1</v>
      </c>
      <c r="H69">
        <v>0.1</v>
      </c>
      <c r="I69">
        <v>11</v>
      </c>
      <c r="J69">
        <v>242.25</v>
      </c>
      <c r="K69">
        <v>14.26</v>
      </c>
      <c r="L69">
        <v>0</v>
      </c>
      <c r="M69" t="s">
        <v>1876</v>
      </c>
      <c r="N69">
        <v>1</v>
      </c>
      <c r="O69">
        <v>18</v>
      </c>
      <c r="P69">
        <v>10.39</v>
      </c>
      <c r="Q69">
        <v>0</v>
      </c>
      <c r="R69">
        <v>0.61</v>
      </c>
      <c r="S69">
        <v>0</v>
      </c>
      <c r="T69">
        <v>0</v>
      </c>
      <c r="U69">
        <v>1.71</v>
      </c>
      <c r="V69">
        <v>24</v>
      </c>
      <c r="W69">
        <v>1</v>
      </c>
      <c r="X69">
        <v>0</v>
      </c>
      <c r="Y69">
        <v>11</v>
      </c>
      <c r="Z69">
        <v>0</v>
      </c>
      <c r="AA69" t="s">
        <v>114</v>
      </c>
      <c r="AB69">
        <v>0</v>
      </c>
      <c r="AC69">
        <v>0.1</v>
      </c>
      <c r="AD69">
        <v>0.05</v>
      </c>
      <c r="AE69">
        <v>11</v>
      </c>
      <c r="AF69" t="s">
        <v>1734</v>
      </c>
      <c r="AG69" t="s">
        <v>1599</v>
      </c>
      <c r="AH69">
        <v>0.7</v>
      </c>
    </row>
    <row r="70" spans="1:34" x14ac:dyDescent="0.25">
      <c r="A70" s="2">
        <v>45649</v>
      </c>
      <c r="B70" t="s">
        <v>1874</v>
      </c>
      <c r="C70" t="s">
        <v>1875</v>
      </c>
      <c r="D70">
        <v>23</v>
      </c>
      <c r="E70">
        <v>1</v>
      </c>
      <c r="F70">
        <v>0</v>
      </c>
      <c r="G70">
        <v>10.15</v>
      </c>
      <c r="H70">
        <v>0</v>
      </c>
      <c r="I70">
        <v>10.15</v>
      </c>
      <c r="J70">
        <v>240.23</v>
      </c>
      <c r="K70">
        <v>8</v>
      </c>
      <c r="L70">
        <v>0</v>
      </c>
      <c r="M70" t="s">
        <v>1876</v>
      </c>
      <c r="N70">
        <v>0</v>
      </c>
      <c r="O70">
        <v>23</v>
      </c>
      <c r="P70">
        <v>9.5500000000000007</v>
      </c>
      <c r="Q70">
        <v>0</v>
      </c>
      <c r="R70">
        <v>0.59</v>
      </c>
      <c r="S70">
        <v>0</v>
      </c>
      <c r="T70">
        <v>0</v>
      </c>
      <c r="U70">
        <v>2.27</v>
      </c>
      <c r="V70">
        <v>23</v>
      </c>
      <c r="W70">
        <v>0</v>
      </c>
      <c r="X70">
        <v>0</v>
      </c>
      <c r="Y70">
        <v>10.15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10.15</v>
      </c>
      <c r="AF70" t="s">
        <v>1734</v>
      </c>
      <c r="AG70" t="s">
        <v>1599</v>
      </c>
      <c r="AH70">
        <v>0.7</v>
      </c>
    </row>
    <row r="71" spans="1:34" x14ac:dyDescent="0.25">
      <c r="A71" s="2">
        <v>45642</v>
      </c>
      <c r="B71" t="s">
        <v>1880</v>
      </c>
      <c r="C71" t="s">
        <v>1881</v>
      </c>
      <c r="D71">
        <v>39</v>
      </c>
      <c r="E71">
        <v>0.96363636363636362</v>
      </c>
      <c r="F71">
        <v>3.7735849056603772E-2</v>
      </c>
      <c r="G71">
        <v>22.53</v>
      </c>
      <c r="H71">
        <v>0.01</v>
      </c>
      <c r="I71">
        <v>22.52</v>
      </c>
      <c r="J71">
        <v>562.16</v>
      </c>
      <c r="K71">
        <v>11</v>
      </c>
      <c r="L71">
        <v>0</v>
      </c>
      <c r="M71" t="s">
        <v>1882</v>
      </c>
      <c r="N71">
        <v>2</v>
      </c>
      <c r="O71">
        <v>37</v>
      </c>
      <c r="P71">
        <v>19.79</v>
      </c>
      <c r="Q71">
        <v>0</v>
      </c>
      <c r="R71">
        <v>2.74</v>
      </c>
      <c r="S71">
        <v>6.75</v>
      </c>
      <c r="T71">
        <v>4.6100000000000003</v>
      </c>
      <c r="U71">
        <v>1.73</v>
      </c>
      <c r="V71">
        <v>53</v>
      </c>
      <c r="W71">
        <v>2</v>
      </c>
      <c r="X71">
        <v>2</v>
      </c>
      <c r="Y71">
        <v>22.52</v>
      </c>
      <c r="Z71">
        <v>0</v>
      </c>
      <c r="AA71" t="s">
        <v>114</v>
      </c>
      <c r="AB71">
        <v>0</v>
      </c>
      <c r="AC71">
        <v>0.1</v>
      </c>
      <c r="AD71">
        <v>0.05</v>
      </c>
      <c r="AE71">
        <v>22.52</v>
      </c>
      <c r="AF71" t="s">
        <v>1735</v>
      </c>
      <c r="AG71" t="s">
        <v>1599</v>
      </c>
      <c r="AH71">
        <v>0.7</v>
      </c>
    </row>
    <row r="72" spans="1:34" x14ac:dyDescent="0.25">
      <c r="A72" s="2">
        <v>45642</v>
      </c>
      <c r="B72" t="s">
        <v>2023</v>
      </c>
      <c r="C72" t="s">
        <v>1895</v>
      </c>
      <c r="D72">
        <v>9</v>
      </c>
      <c r="E72">
        <v>1</v>
      </c>
      <c r="F72">
        <v>0</v>
      </c>
      <c r="G72">
        <v>4.95</v>
      </c>
      <c r="H72">
        <v>0</v>
      </c>
      <c r="I72">
        <v>4.95</v>
      </c>
      <c r="J72">
        <v>106.93</v>
      </c>
      <c r="K72">
        <v>7</v>
      </c>
      <c r="L72">
        <v>0</v>
      </c>
      <c r="M72" t="s">
        <v>2024</v>
      </c>
      <c r="N72">
        <v>0</v>
      </c>
      <c r="O72">
        <v>9</v>
      </c>
      <c r="P72">
        <v>4.87</v>
      </c>
      <c r="Q72">
        <v>0</v>
      </c>
      <c r="R72">
        <v>7.0000000000000007E-2</v>
      </c>
      <c r="S72">
        <v>0</v>
      </c>
      <c r="T72">
        <v>0</v>
      </c>
      <c r="U72">
        <v>1.82</v>
      </c>
      <c r="V72">
        <v>12</v>
      </c>
      <c r="W72">
        <v>0</v>
      </c>
      <c r="X72">
        <v>0</v>
      </c>
      <c r="Y72">
        <v>4.95</v>
      </c>
      <c r="Z72">
        <v>0</v>
      </c>
      <c r="AA72" t="s">
        <v>114</v>
      </c>
      <c r="AB72">
        <v>0</v>
      </c>
      <c r="AC72">
        <v>0.1</v>
      </c>
      <c r="AD72">
        <v>0.05</v>
      </c>
      <c r="AE72">
        <v>4.95</v>
      </c>
      <c r="AF72" t="s">
        <v>2021</v>
      </c>
      <c r="AG72" t="s">
        <v>1600</v>
      </c>
      <c r="AH72">
        <v>0.7</v>
      </c>
    </row>
    <row r="73" spans="1:34" x14ac:dyDescent="0.25">
      <c r="A73" s="2">
        <v>45642</v>
      </c>
      <c r="B73" t="s">
        <v>2010</v>
      </c>
      <c r="C73" t="s">
        <v>2011</v>
      </c>
      <c r="D73">
        <v>34</v>
      </c>
      <c r="E73">
        <v>0.88235294117647056</v>
      </c>
      <c r="F73">
        <v>0</v>
      </c>
      <c r="G73">
        <v>19.239999999999998</v>
      </c>
      <c r="H73">
        <v>0</v>
      </c>
      <c r="I73">
        <v>19.239999999999998</v>
      </c>
      <c r="J73">
        <v>417.11</v>
      </c>
      <c r="K73">
        <v>18.32</v>
      </c>
      <c r="L73">
        <v>1.5</v>
      </c>
      <c r="M73" t="s">
        <v>1919</v>
      </c>
      <c r="N73">
        <v>1</v>
      </c>
      <c r="O73">
        <v>33</v>
      </c>
      <c r="P73">
        <v>16.079999999999998</v>
      </c>
      <c r="Q73">
        <v>1</v>
      </c>
      <c r="R73">
        <v>3.16</v>
      </c>
      <c r="S73">
        <v>0</v>
      </c>
      <c r="T73">
        <v>0</v>
      </c>
      <c r="U73">
        <v>1.77</v>
      </c>
      <c r="V73">
        <v>45</v>
      </c>
      <c r="W73">
        <v>5</v>
      </c>
      <c r="X73">
        <v>0</v>
      </c>
      <c r="Y73">
        <v>0</v>
      </c>
      <c r="Z73">
        <v>0</v>
      </c>
      <c r="AA73" t="s">
        <v>114</v>
      </c>
      <c r="AB73">
        <v>19.239999999999998</v>
      </c>
      <c r="AC73">
        <v>0.1</v>
      </c>
      <c r="AD73">
        <v>0.05</v>
      </c>
      <c r="AE73">
        <v>0</v>
      </c>
      <c r="AF73" t="s">
        <v>1802</v>
      </c>
      <c r="AG73" t="s">
        <v>1599</v>
      </c>
      <c r="AH73">
        <v>0.7</v>
      </c>
    </row>
    <row r="74" spans="1:34" x14ac:dyDescent="0.25">
      <c r="A74" s="2">
        <v>45642</v>
      </c>
      <c r="B74" t="s">
        <v>1886</v>
      </c>
      <c r="C74" t="s">
        <v>1887</v>
      </c>
      <c r="D74">
        <v>73</v>
      </c>
      <c r="E74">
        <v>0.98765432098765427</v>
      </c>
      <c r="F74">
        <v>0</v>
      </c>
      <c r="G74">
        <v>31.91</v>
      </c>
      <c r="H74">
        <v>0.54</v>
      </c>
      <c r="I74">
        <v>31.37</v>
      </c>
      <c r="J74">
        <v>875.88</v>
      </c>
      <c r="K74">
        <v>96.08</v>
      </c>
      <c r="L74">
        <v>11.4</v>
      </c>
      <c r="M74" t="s">
        <v>1888</v>
      </c>
      <c r="N74">
        <v>4</v>
      </c>
      <c r="O74">
        <v>69</v>
      </c>
      <c r="P74">
        <v>30.35</v>
      </c>
      <c r="Q74">
        <v>0</v>
      </c>
      <c r="R74">
        <v>1.02</v>
      </c>
      <c r="S74">
        <v>0</v>
      </c>
      <c r="T74">
        <v>0</v>
      </c>
      <c r="U74">
        <v>2.29</v>
      </c>
      <c r="V74">
        <v>80</v>
      </c>
      <c r="W74">
        <v>1</v>
      </c>
      <c r="X74">
        <v>0</v>
      </c>
      <c r="Y74">
        <v>31.37</v>
      </c>
      <c r="Z74">
        <v>0</v>
      </c>
      <c r="AA74" t="s">
        <v>114</v>
      </c>
      <c r="AB74">
        <v>0</v>
      </c>
      <c r="AC74">
        <v>0.1</v>
      </c>
      <c r="AD74">
        <v>0.05</v>
      </c>
      <c r="AE74">
        <v>31.37</v>
      </c>
      <c r="AF74" t="s">
        <v>1818</v>
      </c>
      <c r="AG74" t="s">
        <v>1600</v>
      </c>
      <c r="AH74">
        <v>0.7</v>
      </c>
    </row>
    <row r="75" spans="1:34" x14ac:dyDescent="0.25">
      <c r="A75" s="2">
        <v>45649</v>
      </c>
      <c r="B75" t="s">
        <v>1886</v>
      </c>
      <c r="C75" t="s">
        <v>1887</v>
      </c>
      <c r="D75">
        <v>93</v>
      </c>
      <c r="E75">
        <v>0.99047619047619051</v>
      </c>
      <c r="F75">
        <v>1.9230769230769232E-2</v>
      </c>
      <c r="G75">
        <v>41.66</v>
      </c>
      <c r="H75">
        <v>0.13</v>
      </c>
      <c r="I75">
        <v>41.529999999999994</v>
      </c>
      <c r="J75">
        <v>1200.1500000000001</v>
      </c>
      <c r="K75">
        <v>57.42</v>
      </c>
      <c r="L75">
        <v>7.2</v>
      </c>
      <c r="M75" t="s">
        <v>1888</v>
      </c>
      <c r="N75">
        <v>3</v>
      </c>
      <c r="O75">
        <v>90</v>
      </c>
      <c r="P75">
        <v>40.049999999999997</v>
      </c>
      <c r="Q75">
        <v>0</v>
      </c>
      <c r="R75">
        <v>1.48</v>
      </c>
      <c r="S75">
        <v>1.25</v>
      </c>
      <c r="T75">
        <v>0.97</v>
      </c>
      <c r="U75">
        <v>2.23</v>
      </c>
      <c r="V75">
        <v>104</v>
      </c>
      <c r="W75">
        <v>1</v>
      </c>
      <c r="X75">
        <v>2</v>
      </c>
      <c r="Y75">
        <v>41.529999999999994</v>
      </c>
      <c r="Z75">
        <v>0</v>
      </c>
      <c r="AA75" t="s">
        <v>115</v>
      </c>
      <c r="AB75">
        <v>0</v>
      </c>
      <c r="AC75">
        <v>0.1</v>
      </c>
      <c r="AD75">
        <v>0.05</v>
      </c>
      <c r="AE75">
        <v>41.529999999999994</v>
      </c>
      <c r="AF75" t="s">
        <v>1818</v>
      </c>
      <c r="AG75" t="s">
        <v>1600</v>
      </c>
      <c r="AH75">
        <v>0.7</v>
      </c>
    </row>
    <row r="76" spans="1:34" x14ac:dyDescent="0.25">
      <c r="A76" s="2">
        <v>45642</v>
      </c>
      <c r="B76" t="s">
        <v>2044</v>
      </c>
      <c r="C76" t="s">
        <v>2045</v>
      </c>
      <c r="D76">
        <v>71</v>
      </c>
      <c r="E76">
        <v>0.8571428571428571</v>
      </c>
      <c r="F76">
        <v>8.3333333333333329E-2</v>
      </c>
      <c r="G76">
        <v>42.56</v>
      </c>
      <c r="H76">
        <v>0.09</v>
      </c>
      <c r="I76">
        <v>42.47</v>
      </c>
      <c r="J76">
        <v>728.17</v>
      </c>
      <c r="K76">
        <v>34.31</v>
      </c>
      <c r="L76">
        <v>0</v>
      </c>
      <c r="M76" t="s">
        <v>2046</v>
      </c>
      <c r="N76">
        <v>9</v>
      </c>
      <c r="O76">
        <v>62</v>
      </c>
      <c r="P76">
        <v>38.840000000000003</v>
      </c>
      <c r="Q76">
        <v>18</v>
      </c>
      <c r="R76">
        <v>3.63</v>
      </c>
      <c r="S76">
        <v>12</v>
      </c>
      <c r="T76">
        <v>11.06</v>
      </c>
      <c r="U76">
        <v>1.67</v>
      </c>
      <c r="V76">
        <v>120</v>
      </c>
      <c r="W76">
        <v>2</v>
      </c>
      <c r="X76">
        <v>10</v>
      </c>
      <c r="Y76">
        <v>0</v>
      </c>
      <c r="Z76">
        <v>0</v>
      </c>
      <c r="AA76" t="s">
        <v>114</v>
      </c>
      <c r="AB76">
        <v>42.47</v>
      </c>
      <c r="AC76">
        <v>0.1</v>
      </c>
      <c r="AD76">
        <v>0.05</v>
      </c>
      <c r="AE76">
        <v>0</v>
      </c>
      <c r="AF76" t="s">
        <v>2029</v>
      </c>
      <c r="AG76" t="s">
        <v>1599</v>
      </c>
      <c r="AH76">
        <v>0.7</v>
      </c>
    </row>
    <row r="77" spans="1:34" x14ac:dyDescent="0.25">
      <c r="A77" s="2">
        <v>45649</v>
      </c>
      <c r="B77" t="s">
        <v>2044</v>
      </c>
      <c r="C77" t="s">
        <v>2045</v>
      </c>
      <c r="D77">
        <v>36</v>
      </c>
      <c r="E77">
        <v>0.70833333333333337</v>
      </c>
      <c r="F77">
        <v>0.14705882352941177</v>
      </c>
      <c r="G77">
        <v>29.51</v>
      </c>
      <c r="H77">
        <v>1.1399999999999999</v>
      </c>
      <c r="I77">
        <v>28.37</v>
      </c>
      <c r="J77">
        <v>417.42</v>
      </c>
      <c r="K77">
        <v>17</v>
      </c>
      <c r="L77">
        <v>24</v>
      </c>
      <c r="M77" t="s">
        <v>2046</v>
      </c>
      <c r="N77">
        <v>2</v>
      </c>
      <c r="O77">
        <v>34</v>
      </c>
      <c r="P77">
        <v>26.09</v>
      </c>
      <c r="Q77">
        <v>25</v>
      </c>
      <c r="R77">
        <v>2.2799999999999998</v>
      </c>
      <c r="S77">
        <v>6.81</v>
      </c>
      <c r="T77">
        <v>6.25</v>
      </c>
      <c r="U77">
        <v>1.22</v>
      </c>
      <c r="V77">
        <v>68</v>
      </c>
      <c r="W77">
        <v>3</v>
      </c>
      <c r="X77">
        <v>10</v>
      </c>
      <c r="Y77">
        <v>0</v>
      </c>
      <c r="Z77">
        <v>0</v>
      </c>
      <c r="AA77" t="s">
        <v>115</v>
      </c>
      <c r="AB77">
        <v>28.37</v>
      </c>
      <c r="AC77">
        <v>0.1</v>
      </c>
      <c r="AD77">
        <v>0.05</v>
      </c>
      <c r="AE77">
        <v>0</v>
      </c>
      <c r="AF77" t="s">
        <v>2029</v>
      </c>
      <c r="AG77" t="s">
        <v>1599</v>
      </c>
      <c r="AH77">
        <v>0.7</v>
      </c>
    </row>
    <row r="78" spans="1:34" x14ac:dyDescent="0.25">
      <c r="A78" s="2">
        <v>45642</v>
      </c>
      <c r="B78" t="s">
        <v>1895</v>
      </c>
      <c r="C78" t="s">
        <v>1896</v>
      </c>
      <c r="D78">
        <v>29</v>
      </c>
      <c r="E78">
        <v>0.81818181818181823</v>
      </c>
      <c r="F78">
        <v>5.5555555555555552E-2</v>
      </c>
      <c r="G78">
        <v>18.39</v>
      </c>
      <c r="H78">
        <v>0</v>
      </c>
      <c r="I78">
        <v>18.39</v>
      </c>
      <c r="J78">
        <v>420.08</v>
      </c>
      <c r="K78">
        <v>23.52</v>
      </c>
      <c r="L78">
        <v>0</v>
      </c>
      <c r="M78" t="s">
        <v>1897</v>
      </c>
      <c r="N78">
        <v>7</v>
      </c>
      <c r="O78">
        <v>22</v>
      </c>
      <c r="P78">
        <v>16.649999999999999</v>
      </c>
      <c r="Q78">
        <v>1</v>
      </c>
      <c r="R78">
        <v>1.73</v>
      </c>
      <c r="S78">
        <v>6.65</v>
      </c>
      <c r="T78">
        <v>6.27</v>
      </c>
      <c r="U78">
        <v>1.58</v>
      </c>
      <c r="V78">
        <v>36</v>
      </c>
      <c r="W78">
        <v>7</v>
      </c>
      <c r="X78">
        <v>2</v>
      </c>
      <c r="Y78">
        <v>0</v>
      </c>
      <c r="Z78">
        <v>0</v>
      </c>
      <c r="AA78" t="s">
        <v>114</v>
      </c>
      <c r="AB78">
        <v>18.39</v>
      </c>
      <c r="AC78">
        <v>0.1</v>
      </c>
      <c r="AD78">
        <v>0.05</v>
      </c>
      <c r="AE78">
        <v>0</v>
      </c>
      <c r="AF78" t="s">
        <v>1675</v>
      </c>
      <c r="AG78" t="s">
        <v>1599</v>
      </c>
      <c r="AH78">
        <v>0.7</v>
      </c>
    </row>
    <row r="79" spans="1:34" x14ac:dyDescent="0.25">
      <c r="A79" s="2">
        <v>45642</v>
      </c>
      <c r="B79" t="s">
        <v>1892</v>
      </c>
      <c r="C79" t="s">
        <v>1893</v>
      </c>
      <c r="D79">
        <v>72</v>
      </c>
      <c r="E79">
        <v>1</v>
      </c>
      <c r="F79">
        <v>2.1505376344086023E-2</v>
      </c>
      <c r="G79">
        <v>51.21</v>
      </c>
      <c r="H79">
        <v>0</v>
      </c>
      <c r="I79">
        <v>51.21</v>
      </c>
      <c r="J79">
        <v>928.16</v>
      </c>
      <c r="K79">
        <v>109.67</v>
      </c>
      <c r="L79">
        <v>0</v>
      </c>
      <c r="M79" t="s">
        <v>1894</v>
      </c>
      <c r="N79">
        <v>12</v>
      </c>
      <c r="O79">
        <v>60</v>
      </c>
      <c r="P79">
        <v>40.520000000000003</v>
      </c>
      <c r="Q79">
        <v>0</v>
      </c>
      <c r="R79">
        <v>10.68</v>
      </c>
      <c r="S79">
        <v>13.44</v>
      </c>
      <c r="T79">
        <v>12.82</v>
      </c>
      <c r="U79">
        <v>1.41</v>
      </c>
      <c r="V79">
        <v>93</v>
      </c>
      <c r="W79">
        <v>0</v>
      </c>
      <c r="X79">
        <v>2</v>
      </c>
      <c r="Y79">
        <v>51.21</v>
      </c>
      <c r="Z79">
        <v>0</v>
      </c>
      <c r="AA79" t="s">
        <v>114</v>
      </c>
      <c r="AB79">
        <v>0</v>
      </c>
      <c r="AC79">
        <v>0.1</v>
      </c>
      <c r="AD79">
        <v>0.05</v>
      </c>
      <c r="AE79">
        <v>51.21</v>
      </c>
      <c r="AF79" t="s">
        <v>1730</v>
      </c>
      <c r="AG79" t="s">
        <v>1787</v>
      </c>
      <c r="AH79">
        <v>0.7</v>
      </c>
    </row>
    <row r="80" spans="1:34" x14ac:dyDescent="0.25">
      <c r="A80" s="2">
        <v>45649</v>
      </c>
      <c r="B80" t="s">
        <v>1892</v>
      </c>
      <c r="C80" t="s">
        <v>1893</v>
      </c>
      <c r="D80">
        <v>77</v>
      </c>
      <c r="E80">
        <v>1</v>
      </c>
      <c r="F80">
        <v>0</v>
      </c>
      <c r="G80">
        <v>50.38</v>
      </c>
      <c r="H80">
        <v>0.01</v>
      </c>
      <c r="I80">
        <v>50.370000000000005</v>
      </c>
      <c r="J80">
        <v>814.29</v>
      </c>
      <c r="K80">
        <v>75.58</v>
      </c>
      <c r="L80">
        <v>0</v>
      </c>
      <c r="M80" t="s">
        <v>1894</v>
      </c>
      <c r="N80">
        <v>14</v>
      </c>
      <c r="O80">
        <v>63</v>
      </c>
      <c r="P80">
        <v>36.409999999999997</v>
      </c>
      <c r="Q80">
        <v>0</v>
      </c>
      <c r="R80">
        <v>13.95</v>
      </c>
      <c r="S80">
        <v>17.329999999999998</v>
      </c>
      <c r="T80">
        <v>12.92</v>
      </c>
      <c r="U80">
        <v>1.53</v>
      </c>
      <c r="V80">
        <v>91</v>
      </c>
      <c r="W80">
        <v>0</v>
      </c>
      <c r="X80">
        <v>0</v>
      </c>
      <c r="Y80">
        <v>50.370000000000005</v>
      </c>
      <c r="Z80">
        <v>0</v>
      </c>
      <c r="AA80" t="s">
        <v>115</v>
      </c>
      <c r="AB80">
        <v>0</v>
      </c>
      <c r="AC80">
        <v>0.1</v>
      </c>
      <c r="AD80">
        <v>0.05</v>
      </c>
      <c r="AE80">
        <v>50.370000000000005</v>
      </c>
      <c r="AF80" t="s">
        <v>1730</v>
      </c>
      <c r="AG80" t="s">
        <v>1787</v>
      </c>
      <c r="AH80">
        <v>0.7</v>
      </c>
    </row>
    <row r="81" spans="1:34" x14ac:dyDescent="0.25">
      <c r="A81" s="2">
        <v>45642</v>
      </c>
      <c r="B81" t="s">
        <v>1987</v>
      </c>
      <c r="C81" t="s">
        <v>1988</v>
      </c>
      <c r="D81">
        <v>78</v>
      </c>
      <c r="E81">
        <v>0.96721311475409832</v>
      </c>
      <c r="F81">
        <v>3.3898305084745763E-2</v>
      </c>
      <c r="G81">
        <v>48.67</v>
      </c>
      <c r="H81">
        <v>7.0000000000000007E-2</v>
      </c>
      <c r="I81">
        <v>48.6</v>
      </c>
      <c r="J81">
        <v>964.51</v>
      </c>
      <c r="K81">
        <v>70.19</v>
      </c>
      <c r="L81">
        <v>6</v>
      </c>
      <c r="M81" t="s">
        <v>1989</v>
      </c>
      <c r="N81">
        <v>10</v>
      </c>
      <c r="O81">
        <v>68</v>
      </c>
      <c r="P81">
        <v>44.22</v>
      </c>
      <c r="Q81">
        <v>2</v>
      </c>
      <c r="R81">
        <v>4.37</v>
      </c>
      <c r="S81">
        <v>27.23</v>
      </c>
      <c r="T81">
        <v>24.16</v>
      </c>
      <c r="U81">
        <v>1.6</v>
      </c>
      <c r="V81">
        <v>59</v>
      </c>
      <c r="W81">
        <v>0</v>
      </c>
      <c r="X81">
        <v>2</v>
      </c>
      <c r="Y81">
        <v>48.6</v>
      </c>
      <c r="Z81">
        <v>0</v>
      </c>
      <c r="AA81" t="s">
        <v>114</v>
      </c>
      <c r="AB81">
        <v>0</v>
      </c>
      <c r="AC81">
        <v>0.1</v>
      </c>
      <c r="AD81">
        <v>0.05</v>
      </c>
      <c r="AE81">
        <v>48.6</v>
      </c>
      <c r="AF81" t="s">
        <v>1968</v>
      </c>
      <c r="AG81" t="s">
        <v>1599</v>
      </c>
      <c r="AH81">
        <v>0.7</v>
      </c>
    </row>
    <row r="82" spans="1:34" x14ac:dyDescent="0.25">
      <c r="A82" s="2">
        <v>45649</v>
      </c>
      <c r="B82" t="s">
        <v>1987</v>
      </c>
      <c r="C82" t="s">
        <v>1988</v>
      </c>
      <c r="D82">
        <v>121</v>
      </c>
      <c r="E82">
        <v>0.98837209302325579</v>
      </c>
      <c r="F82">
        <v>0</v>
      </c>
      <c r="G82">
        <v>71.5</v>
      </c>
      <c r="H82">
        <v>0.11</v>
      </c>
      <c r="I82">
        <v>71.39</v>
      </c>
      <c r="J82">
        <v>1700.42</v>
      </c>
      <c r="K82">
        <v>148.84</v>
      </c>
      <c r="L82">
        <v>13.9</v>
      </c>
      <c r="M82" t="s">
        <v>1989</v>
      </c>
      <c r="N82">
        <v>13</v>
      </c>
      <c r="O82">
        <v>108</v>
      </c>
      <c r="P82">
        <v>61.98</v>
      </c>
      <c r="Q82">
        <v>0</v>
      </c>
      <c r="R82">
        <v>9.41</v>
      </c>
      <c r="S82">
        <v>29.51</v>
      </c>
      <c r="T82">
        <v>25.35</v>
      </c>
      <c r="U82">
        <v>1.69</v>
      </c>
      <c r="V82">
        <v>85</v>
      </c>
      <c r="W82">
        <v>1</v>
      </c>
      <c r="X82">
        <v>0</v>
      </c>
      <c r="Y82">
        <v>71.39</v>
      </c>
      <c r="Z82">
        <v>0</v>
      </c>
      <c r="AA82" t="s">
        <v>115</v>
      </c>
      <c r="AB82">
        <v>0</v>
      </c>
      <c r="AC82">
        <v>0.1</v>
      </c>
      <c r="AD82">
        <v>0.05</v>
      </c>
      <c r="AE82">
        <v>71.39</v>
      </c>
      <c r="AF82" t="s">
        <v>1968</v>
      </c>
      <c r="AG82" t="s">
        <v>1599</v>
      </c>
      <c r="AH82">
        <v>0.7</v>
      </c>
    </row>
    <row r="83" spans="1:34" x14ac:dyDescent="0.25">
      <c r="A83" s="2">
        <v>45642</v>
      </c>
      <c r="B83" t="s">
        <v>1901</v>
      </c>
      <c r="C83" t="s">
        <v>1902</v>
      </c>
      <c r="D83">
        <v>92</v>
      </c>
      <c r="E83">
        <v>0.98181818181818181</v>
      </c>
      <c r="F83">
        <v>1.8518518518518517E-2</v>
      </c>
      <c r="G83">
        <v>59.06</v>
      </c>
      <c r="H83">
        <v>0.01</v>
      </c>
      <c r="I83">
        <v>59.050000000000004</v>
      </c>
      <c r="J83">
        <v>1101.05</v>
      </c>
      <c r="K83">
        <v>81.540000000000006</v>
      </c>
      <c r="L83">
        <v>0</v>
      </c>
      <c r="M83" t="s">
        <v>1903</v>
      </c>
      <c r="N83">
        <v>42</v>
      </c>
      <c r="O83">
        <v>50</v>
      </c>
      <c r="P83">
        <v>54.4</v>
      </c>
      <c r="Q83">
        <v>0</v>
      </c>
      <c r="R83">
        <v>4.6500000000000004</v>
      </c>
      <c r="S83">
        <v>33.9</v>
      </c>
      <c r="T83">
        <v>32.94</v>
      </c>
      <c r="U83">
        <v>1.56</v>
      </c>
      <c r="V83">
        <v>108</v>
      </c>
      <c r="W83">
        <v>2</v>
      </c>
      <c r="X83">
        <v>2</v>
      </c>
      <c r="Y83">
        <v>59.050000000000004</v>
      </c>
      <c r="Z83">
        <v>0</v>
      </c>
      <c r="AA83" t="s">
        <v>114</v>
      </c>
      <c r="AB83">
        <v>0</v>
      </c>
      <c r="AC83">
        <v>0.1</v>
      </c>
      <c r="AD83">
        <v>0.05</v>
      </c>
      <c r="AE83">
        <v>59.050000000000004</v>
      </c>
      <c r="AF83" t="s">
        <v>1736</v>
      </c>
      <c r="AG83" t="s">
        <v>1670</v>
      </c>
      <c r="AH83">
        <v>0.7</v>
      </c>
    </row>
    <row r="84" spans="1:34" x14ac:dyDescent="0.25">
      <c r="A84" s="2">
        <v>45649</v>
      </c>
      <c r="B84" t="s">
        <v>1904</v>
      </c>
      <c r="C84" t="s">
        <v>1905</v>
      </c>
      <c r="D84">
        <v>17</v>
      </c>
      <c r="E84">
        <v>1</v>
      </c>
      <c r="F84">
        <v>8.6956521739130432E-2</v>
      </c>
      <c r="G84">
        <v>12.24</v>
      </c>
      <c r="H84">
        <v>0</v>
      </c>
      <c r="I84">
        <v>12.24</v>
      </c>
      <c r="J84">
        <v>214.53</v>
      </c>
      <c r="K84">
        <v>24.63</v>
      </c>
      <c r="L84">
        <v>0</v>
      </c>
      <c r="M84" t="s">
        <v>1906</v>
      </c>
      <c r="N84">
        <v>0</v>
      </c>
      <c r="O84">
        <v>17</v>
      </c>
      <c r="P84">
        <v>11.02</v>
      </c>
      <c r="Q84">
        <v>0</v>
      </c>
      <c r="R84">
        <v>1.21</v>
      </c>
      <c r="S84">
        <v>7.04</v>
      </c>
      <c r="T84">
        <v>6.34</v>
      </c>
      <c r="U84">
        <v>1.39</v>
      </c>
      <c r="V84">
        <v>23</v>
      </c>
      <c r="W84">
        <v>0</v>
      </c>
      <c r="X84">
        <v>2</v>
      </c>
      <c r="Y84">
        <v>0</v>
      </c>
      <c r="Z84">
        <v>0</v>
      </c>
      <c r="AA84" t="s">
        <v>115</v>
      </c>
      <c r="AB84">
        <v>12.24</v>
      </c>
      <c r="AC84">
        <v>0.1</v>
      </c>
      <c r="AD84">
        <v>0.05</v>
      </c>
      <c r="AE84">
        <v>0</v>
      </c>
      <c r="AF84" t="s">
        <v>1685</v>
      </c>
      <c r="AG84" t="s">
        <v>1599</v>
      </c>
      <c r="AH84">
        <v>0.7</v>
      </c>
    </row>
    <row r="85" spans="1:34" x14ac:dyDescent="0.25">
      <c r="A85" s="2">
        <v>45642</v>
      </c>
      <c r="B85" t="s">
        <v>1910</v>
      </c>
      <c r="C85" t="s">
        <v>1911</v>
      </c>
      <c r="D85">
        <v>36</v>
      </c>
      <c r="E85">
        <v>0.92063492063492058</v>
      </c>
      <c r="F85">
        <v>0</v>
      </c>
      <c r="G85">
        <v>23.1</v>
      </c>
      <c r="H85">
        <v>0</v>
      </c>
      <c r="I85">
        <v>23.1</v>
      </c>
      <c r="J85">
        <v>384.89</v>
      </c>
      <c r="K85">
        <v>38.85</v>
      </c>
      <c r="L85">
        <v>0</v>
      </c>
      <c r="M85" t="s">
        <v>1912</v>
      </c>
      <c r="N85">
        <v>0</v>
      </c>
      <c r="O85">
        <v>36</v>
      </c>
      <c r="P85">
        <v>19.38</v>
      </c>
      <c r="Q85">
        <v>5</v>
      </c>
      <c r="R85">
        <v>3.73</v>
      </c>
      <c r="S85">
        <v>0.53</v>
      </c>
      <c r="T85">
        <v>0.46</v>
      </c>
      <c r="U85">
        <v>1.56</v>
      </c>
      <c r="V85">
        <v>58</v>
      </c>
      <c r="W85">
        <v>0</v>
      </c>
      <c r="X85">
        <v>0</v>
      </c>
      <c r="Y85">
        <v>0</v>
      </c>
      <c r="Z85">
        <v>0</v>
      </c>
      <c r="AA85" t="s">
        <v>114</v>
      </c>
      <c r="AB85">
        <v>23.1</v>
      </c>
      <c r="AC85">
        <v>0.1</v>
      </c>
      <c r="AD85">
        <v>0.05</v>
      </c>
      <c r="AE85">
        <v>0</v>
      </c>
      <c r="AF85" t="s">
        <v>1686</v>
      </c>
      <c r="AG85" t="s">
        <v>1599</v>
      </c>
      <c r="AH85">
        <v>0.7</v>
      </c>
    </row>
    <row r="86" spans="1:34" x14ac:dyDescent="0.25">
      <c r="A86" s="2">
        <v>45642</v>
      </c>
      <c r="B86" t="s">
        <v>2047</v>
      </c>
      <c r="C86" t="s">
        <v>2048</v>
      </c>
      <c r="D86">
        <v>68</v>
      </c>
      <c r="E86">
        <v>0.91176470588235292</v>
      </c>
      <c r="F86">
        <v>3.2258064516129031E-2</v>
      </c>
      <c r="G86">
        <v>54.06</v>
      </c>
      <c r="H86">
        <v>0.08</v>
      </c>
      <c r="I86">
        <v>53.980000000000004</v>
      </c>
      <c r="J86">
        <v>878.51</v>
      </c>
      <c r="K86">
        <v>19</v>
      </c>
      <c r="L86">
        <v>1.9</v>
      </c>
      <c r="M86" t="s">
        <v>2049</v>
      </c>
      <c r="N86">
        <v>35</v>
      </c>
      <c r="O86">
        <v>33</v>
      </c>
      <c r="P86">
        <v>47.15</v>
      </c>
      <c r="Q86">
        <v>7</v>
      </c>
      <c r="R86">
        <v>6.83</v>
      </c>
      <c r="S86">
        <v>48.38</v>
      </c>
      <c r="T86">
        <v>41.95</v>
      </c>
      <c r="U86">
        <v>1.26</v>
      </c>
      <c r="V86">
        <v>93</v>
      </c>
      <c r="W86">
        <v>2</v>
      </c>
      <c r="X86">
        <v>3</v>
      </c>
      <c r="Y86">
        <v>0</v>
      </c>
      <c r="Z86">
        <v>0</v>
      </c>
      <c r="AA86" t="s">
        <v>114</v>
      </c>
      <c r="AB86">
        <v>53.980000000000004</v>
      </c>
      <c r="AC86">
        <v>0.1</v>
      </c>
      <c r="AD86">
        <v>0.05</v>
      </c>
      <c r="AE86">
        <v>0</v>
      </c>
      <c r="AF86" t="s">
        <v>2030</v>
      </c>
      <c r="AG86" t="s">
        <v>1747</v>
      </c>
      <c r="AH86">
        <v>0.7</v>
      </c>
    </row>
    <row r="87" spans="1:34" x14ac:dyDescent="0.25">
      <c r="A87" s="2">
        <v>45649</v>
      </c>
      <c r="B87" t="s">
        <v>2047</v>
      </c>
      <c r="C87" t="s">
        <v>2048</v>
      </c>
      <c r="D87">
        <v>74</v>
      </c>
      <c r="E87">
        <v>0.65354330708661412</v>
      </c>
      <c r="F87">
        <v>2.4096385542168676E-2</v>
      </c>
      <c r="G87">
        <v>51.86</v>
      </c>
      <c r="H87">
        <v>0.06</v>
      </c>
      <c r="I87">
        <v>51.8</v>
      </c>
      <c r="J87">
        <v>887.9</v>
      </c>
      <c r="K87">
        <v>56.95</v>
      </c>
      <c r="L87">
        <v>2.7</v>
      </c>
      <c r="M87" t="s">
        <v>2049</v>
      </c>
      <c r="N87">
        <v>22</v>
      </c>
      <c r="O87">
        <v>52</v>
      </c>
      <c r="P87">
        <v>39.92</v>
      </c>
      <c r="Q87">
        <v>42</v>
      </c>
      <c r="R87">
        <v>11.88</v>
      </c>
      <c r="S87">
        <v>44.27</v>
      </c>
      <c r="T87">
        <v>34.729999999999997</v>
      </c>
      <c r="U87">
        <v>1.43</v>
      </c>
      <c r="V87">
        <v>83</v>
      </c>
      <c r="W87">
        <v>2</v>
      </c>
      <c r="X87">
        <v>2</v>
      </c>
      <c r="Y87">
        <v>0</v>
      </c>
      <c r="Z87">
        <v>0</v>
      </c>
      <c r="AA87" t="s">
        <v>115</v>
      </c>
      <c r="AB87">
        <v>51.8</v>
      </c>
      <c r="AC87">
        <v>0.1</v>
      </c>
      <c r="AD87">
        <v>0.05</v>
      </c>
      <c r="AE87">
        <v>0</v>
      </c>
      <c r="AF87" t="s">
        <v>2030</v>
      </c>
      <c r="AG87" t="s">
        <v>1747</v>
      </c>
      <c r="AH87">
        <v>0.7</v>
      </c>
    </row>
    <row r="88" spans="1:34" x14ac:dyDescent="0.25">
      <c r="A88" s="2">
        <v>45642</v>
      </c>
      <c r="B88" t="s">
        <v>2056</v>
      </c>
      <c r="C88" t="s">
        <v>2057</v>
      </c>
      <c r="D88">
        <v>27</v>
      </c>
      <c r="E88">
        <v>1</v>
      </c>
      <c r="F88">
        <v>0</v>
      </c>
      <c r="G88">
        <v>18.010000000000002</v>
      </c>
      <c r="H88">
        <v>0</v>
      </c>
      <c r="I88">
        <v>18.010000000000002</v>
      </c>
      <c r="J88">
        <v>344.02</v>
      </c>
      <c r="K88">
        <v>17</v>
      </c>
      <c r="L88">
        <v>0</v>
      </c>
      <c r="M88" t="s">
        <v>2058</v>
      </c>
      <c r="N88">
        <v>15</v>
      </c>
      <c r="O88">
        <v>12</v>
      </c>
      <c r="P88">
        <v>17.899999999999999</v>
      </c>
      <c r="Q88">
        <v>0</v>
      </c>
      <c r="R88">
        <v>0.11</v>
      </c>
      <c r="S88">
        <v>14.74</v>
      </c>
      <c r="T88">
        <v>14.74</v>
      </c>
      <c r="U88">
        <v>1.5</v>
      </c>
      <c r="V88">
        <v>33</v>
      </c>
      <c r="W88">
        <v>0</v>
      </c>
      <c r="X88">
        <v>0</v>
      </c>
      <c r="Y88">
        <v>18.010000000000002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18.010000000000002</v>
      </c>
      <c r="AF88" t="s">
        <v>1969</v>
      </c>
      <c r="AG88" t="s">
        <v>1599</v>
      </c>
      <c r="AH88">
        <v>0.7</v>
      </c>
    </row>
    <row r="89" spans="1:34" x14ac:dyDescent="0.25">
      <c r="A89" s="2">
        <v>45649</v>
      </c>
      <c r="B89" t="s">
        <v>2010</v>
      </c>
      <c r="C89" t="s">
        <v>2011</v>
      </c>
      <c r="D89">
        <v>48</v>
      </c>
      <c r="E89">
        <v>0.87878787878787878</v>
      </c>
      <c r="F89">
        <v>3.4482758620689655E-2</v>
      </c>
      <c r="G89">
        <v>20.86</v>
      </c>
      <c r="H89">
        <v>0</v>
      </c>
      <c r="I89">
        <v>20.86</v>
      </c>
      <c r="J89">
        <v>525.57000000000005</v>
      </c>
      <c r="K89">
        <v>45.24</v>
      </c>
      <c r="L89">
        <v>0</v>
      </c>
      <c r="M89" t="s">
        <v>1919</v>
      </c>
      <c r="N89">
        <v>2</v>
      </c>
      <c r="O89">
        <v>46</v>
      </c>
      <c r="P89">
        <v>19.149999999999999</v>
      </c>
      <c r="Q89">
        <v>1</v>
      </c>
      <c r="R89">
        <v>1.71</v>
      </c>
      <c r="S89">
        <v>0</v>
      </c>
      <c r="T89">
        <v>0</v>
      </c>
      <c r="U89">
        <v>2.2999999999999998</v>
      </c>
      <c r="V89">
        <v>58</v>
      </c>
      <c r="W89">
        <v>7</v>
      </c>
      <c r="X89">
        <v>2</v>
      </c>
      <c r="Y89">
        <v>0</v>
      </c>
      <c r="Z89">
        <v>0</v>
      </c>
      <c r="AA89" t="s">
        <v>115</v>
      </c>
      <c r="AB89">
        <v>20.86</v>
      </c>
      <c r="AC89">
        <v>0.1</v>
      </c>
      <c r="AD89">
        <v>0.05</v>
      </c>
      <c r="AE89">
        <v>0</v>
      </c>
      <c r="AF89" t="s">
        <v>1802</v>
      </c>
      <c r="AG89" t="s">
        <v>1599</v>
      </c>
      <c r="AH89">
        <v>0.7</v>
      </c>
    </row>
    <row r="90" spans="1:34" x14ac:dyDescent="0.25">
      <c r="A90" s="2">
        <v>45642</v>
      </c>
      <c r="B90" t="s">
        <v>1990</v>
      </c>
      <c r="C90" t="s">
        <v>1991</v>
      </c>
      <c r="D90">
        <v>39</v>
      </c>
      <c r="E90">
        <v>0.84482758620689657</v>
      </c>
      <c r="F90">
        <v>8.1632653061224483E-2</v>
      </c>
      <c r="G90">
        <v>18.2</v>
      </c>
      <c r="H90">
        <v>0</v>
      </c>
      <c r="I90">
        <v>18.2</v>
      </c>
      <c r="J90">
        <v>368.58</v>
      </c>
      <c r="K90">
        <v>17</v>
      </c>
      <c r="L90">
        <v>0</v>
      </c>
      <c r="M90" t="s">
        <v>1992</v>
      </c>
      <c r="N90">
        <v>7</v>
      </c>
      <c r="O90">
        <v>32</v>
      </c>
      <c r="P90">
        <v>17.38</v>
      </c>
      <c r="Q90">
        <v>9</v>
      </c>
      <c r="R90">
        <v>0.81</v>
      </c>
      <c r="S90">
        <v>6.98</v>
      </c>
      <c r="T90">
        <v>6.48</v>
      </c>
      <c r="U90">
        <v>2.14</v>
      </c>
      <c r="V90">
        <v>49</v>
      </c>
      <c r="W90">
        <v>0</v>
      </c>
      <c r="X90">
        <v>4</v>
      </c>
      <c r="Y90">
        <v>0</v>
      </c>
      <c r="Z90">
        <v>0</v>
      </c>
      <c r="AA90" t="s">
        <v>114</v>
      </c>
      <c r="AB90">
        <v>18.2</v>
      </c>
      <c r="AC90">
        <v>0.1</v>
      </c>
      <c r="AD90">
        <v>0.05</v>
      </c>
      <c r="AE90">
        <v>0</v>
      </c>
      <c r="AF90" t="s">
        <v>1970</v>
      </c>
      <c r="AG90" t="s">
        <v>1599</v>
      </c>
      <c r="AH90">
        <v>0.7</v>
      </c>
    </row>
    <row r="91" spans="1:34" x14ac:dyDescent="0.25">
      <c r="A91" s="2">
        <v>45649</v>
      </c>
      <c r="B91" t="s">
        <v>1990</v>
      </c>
      <c r="C91" t="s">
        <v>1991</v>
      </c>
      <c r="D91">
        <v>56</v>
      </c>
      <c r="E91">
        <v>0.74725274725274726</v>
      </c>
      <c r="F91">
        <v>8.8235294117647065E-2</v>
      </c>
      <c r="G91">
        <v>32.5</v>
      </c>
      <c r="H91">
        <v>0</v>
      </c>
      <c r="I91">
        <v>32.5</v>
      </c>
      <c r="J91">
        <v>648.04</v>
      </c>
      <c r="K91">
        <v>33</v>
      </c>
      <c r="L91">
        <v>0</v>
      </c>
      <c r="M91" t="s">
        <v>1992</v>
      </c>
      <c r="N91">
        <v>5</v>
      </c>
      <c r="O91">
        <v>51</v>
      </c>
      <c r="P91">
        <v>28.04</v>
      </c>
      <c r="Q91">
        <v>17</v>
      </c>
      <c r="R91">
        <v>4.46</v>
      </c>
      <c r="S91">
        <v>6.04</v>
      </c>
      <c r="T91">
        <v>5.21</v>
      </c>
      <c r="U91">
        <v>1.72</v>
      </c>
      <c r="V91">
        <v>68</v>
      </c>
      <c r="W91">
        <v>6</v>
      </c>
      <c r="X91">
        <v>6</v>
      </c>
      <c r="Y91">
        <v>0</v>
      </c>
      <c r="Z91">
        <v>0</v>
      </c>
      <c r="AA91" t="s">
        <v>115</v>
      </c>
      <c r="AB91">
        <v>32.5</v>
      </c>
      <c r="AC91">
        <v>0.1</v>
      </c>
      <c r="AD91">
        <v>0.05</v>
      </c>
      <c r="AE91">
        <v>0</v>
      </c>
      <c r="AF91" t="s">
        <v>1970</v>
      </c>
      <c r="AG91" t="s">
        <v>1599</v>
      </c>
      <c r="AH91">
        <v>0.7</v>
      </c>
    </row>
    <row r="92" spans="1:34" x14ac:dyDescent="0.25">
      <c r="A92" s="2">
        <v>45649</v>
      </c>
      <c r="B92" t="s">
        <v>1915</v>
      </c>
      <c r="C92" t="s">
        <v>1916</v>
      </c>
      <c r="D92">
        <v>1</v>
      </c>
      <c r="E92">
        <v>1</v>
      </c>
      <c r="F92">
        <v>0.33333333333333331</v>
      </c>
      <c r="G92">
        <v>3.77</v>
      </c>
      <c r="H92">
        <v>0</v>
      </c>
      <c r="I92">
        <v>3.77</v>
      </c>
      <c r="J92">
        <v>15.12</v>
      </c>
      <c r="K92">
        <v>0</v>
      </c>
      <c r="L92">
        <v>0</v>
      </c>
      <c r="M92" t="s">
        <v>1917</v>
      </c>
      <c r="N92">
        <v>0</v>
      </c>
      <c r="O92">
        <v>1</v>
      </c>
      <c r="P92">
        <v>2.44</v>
      </c>
      <c r="Q92">
        <v>0</v>
      </c>
      <c r="R92">
        <v>1.33</v>
      </c>
      <c r="S92">
        <v>2.68</v>
      </c>
      <c r="T92">
        <v>1.57</v>
      </c>
      <c r="U92">
        <v>0.27</v>
      </c>
      <c r="V92">
        <v>3</v>
      </c>
      <c r="W92">
        <v>0</v>
      </c>
      <c r="X92">
        <v>1</v>
      </c>
      <c r="Y92">
        <v>0</v>
      </c>
      <c r="Z92">
        <v>0</v>
      </c>
      <c r="AA92" t="s">
        <v>115</v>
      </c>
      <c r="AB92">
        <v>3.77</v>
      </c>
      <c r="AC92">
        <v>0.1</v>
      </c>
      <c r="AD92">
        <v>0.05</v>
      </c>
      <c r="AE92">
        <v>0</v>
      </c>
      <c r="AF92" t="s">
        <v>1719</v>
      </c>
      <c r="AG92" t="s">
        <v>1599</v>
      </c>
      <c r="AH92">
        <v>0.7</v>
      </c>
    </row>
    <row r="93" spans="1:34" x14ac:dyDescent="0.25">
      <c r="A93" s="2">
        <v>45642</v>
      </c>
      <c r="B93" t="s">
        <v>2012</v>
      </c>
      <c r="C93" t="s">
        <v>1930</v>
      </c>
      <c r="D93">
        <v>48</v>
      </c>
      <c r="E93">
        <v>1</v>
      </c>
      <c r="F93">
        <v>0</v>
      </c>
      <c r="G93">
        <v>50.61</v>
      </c>
      <c r="H93">
        <v>0</v>
      </c>
      <c r="I93">
        <v>50.61</v>
      </c>
      <c r="J93">
        <v>720.28</v>
      </c>
      <c r="K93">
        <v>19</v>
      </c>
      <c r="L93">
        <v>0</v>
      </c>
      <c r="M93" t="s">
        <v>1920</v>
      </c>
      <c r="N93">
        <v>29</v>
      </c>
      <c r="O93">
        <v>19</v>
      </c>
      <c r="P93">
        <v>39.5</v>
      </c>
      <c r="Q93">
        <v>0</v>
      </c>
      <c r="R93">
        <v>11.11</v>
      </c>
      <c r="S93">
        <v>38.6</v>
      </c>
      <c r="T93">
        <v>31.65</v>
      </c>
      <c r="U93">
        <v>0.95</v>
      </c>
      <c r="V93">
        <v>65</v>
      </c>
      <c r="W93">
        <v>0</v>
      </c>
      <c r="X93">
        <v>0</v>
      </c>
      <c r="Y93">
        <v>50.61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50.61</v>
      </c>
      <c r="AF93" t="s">
        <v>1640</v>
      </c>
      <c r="AG93" t="s">
        <v>1749</v>
      </c>
      <c r="AH93">
        <v>0.7</v>
      </c>
    </row>
    <row r="94" spans="1:34" x14ac:dyDescent="0.25">
      <c r="A94" s="2">
        <v>45649</v>
      </c>
      <c r="B94" t="s">
        <v>2012</v>
      </c>
      <c r="C94" t="s">
        <v>1930</v>
      </c>
      <c r="D94">
        <v>76</v>
      </c>
      <c r="E94">
        <v>0.97826086956521741</v>
      </c>
      <c r="F94">
        <v>0</v>
      </c>
      <c r="G94">
        <v>57.1</v>
      </c>
      <c r="H94">
        <v>0.05</v>
      </c>
      <c r="I94">
        <v>57.050000000000004</v>
      </c>
      <c r="J94">
        <v>904.31</v>
      </c>
      <c r="K94">
        <v>69</v>
      </c>
      <c r="L94">
        <v>0</v>
      </c>
      <c r="M94" t="s">
        <v>1920</v>
      </c>
      <c r="N94">
        <v>24</v>
      </c>
      <c r="O94">
        <v>52</v>
      </c>
      <c r="P94">
        <v>44.85</v>
      </c>
      <c r="Q94">
        <v>2</v>
      </c>
      <c r="R94">
        <v>12.2</v>
      </c>
      <c r="S94">
        <v>45.5</v>
      </c>
      <c r="T94">
        <v>37.85</v>
      </c>
      <c r="U94">
        <v>1.33</v>
      </c>
      <c r="V94">
        <v>90</v>
      </c>
      <c r="W94">
        <v>0</v>
      </c>
      <c r="X94">
        <v>0</v>
      </c>
      <c r="Y94">
        <v>57.050000000000004</v>
      </c>
      <c r="Z94">
        <v>0</v>
      </c>
      <c r="AA94" t="s">
        <v>115</v>
      </c>
      <c r="AB94">
        <v>0</v>
      </c>
      <c r="AC94">
        <v>0.1</v>
      </c>
      <c r="AD94">
        <v>0.05</v>
      </c>
      <c r="AE94">
        <v>57.050000000000004</v>
      </c>
      <c r="AF94" t="s">
        <v>1640</v>
      </c>
      <c r="AG94" t="s">
        <v>1749</v>
      </c>
      <c r="AH94">
        <v>0.7</v>
      </c>
    </row>
    <row r="95" spans="1:34" x14ac:dyDescent="0.25">
      <c r="A95" s="2">
        <v>45642</v>
      </c>
      <c r="B95" t="s">
        <v>1892</v>
      </c>
      <c r="C95" t="s">
        <v>1892</v>
      </c>
      <c r="D95">
        <v>69</v>
      </c>
      <c r="E95">
        <v>0.98750000000000004</v>
      </c>
      <c r="F95">
        <v>0</v>
      </c>
      <c r="G95">
        <v>50.5</v>
      </c>
      <c r="H95">
        <v>0</v>
      </c>
      <c r="I95">
        <v>50.5</v>
      </c>
      <c r="J95">
        <v>755.55</v>
      </c>
      <c r="K95">
        <v>34</v>
      </c>
      <c r="L95">
        <v>0</v>
      </c>
      <c r="M95" t="s">
        <v>1922</v>
      </c>
      <c r="N95">
        <v>16</v>
      </c>
      <c r="O95">
        <v>53</v>
      </c>
      <c r="P95">
        <v>38.39</v>
      </c>
      <c r="Q95">
        <v>1</v>
      </c>
      <c r="R95">
        <v>12.11</v>
      </c>
      <c r="S95">
        <v>19.920000000000002</v>
      </c>
      <c r="T95">
        <v>18.309999999999999</v>
      </c>
      <c r="U95">
        <v>1.37</v>
      </c>
      <c r="V95">
        <v>79</v>
      </c>
      <c r="W95">
        <v>0</v>
      </c>
      <c r="X95">
        <v>0</v>
      </c>
      <c r="Y95">
        <v>50.5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50.5</v>
      </c>
      <c r="AF95" t="s">
        <v>1651</v>
      </c>
      <c r="AG95" t="s">
        <v>1750</v>
      </c>
      <c r="AH95">
        <v>0.7</v>
      </c>
    </row>
    <row r="96" spans="1:34" x14ac:dyDescent="0.25">
      <c r="A96" s="2">
        <v>45649</v>
      </c>
      <c r="B96" t="s">
        <v>1892</v>
      </c>
      <c r="C96" t="s">
        <v>1892</v>
      </c>
      <c r="D96">
        <v>71</v>
      </c>
      <c r="E96">
        <v>1</v>
      </c>
      <c r="F96">
        <v>0</v>
      </c>
      <c r="G96">
        <v>50.05</v>
      </c>
      <c r="H96">
        <v>0</v>
      </c>
      <c r="I96">
        <v>50.05</v>
      </c>
      <c r="J96">
        <v>781.02</v>
      </c>
      <c r="K96">
        <v>66</v>
      </c>
      <c r="L96">
        <v>0</v>
      </c>
      <c r="M96" t="s">
        <v>1922</v>
      </c>
      <c r="N96">
        <v>13</v>
      </c>
      <c r="O96">
        <v>58</v>
      </c>
      <c r="P96">
        <v>36.090000000000003</v>
      </c>
      <c r="Q96">
        <v>0</v>
      </c>
      <c r="R96">
        <v>13.95</v>
      </c>
      <c r="S96">
        <v>18.87</v>
      </c>
      <c r="T96">
        <v>15.3</v>
      </c>
      <c r="U96">
        <v>1.42</v>
      </c>
      <c r="V96">
        <v>76</v>
      </c>
      <c r="W96">
        <v>0</v>
      </c>
      <c r="X96">
        <v>0</v>
      </c>
      <c r="Y96">
        <v>50.05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50.05</v>
      </c>
      <c r="AF96" t="s">
        <v>1651</v>
      </c>
      <c r="AG96" t="s">
        <v>1750</v>
      </c>
      <c r="AH96">
        <v>0.7</v>
      </c>
    </row>
    <row r="97" spans="1:34" x14ac:dyDescent="0.25">
      <c r="A97" s="2">
        <v>45642</v>
      </c>
      <c r="B97" t="s">
        <v>1978</v>
      </c>
      <c r="C97" t="s">
        <v>1979</v>
      </c>
      <c r="D97">
        <v>59</v>
      </c>
      <c r="E97">
        <v>1</v>
      </c>
      <c r="F97">
        <v>6.6666666666666666E-2</v>
      </c>
      <c r="G97">
        <v>40.5</v>
      </c>
      <c r="H97">
        <v>0.01</v>
      </c>
      <c r="I97">
        <v>40.49</v>
      </c>
      <c r="J97">
        <v>771.74</v>
      </c>
      <c r="K97">
        <v>36.659999999999997</v>
      </c>
      <c r="L97">
        <v>3</v>
      </c>
      <c r="M97" t="s">
        <v>1980</v>
      </c>
      <c r="N97">
        <v>30</v>
      </c>
      <c r="O97">
        <v>29</v>
      </c>
      <c r="P97">
        <v>39.520000000000003</v>
      </c>
      <c r="Q97">
        <v>0</v>
      </c>
      <c r="R97">
        <v>0.97</v>
      </c>
      <c r="S97">
        <v>21.03</v>
      </c>
      <c r="T97">
        <v>20.65</v>
      </c>
      <c r="U97">
        <v>1.46</v>
      </c>
      <c r="V97">
        <v>75</v>
      </c>
      <c r="W97">
        <v>0</v>
      </c>
      <c r="X97">
        <v>5</v>
      </c>
      <c r="Y97">
        <v>0</v>
      </c>
      <c r="Z97">
        <v>0</v>
      </c>
      <c r="AA97" t="s">
        <v>114</v>
      </c>
      <c r="AB97">
        <v>40.49</v>
      </c>
      <c r="AC97">
        <v>0.1</v>
      </c>
      <c r="AD97">
        <v>0.05</v>
      </c>
      <c r="AE97">
        <v>0</v>
      </c>
      <c r="AF97" t="s">
        <v>1825</v>
      </c>
      <c r="AG97" t="s">
        <v>1600</v>
      </c>
      <c r="AH97">
        <v>0.7</v>
      </c>
    </row>
    <row r="98" spans="1:34" x14ac:dyDescent="0.25">
      <c r="A98" s="2">
        <v>45649</v>
      </c>
      <c r="B98" t="s">
        <v>1978</v>
      </c>
      <c r="C98" t="s">
        <v>1979</v>
      </c>
      <c r="D98">
        <v>94</v>
      </c>
      <c r="E98">
        <v>0.98290598290598286</v>
      </c>
      <c r="F98">
        <v>3.4782608695652174E-2</v>
      </c>
      <c r="G98">
        <v>49.8</v>
      </c>
      <c r="H98">
        <v>0</v>
      </c>
      <c r="I98">
        <v>49.8</v>
      </c>
      <c r="J98">
        <v>944.97</v>
      </c>
      <c r="K98">
        <v>47</v>
      </c>
      <c r="L98">
        <v>3.3</v>
      </c>
      <c r="M98" t="s">
        <v>1980</v>
      </c>
      <c r="N98">
        <v>33</v>
      </c>
      <c r="O98">
        <v>61</v>
      </c>
      <c r="P98">
        <v>47.19</v>
      </c>
      <c r="Q98">
        <v>1</v>
      </c>
      <c r="R98">
        <v>2.61</v>
      </c>
      <c r="S98">
        <v>39.549999999999997</v>
      </c>
      <c r="T98">
        <v>37.47</v>
      </c>
      <c r="U98">
        <v>1.89</v>
      </c>
      <c r="V98">
        <v>115</v>
      </c>
      <c r="W98">
        <v>1</v>
      </c>
      <c r="X98">
        <v>4</v>
      </c>
      <c r="Y98">
        <v>49.8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49.8</v>
      </c>
      <c r="AF98" t="s">
        <v>1825</v>
      </c>
      <c r="AG98" t="s">
        <v>1600</v>
      </c>
      <c r="AH98">
        <v>0.7</v>
      </c>
    </row>
    <row r="99" spans="1:34" x14ac:dyDescent="0.25">
      <c r="A99" s="2">
        <v>45642</v>
      </c>
      <c r="B99" t="s">
        <v>1923</v>
      </c>
      <c r="C99" t="s">
        <v>1924</v>
      </c>
      <c r="D99">
        <v>87</v>
      </c>
      <c r="E99">
        <v>0.9907407407407407</v>
      </c>
      <c r="F99">
        <v>9.3457943925233638E-3</v>
      </c>
      <c r="G99">
        <v>60.01</v>
      </c>
      <c r="H99">
        <v>0.01</v>
      </c>
      <c r="I99">
        <v>60</v>
      </c>
      <c r="J99">
        <v>1179.96</v>
      </c>
      <c r="K99">
        <v>64.92</v>
      </c>
      <c r="L99">
        <v>0</v>
      </c>
      <c r="M99" t="s">
        <v>1925</v>
      </c>
      <c r="N99">
        <v>47</v>
      </c>
      <c r="O99">
        <v>40</v>
      </c>
      <c r="P99">
        <v>58.61</v>
      </c>
      <c r="Q99">
        <v>0</v>
      </c>
      <c r="R99">
        <v>1.39</v>
      </c>
      <c r="S99">
        <v>41.96</v>
      </c>
      <c r="T99">
        <v>41.27</v>
      </c>
      <c r="U99">
        <v>1.45</v>
      </c>
      <c r="V99">
        <v>107</v>
      </c>
      <c r="W99">
        <v>1</v>
      </c>
      <c r="X99">
        <v>1</v>
      </c>
      <c r="Y99">
        <v>60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60</v>
      </c>
      <c r="AF99" t="s">
        <v>1621</v>
      </c>
      <c r="AG99" t="s">
        <v>1600</v>
      </c>
      <c r="AH99">
        <v>0.7</v>
      </c>
    </row>
    <row r="100" spans="1:34" x14ac:dyDescent="0.25">
      <c r="A100" s="2">
        <v>45649</v>
      </c>
      <c r="B100" t="s">
        <v>1923</v>
      </c>
      <c r="C100" t="s">
        <v>1924</v>
      </c>
      <c r="D100">
        <v>85</v>
      </c>
      <c r="E100">
        <v>1</v>
      </c>
      <c r="F100">
        <v>0</v>
      </c>
      <c r="G100">
        <v>50.11</v>
      </c>
      <c r="H100">
        <v>0</v>
      </c>
      <c r="I100">
        <v>50.11</v>
      </c>
      <c r="J100">
        <v>1026.07</v>
      </c>
      <c r="K100">
        <v>108.37</v>
      </c>
      <c r="L100">
        <v>0</v>
      </c>
      <c r="M100" t="s">
        <v>1925</v>
      </c>
      <c r="N100">
        <v>28</v>
      </c>
      <c r="O100">
        <v>57</v>
      </c>
      <c r="P100">
        <v>47.19</v>
      </c>
      <c r="Q100">
        <v>0</v>
      </c>
      <c r="R100">
        <v>2.91</v>
      </c>
      <c r="S100">
        <v>46.83</v>
      </c>
      <c r="T100">
        <v>43.94</v>
      </c>
      <c r="U100">
        <v>1.7</v>
      </c>
      <c r="V100">
        <v>92</v>
      </c>
      <c r="W100">
        <v>0</v>
      </c>
      <c r="X100">
        <v>0</v>
      </c>
      <c r="Y100">
        <v>50.11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50.11</v>
      </c>
      <c r="AF100" t="s">
        <v>1621</v>
      </c>
      <c r="AG100" t="s">
        <v>1600</v>
      </c>
      <c r="AH100">
        <v>0.7</v>
      </c>
    </row>
    <row r="101" spans="1:34" x14ac:dyDescent="0.25">
      <c r="A101" s="2">
        <v>45642</v>
      </c>
      <c r="B101" t="s">
        <v>1926</v>
      </c>
      <c r="C101" t="s">
        <v>1927</v>
      </c>
      <c r="D101">
        <v>46</v>
      </c>
      <c r="E101">
        <v>0.98611111111111116</v>
      </c>
      <c r="F101">
        <v>1.4084507042253521E-2</v>
      </c>
      <c r="G101">
        <v>38.4</v>
      </c>
      <c r="H101">
        <v>0.05</v>
      </c>
      <c r="I101">
        <v>38.35</v>
      </c>
      <c r="J101">
        <v>575.04</v>
      </c>
      <c r="K101">
        <v>27.79</v>
      </c>
      <c r="L101">
        <v>0</v>
      </c>
      <c r="M101" t="s">
        <v>1928</v>
      </c>
      <c r="N101">
        <v>25</v>
      </c>
      <c r="O101">
        <v>21</v>
      </c>
      <c r="P101">
        <v>33.97</v>
      </c>
      <c r="Q101">
        <v>0</v>
      </c>
      <c r="R101">
        <v>4.37</v>
      </c>
      <c r="S101">
        <v>30.94</v>
      </c>
      <c r="T101">
        <v>27.56</v>
      </c>
      <c r="U101">
        <v>1.2</v>
      </c>
      <c r="V101">
        <v>71</v>
      </c>
      <c r="W101">
        <v>1</v>
      </c>
      <c r="X101">
        <v>1</v>
      </c>
      <c r="Y101">
        <v>38.35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38.35</v>
      </c>
      <c r="AF101" t="s">
        <v>1637</v>
      </c>
      <c r="AG101" t="s">
        <v>1601</v>
      </c>
      <c r="AH101">
        <v>0.7</v>
      </c>
    </row>
    <row r="102" spans="1:34" x14ac:dyDescent="0.25">
      <c r="A102" s="2">
        <v>45649</v>
      </c>
      <c r="B102" t="s">
        <v>1926</v>
      </c>
      <c r="C102" t="s">
        <v>1927</v>
      </c>
      <c r="D102">
        <v>45</v>
      </c>
      <c r="E102">
        <v>1</v>
      </c>
      <c r="F102">
        <v>3.5087719298245612E-2</v>
      </c>
      <c r="G102">
        <v>35.36</v>
      </c>
      <c r="H102">
        <v>0</v>
      </c>
      <c r="I102">
        <v>35.36</v>
      </c>
      <c r="J102">
        <v>524.19000000000005</v>
      </c>
      <c r="K102">
        <v>35.020000000000003</v>
      </c>
      <c r="L102">
        <v>0</v>
      </c>
      <c r="M102" t="s">
        <v>1928</v>
      </c>
      <c r="N102">
        <v>19</v>
      </c>
      <c r="O102">
        <v>26</v>
      </c>
      <c r="P102">
        <v>31.4</v>
      </c>
      <c r="Q102">
        <v>0</v>
      </c>
      <c r="R102">
        <v>3.97</v>
      </c>
      <c r="S102">
        <v>20.21</v>
      </c>
      <c r="T102">
        <v>17.440000000000001</v>
      </c>
      <c r="U102">
        <v>1.27</v>
      </c>
      <c r="V102">
        <v>57</v>
      </c>
      <c r="W102">
        <v>0</v>
      </c>
      <c r="X102">
        <v>2</v>
      </c>
      <c r="Y102">
        <v>35.36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35.36</v>
      </c>
      <c r="AF102" t="s">
        <v>1637</v>
      </c>
      <c r="AG102" t="s">
        <v>1601</v>
      </c>
      <c r="AH102">
        <v>0.7</v>
      </c>
    </row>
    <row r="103" spans="1:34" x14ac:dyDescent="0.25">
      <c r="A103" s="2">
        <v>45642</v>
      </c>
      <c r="B103" t="s">
        <v>2015</v>
      </c>
      <c r="C103" t="s">
        <v>1863</v>
      </c>
      <c r="D103">
        <v>150</v>
      </c>
      <c r="E103">
        <v>0.98305084745762716</v>
      </c>
      <c r="F103">
        <v>1.1494252873563218E-2</v>
      </c>
      <c r="G103">
        <v>59.54</v>
      </c>
      <c r="H103">
        <v>0.33</v>
      </c>
      <c r="I103">
        <v>59.21</v>
      </c>
      <c r="J103">
        <v>1565.89</v>
      </c>
      <c r="K103">
        <v>93.54</v>
      </c>
      <c r="L103">
        <v>7.9</v>
      </c>
      <c r="M103" t="s">
        <v>1929</v>
      </c>
      <c r="N103">
        <v>3</v>
      </c>
      <c r="O103">
        <v>147</v>
      </c>
      <c r="P103">
        <v>55.59</v>
      </c>
      <c r="Q103">
        <v>1</v>
      </c>
      <c r="R103">
        <v>3.63</v>
      </c>
      <c r="S103">
        <v>4.1100000000000003</v>
      </c>
      <c r="T103">
        <v>3.75</v>
      </c>
      <c r="U103">
        <v>2.52</v>
      </c>
      <c r="V103">
        <v>174</v>
      </c>
      <c r="W103">
        <v>2</v>
      </c>
      <c r="X103">
        <v>2</v>
      </c>
      <c r="Y103">
        <v>59.21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59.21</v>
      </c>
      <c r="AF103" t="s">
        <v>1774</v>
      </c>
      <c r="AG103" t="s">
        <v>1600</v>
      </c>
      <c r="AH103">
        <v>0.7</v>
      </c>
    </row>
    <row r="104" spans="1:34" x14ac:dyDescent="0.25">
      <c r="A104" s="2">
        <v>45649</v>
      </c>
      <c r="B104" t="s">
        <v>2015</v>
      </c>
      <c r="C104" t="s">
        <v>1863</v>
      </c>
      <c r="D104">
        <v>107</v>
      </c>
      <c r="E104">
        <v>0.95199999999999996</v>
      </c>
      <c r="F104">
        <v>8.4033613445378148E-3</v>
      </c>
      <c r="G104">
        <v>48.18</v>
      </c>
      <c r="H104">
        <v>1.17</v>
      </c>
      <c r="I104">
        <v>47.01</v>
      </c>
      <c r="J104">
        <v>1340.33</v>
      </c>
      <c r="K104">
        <v>60.56</v>
      </c>
      <c r="L104">
        <v>24</v>
      </c>
      <c r="M104" t="s">
        <v>1929</v>
      </c>
      <c r="N104">
        <v>7</v>
      </c>
      <c r="O104">
        <v>100</v>
      </c>
      <c r="P104">
        <v>45.52</v>
      </c>
      <c r="Q104">
        <v>1</v>
      </c>
      <c r="R104">
        <v>1.49</v>
      </c>
      <c r="S104">
        <v>0.96</v>
      </c>
      <c r="T104">
        <v>0.91</v>
      </c>
      <c r="U104">
        <v>2.2200000000000002</v>
      </c>
      <c r="V104">
        <v>119</v>
      </c>
      <c r="W104">
        <v>5</v>
      </c>
      <c r="X104">
        <v>1</v>
      </c>
      <c r="Y104">
        <v>47.01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47.01</v>
      </c>
      <c r="AF104" t="s">
        <v>1774</v>
      </c>
      <c r="AG104" t="s">
        <v>1600</v>
      </c>
      <c r="AH104">
        <v>0.7</v>
      </c>
    </row>
    <row r="105" spans="1:34" x14ac:dyDescent="0.25">
      <c r="A105" s="2">
        <v>45642</v>
      </c>
      <c r="B105" t="s">
        <v>2059</v>
      </c>
      <c r="C105" t="s">
        <v>2060</v>
      </c>
      <c r="D105">
        <v>144</v>
      </c>
      <c r="E105">
        <v>1</v>
      </c>
      <c r="F105">
        <v>7.0588235294117646E-2</v>
      </c>
      <c r="G105">
        <v>69.62</v>
      </c>
      <c r="H105">
        <v>0</v>
      </c>
      <c r="I105">
        <v>69.62</v>
      </c>
      <c r="J105">
        <v>1633.72</v>
      </c>
      <c r="K105">
        <v>103.05</v>
      </c>
      <c r="L105">
        <v>8</v>
      </c>
      <c r="M105" t="s">
        <v>2061</v>
      </c>
      <c r="N105">
        <v>10</v>
      </c>
      <c r="O105">
        <v>134</v>
      </c>
      <c r="P105">
        <v>63.18</v>
      </c>
      <c r="Q105">
        <v>0</v>
      </c>
      <c r="R105">
        <v>6.43</v>
      </c>
      <c r="S105">
        <v>9.18</v>
      </c>
      <c r="T105">
        <v>7.43</v>
      </c>
      <c r="U105">
        <v>2.0699999999999998</v>
      </c>
      <c r="V105">
        <v>170</v>
      </c>
      <c r="W105">
        <v>0</v>
      </c>
      <c r="X105">
        <v>12</v>
      </c>
      <c r="Y105">
        <v>0</v>
      </c>
      <c r="Z105">
        <v>0</v>
      </c>
      <c r="AA105" t="s">
        <v>114</v>
      </c>
      <c r="AB105">
        <v>69.62</v>
      </c>
      <c r="AC105">
        <v>0.1</v>
      </c>
      <c r="AD105">
        <v>0.05</v>
      </c>
      <c r="AE105">
        <v>0</v>
      </c>
      <c r="AF105" t="s">
        <v>1971</v>
      </c>
      <c r="AG105" t="s">
        <v>1747</v>
      </c>
      <c r="AH105">
        <v>0.7</v>
      </c>
    </row>
    <row r="106" spans="1:34" x14ac:dyDescent="0.25">
      <c r="A106" s="2">
        <v>45649</v>
      </c>
      <c r="B106" t="s">
        <v>2059</v>
      </c>
      <c r="C106" t="s">
        <v>2060</v>
      </c>
      <c r="D106">
        <v>122</v>
      </c>
      <c r="E106">
        <v>0.99358974358974361</v>
      </c>
      <c r="F106">
        <v>4.5161290322580643E-2</v>
      </c>
      <c r="G106">
        <v>58.67</v>
      </c>
      <c r="H106">
        <v>0</v>
      </c>
      <c r="I106">
        <v>58.67</v>
      </c>
      <c r="J106">
        <v>1393.31</v>
      </c>
      <c r="K106">
        <v>66.92</v>
      </c>
      <c r="L106">
        <v>0</v>
      </c>
      <c r="M106" t="s">
        <v>2061</v>
      </c>
      <c r="N106">
        <v>7</v>
      </c>
      <c r="O106">
        <v>115</v>
      </c>
      <c r="P106">
        <v>51.27</v>
      </c>
      <c r="Q106">
        <v>0</v>
      </c>
      <c r="R106">
        <v>7.39</v>
      </c>
      <c r="S106">
        <v>6.22</v>
      </c>
      <c r="T106">
        <v>3.96</v>
      </c>
      <c r="U106">
        <v>2.08</v>
      </c>
      <c r="V106">
        <v>155</v>
      </c>
      <c r="W106">
        <v>1</v>
      </c>
      <c r="X106">
        <v>7</v>
      </c>
      <c r="Y106">
        <v>0</v>
      </c>
      <c r="Z106">
        <v>0</v>
      </c>
      <c r="AA106" t="s">
        <v>115</v>
      </c>
      <c r="AB106">
        <v>58.67</v>
      </c>
      <c r="AC106">
        <v>0.1</v>
      </c>
      <c r="AD106">
        <v>0.05</v>
      </c>
      <c r="AE106">
        <v>0</v>
      </c>
      <c r="AF106" t="s">
        <v>1971</v>
      </c>
      <c r="AG106" t="s">
        <v>1747</v>
      </c>
      <c r="AH106">
        <v>0.7</v>
      </c>
    </row>
    <row r="107" spans="1:34" x14ac:dyDescent="0.25">
      <c r="A107" s="2">
        <v>45642</v>
      </c>
      <c r="B107" t="s">
        <v>1993</v>
      </c>
      <c r="C107" t="s">
        <v>1994</v>
      </c>
      <c r="D107">
        <v>35</v>
      </c>
      <c r="E107">
        <v>0.95652173913043481</v>
      </c>
      <c r="F107">
        <v>0</v>
      </c>
      <c r="G107">
        <v>27.66</v>
      </c>
      <c r="H107">
        <v>0</v>
      </c>
      <c r="I107">
        <v>27.66</v>
      </c>
      <c r="J107">
        <v>491.16</v>
      </c>
      <c r="K107">
        <v>41</v>
      </c>
      <c r="L107">
        <v>0</v>
      </c>
      <c r="M107" t="s">
        <v>1995</v>
      </c>
      <c r="N107">
        <v>15</v>
      </c>
      <c r="O107">
        <v>20</v>
      </c>
      <c r="P107">
        <v>26.01</v>
      </c>
      <c r="Q107">
        <v>2</v>
      </c>
      <c r="R107">
        <v>1.65</v>
      </c>
      <c r="S107">
        <v>25.6</v>
      </c>
      <c r="T107">
        <v>23.98</v>
      </c>
      <c r="U107">
        <v>1.27</v>
      </c>
      <c r="V107">
        <v>44</v>
      </c>
      <c r="W107">
        <v>0</v>
      </c>
      <c r="X107">
        <v>0</v>
      </c>
      <c r="Y107">
        <v>27.66</v>
      </c>
      <c r="Z107">
        <v>0</v>
      </c>
      <c r="AA107" t="s">
        <v>114</v>
      </c>
      <c r="AB107">
        <v>0</v>
      </c>
      <c r="AC107">
        <v>0.1</v>
      </c>
      <c r="AD107">
        <v>0.05</v>
      </c>
      <c r="AE107">
        <v>27.66</v>
      </c>
      <c r="AF107" t="s">
        <v>1972</v>
      </c>
      <c r="AG107" t="s">
        <v>1599</v>
      </c>
      <c r="AH107">
        <v>0.7</v>
      </c>
    </row>
    <row r="108" spans="1:34" x14ac:dyDescent="0.25">
      <c r="A108" s="2">
        <v>45649</v>
      </c>
      <c r="B108" t="s">
        <v>1993</v>
      </c>
      <c r="C108" t="s">
        <v>1994</v>
      </c>
      <c r="D108">
        <v>49</v>
      </c>
      <c r="E108">
        <v>1</v>
      </c>
      <c r="F108">
        <v>0.11864406779661017</v>
      </c>
      <c r="G108">
        <v>32.56</v>
      </c>
      <c r="H108">
        <v>0.84</v>
      </c>
      <c r="I108">
        <v>31.720000000000002</v>
      </c>
      <c r="J108">
        <v>534.04999999999995</v>
      </c>
      <c r="K108">
        <v>40.200000000000003</v>
      </c>
      <c r="L108">
        <v>6</v>
      </c>
      <c r="M108" t="s">
        <v>1995</v>
      </c>
      <c r="N108">
        <v>14</v>
      </c>
      <c r="O108">
        <v>35</v>
      </c>
      <c r="P108">
        <v>28.75</v>
      </c>
      <c r="Q108">
        <v>0</v>
      </c>
      <c r="R108">
        <v>2.97</v>
      </c>
      <c r="S108">
        <v>23.2</v>
      </c>
      <c r="T108">
        <v>20.62</v>
      </c>
      <c r="U108">
        <v>1.5</v>
      </c>
      <c r="V108">
        <v>59</v>
      </c>
      <c r="W108">
        <v>0</v>
      </c>
      <c r="X108">
        <v>7</v>
      </c>
      <c r="Y108">
        <v>0</v>
      </c>
      <c r="Z108">
        <v>0</v>
      </c>
      <c r="AA108" t="s">
        <v>115</v>
      </c>
      <c r="AB108">
        <v>31.720000000000002</v>
      </c>
      <c r="AC108">
        <v>0.1</v>
      </c>
      <c r="AD108">
        <v>0.05</v>
      </c>
      <c r="AE108">
        <v>0</v>
      </c>
      <c r="AF108" t="s">
        <v>1972</v>
      </c>
      <c r="AG108" t="s">
        <v>1599</v>
      </c>
      <c r="AH108">
        <v>0.7</v>
      </c>
    </row>
    <row r="109" spans="1:34" x14ac:dyDescent="0.25">
      <c r="A109" s="2">
        <v>45642</v>
      </c>
      <c r="B109" t="s">
        <v>1981</v>
      </c>
      <c r="C109" t="s">
        <v>1982</v>
      </c>
      <c r="D109">
        <v>80</v>
      </c>
      <c r="E109">
        <v>0.98958333333333337</v>
      </c>
      <c r="F109">
        <v>1.0526315789473684E-2</v>
      </c>
      <c r="G109">
        <v>41.54</v>
      </c>
      <c r="H109">
        <v>0.08</v>
      </c>
      <c r="I109">
        <v>41.46</v>
      </c>
      <c r="J109">
        <v>867.91</v>
      </c>
      <c r="K109">
        <v>36</v>
      </c>
      <c r="L109">
        <v>1.5</v>
      </c>
      <c r="M109" t="s">
        <v>1983</v>
      </c>
      <c r="N109">
        <v>6</v>
      </c>
      <c r="O109">
        <v>74</v>
      </c>
      <c r="P109">
        <v>38.020000000000003</v>
      </c>
      <c r="Q109">
        <v>1</v>
      </c>
      <c r="R109">
        <v>3.43</v>
      </c>
      <c r="S109">
        <v>11.72</v>
      </c>
      <c r="T109">
        <v>10.029999999999999</v>
      </c>
      <c r="U109">
        <v>1.93</v>
      </c>
      <c r="V109">
        <v>95</v>
      </c>
      <c r="W109">
        <v>0</v>
      </c>
      <c r="X109">
        <v>1</v>
      </c>
      <c r="Y109">
        <v>41.46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41.46</v>
      </c>
      <c r="AF109" t="s">
        <v>1965</v>
      </c>
      <c r="AG109" t="s">
        <v>1601</v>
      </c>
      <c r="AH109">
        <v>0.7</v>
      </c>
    </row>
    <row r="110" spans="1:34" x14ac:dyDescent="0.25">
      <c r="A110" s="2">
        <v>45649</v>
      </c>
      <c r="B110" t="s">
        <v>1981</v>
      </c>
      <c r="C110" t="s">
        <v>1982</v>
      </c>
      <c r="D110">
        <v>93</v>
      </c>
      <c r="E110">
        <v>0.99115044247787609</v>
      </c>
      <c r="F110">
        <v>0</v>
      </c>
      <c r="G110">
        <v>46.52</v>
      </c>
      <c r="H110">
        <v>0.48</v>
      </c>
      <c r="I110">
        <v>46.040000000000006</v>
      </c>
      <c r="J110">
        <v>1064.5</v>
      </c>
      <c r="K110">
        <v>79.81</v>
      </c>
      <c r="L110">
        <v>20.7</v>
      </c>
      <c r="M110" t="s">
        <v>1983</v>
      </c>
      <c r="N110">
        <v>12</v>
      </c>
      <c r="O110">
        <v>81</v>
      </c>
      <c r="P110">
        <v>41.86</v>
      </c>
      <c r="Q110">
        <v>1</v>
      </c>
      <c r="R110">
        <v>4.18</v>
      </c>
      <c r="S110">
        <v>15.8</v>
      </c>
      <c r="T110">
        <v>11.87</v>
      </c>
      <c r="U110">
        <v>2</v>
      </c>
      <c r="V110">
        <v>112</v>
      </c>
      <c r="W110">
        <v>0</v>
      </c>
      <c r="X110">
        <v>0</v>
      </c>
      <c r="Y110">
        <v>46.040000000000006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46.040000000000006</v>
      </c>
      <c r="AF110" t="s">
        <v>1965</v>
      </c>
      <c r="AG110" t="s">
        <v>1601</v>
      </c>
      <c r="AH110">
        <v>0.7</v>
      </c>
    </row>
    <row r="111" spans="1:34" x14ac:dyDescent="0.25">
      <c r="A111" s="2">
        <v>45642</v>
      </c>
      <c r="B111" t="s">
        <v>2036</v>
      </c>
      <c r="C111" t="s">
        <v>1931</v>
      </c>
      <c r="D111">
        <v>43</v>
      </c>
      <c r="E111">
        <v>0.97222222222222221</v>
      </c>
      <c r="F111">
        <v>0</v>
      </c>
      <c r="G111">
        <v>55.05</v>
      </c>
      <c r="H111">
        <v>0</v>
      </c>
      <c r="I111">
        <v>55.05</v>
      </c>
      <c r="J111">
        <v>613.36</v>
      </c>
      <c r="K111">
        <v>84.83</v>
      </c>
      <c r="L111">
        <v>1.5</v>
      </c>
      <c r="M111" t="s">
        <v>2022</v>
      </c>
      <c r="N111">
        <v>10</v>
      </c>
      <c r="O111">
        <v>33</v>
      </c>
      <c r="P111">
        <v>25.35</v>
      </c>
      <c r="Q111">
        <v>1</v>
      </c>
      <c r="R111">
        <v>29.7</v>
      </c>
      <c r="S111">
        <v>19.309999999999999</v>
      </c>
      <c r="T111">
        <v>13.43</v>
      </c>
      <c r="U111">
        <v>0.78</v>
      </c>
      <c r="V111">
        <v>35</v>
      </c>
      <c r="W111">
        <v>0</v>
      </c>
      <c r="X111">
        <v>0</v>
      </c>
      <c r="Y111">
        <v>55.05</v>
      </c>
      <c r="Z111">
        <v>0</v>
      </c>
      <c r="AA111" t="s">
        <v>114</v>
      </c>
      <c r="AB111">
        <v>0</v>
      </c>
      <c r="AC111">
        <v>0.1</v>
      </c>
      <c r="AD111">
        <v>0.05</v>
      </c>
      <c r="AE111">
        <v>55.05</v>
      </c>
      <c r="AF111" t="s">
        <v>2018</v>
      </c>
      <c r="AG111" t="s">
        <v>1670</v>
      </c>
      <c r="AH111">
        <v>0.7</v>
      </c>
    </row>
    <row r="112" spans="1:34" x14ac:dyDescent="0.25">
      <c r="A112" s="2">
        <v>45649</v>
      </c>
      <c r="B112" t="s">
        <v>2036</v>
      </c>
      <c r="C112" t="s">
        <v>1931</v>
      </c>
      <c r="D112">
        <v>49</v>
      </c>
      <c r="E112">
        <v>1</v>
      </c>
      <c r="F112">
        <v>0</v>
      </c>
      <c r="G112">
        <v>54.34</v>
      </c>
      <c r="H112">
        <v>0</v>
      </c>
      <c r="I112">
        <v>54.34</v>
      </c>
      <c r="J112">
        <v>614.46</v>
      </c>
      <c r="K112">
        <v>38.29</v>
      </c>
      <c r="L112">
        <v>1.9</v>
      </c>
      <c r="M112" t="s">
        <v>2022</v>
      </c>
      <c r="N112">
        <v>5</v>
      </c>
      <c r="O112">
        <v>44</v>
      </c>
      <c r="P112">
        <v>24.28</v>
      </c>
      <c r="Q112">
        <v>0</v>
      </c>
      <c r="R112">
        <v>30.05</v>
      </c>
      <c r="S112">
        <v>19.73</v>
      </c>
      <c r="T112">
        <v>10.09</v>
      </c>
      <c r="U112">
        <v>0.9</v>
      </c>
      <c r="V112">
        <v>44</v>
      </c>
      <c r="W112">
        <v>0</v>
      </c>
      <c r="X112">
        <v>0</v>
      </c>
      <c r="Y112">
        <v>54.34</v>
      </c>
      <c r="Z112">
        <v>0</v>
      </c>
      <c r="AA112" t="s">
        <v>115</v>
      </c>
      <c r="AB112">
        <v>0</v>
      </c>
      <c r="AC112">
        <v>0.1</v>
      </c>
      <c r="AD112">
        <v>0.05</v>
      </c>
      <c r="AE112">
        <v>54.34</v>
      </c>
      <c r="AF112" t="s">
        <v>2018</v>
      </c>
      <c r="AG112" t="s">
        <v>1670</v>
      </c>
      <c r="AH112">
        <v>0.7</v>
      </c>
    </row>
    <row r="113" spans="1:34" x14ac:dyDescent="0.25">
      <c r="A113" s="2">
        <v>45642</v>
      </c>
      <c r="B113" t="s">
        <v>1933</v>
      </c>
      <c r="C113" t="s">
        <v>1931</v>
      </c>
      <c r="D113">
        <v>60</v>
      </c>
      <c r="E113">
        <v>0.88888888888888884</v>
      </c>
      <c r="F113">
        <v>1.3888888888888888E-2</v>
      </c>
      <c r="G113">
        <v>50.25</v>
      </c>
      <c r="H113">
        <v>0.63</v>
      </c>
      <c r="I113">
        <v>49.62</v>
      </c>
      <c r="J113">
        <v>674.37</v>
      </c>
      <c r="K113">
        <v>22.28</v>
      </c>
      <c r="L113">
        <v>6</v>
      </c>
      <c r="M113" t="s">
        <v>1934</v>
      </c>
      <c r="N113">
        <v>17</v>
      </c>
      <c r="O113">
        <v>43</v>
      </c>
      <c r="P113">
        <v>36.880000000000003</v>
      </c>
      <c r="Q113">
        <v>9</v>
      </c>
      <c r="R113">
        <v>12.73</v>
      </c>
      <c r="S113">
        <v>19.989999999999998</v>
      </c>
      <c r="T113">
        <v>17.690000000000001</v>
      </c>
      <c r="U113">
        <v>1.19</v>
      </c>
      <c r="V113">
        <v>72</v>
      </c>
      <c r="W113">
        <v>0</v>
      </c>
      <c r="X113">
        <v>1</v>
      </c>
      <c r="Y113">
        <v>0</v>
      </c>
      <c r="Z113">
        <v>0</v>
      </c>
      <c r="AA113" t="s">
        <v>114</v>
      </c>
      <c r="AB113">
        <v>49.62</v>
      </c>
      <c r="AC113">
        <v>0.1</v>
      </c>
      <c r="AD113">
        <v>0.05</v>
      </c>
      <c r="AE113">
        <v>0</v>
      </c>
      <c r="AF113" t="s">
        <v>1697</v>
      </c>
      <c r="AG113" t="s">
        <v>1747</v>
      </c>
      <c r="AH113">
        <v>0.7</v>
      </c>
    </row>
    <row r="114" spans="1:34" x14ac:dyDescent="0.25">
      <c r="A114" s="2">
        <v>45649</v>
      </c>
      <c r="B114" t="s">
        <v>1933</v>
      </c>
      <c r="C114" t="s">
        <v>1931</v>
      </c>
      <c r="D114">
        <v>66</v>
      </c>
      <c r="E114">
        <v>0.98648648648648651</v>
      </c>
      <c r="F114">
        <v>1.3698630136986301E-2</v>
      </c>
      <c r="G114">
        <v>50.14</v>
      </c>
      <c r="H114">
        <v>1.77</v>
      </c>
      <c r="I114">
        <v>48.37</v>
      </c>
      <c r="J114">
        <v>770.22</v>
      </c>
      <c r="K114">
        <v>28.87</v>
      </c>
      <c r="L114">
        <v>24.5</v>
      </c>
      <c r="M114" t="s">
        <v>1934</v>
      </c>
      <c r="N114">
        <v>10</v>
      </c>
      <c r="O114">
        <v>56</v>
      </c>
      <c r="P114">
        <v>34.71</v>
      </c>
      <c r="Q114">
        <v>1</v>
      </c>
      <c r="R114">
        <v>13.65</v>
      </c>
      <c r="S114">
        <v>17.809999999999999</v>
      </c>
      <c r="T114">
        <v>14.95</v>
      </c>
      <c r="U114">
        <v>1.32</v>
      </c>
      <c r="V114">
        <v>73</v>
      </c>
      <c r="W114">
        <v>0</v>
      </c>
      <c r="X114">
        <v>1</v>
      </c>
      <c r="Y114">
        <v>48.37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48.37</v>
      </c>
      <c r="AF114" t="s">
        <v>1697</v>
      </c>
      <c r="AG114" t="s">
        <v>1747</v>
      </c>
      <c r="AH114">
        <v>0.7</v>
      </c>
    </row>
    <row r="115" spans="1:34" x14ac:dyDescent="0.25">
      <c r="A115" s="2">
        <v>45642</v>
      </c>
      <c r="B115" t="s">
        <v>1930</v>
      </c>
      <c r="C115" t="s">
        <v>1931</v>
      </c>
      <c r="D115">
        <v>82</v>
      </c>
      <c r="E115">
        <v>0.97029702970297027</v>
      </c>
      <c r="F115">
        <v>2.0408163265306121E-2</v>
      </c>
      <c r="G115">
        <v>50.33</v>
      </c>
      <c r="H115">
        <v>0.11</v>
      </c>
      <c r="I115">
        <v>50.22</v>
      </c>
      <c r="J115">
        <v>928.94</v>
      </c>
      <c r="K115">
        <v>61.17</v>
      </c>
      <c r="L115">
        <v>8.9</v>
      </c>
      <c r="M115" t="s">
        <v>1932</v>
      </c>
      <c r="N115">
        <v>28</v>
      </c>
      <c r="O115">
        <v>54</v>
      </c>
      <c r="P115">
        <v>44.31</v>
      </c>
      <c r="Q115">
        <v>0</v>
      </c>
      <c r="R115">
        <v>5.91</v>
      </c>
      <c r="S115">
        <v>21.72</v>
      </c>
      <c r="T115">
        <v>20.059999999999999</v>
      </c>
      <c r="U115">
        <v>1.63</v>
      </c>
      <c r="V115">
        <v>98</v>
      </c>
      <c r="W115">
        <v>3</v>
      </c>
      <c r="X115">
        <v>2</v>
      </c>
      <c r="Y115">
        <v>50.22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50.22</v>
      </c>
      <c r="AF115" t="s">
        <v>1777</v>
      </c>
      <c r="AG115" t="s">
        <v>1670</v>
      </c>
      <c r="AH115">
        <v>0.7</v>
      </c>
    </row>
    <row r="116" spans="1:34" x14ac:dyDescent="0.25">
      <c r="A116" s="2">
        <v>45649</v>
      </c>
      <c r="B116" t="s">
        <v>1930</v>
      </c>
      <c r="C116" t="s">
        <v>1931</v>
      </c>
      <c r="D116">
        <v>86</v>
      </c>
      <c r="E116">
        <v>0.970873786407767</v>
      </c>
      <c r="F116">
        <v>0.03</v>
      </c>
      <c r="G116">
        <v>49.15</v>
      </c>
      <c r="H116">
        <v>0.16</v>
      </c>
      <c r="I116">
        <v>48.99</v>
      </c>
      <c r="J116">
        <v>987.85</v>
      </c>
      <c r="K116">
        <v>65.98</v>
      </c>
      <c r="L116">
        <v>7.9</v>
      </c>
      <c r="M116" t="s">
        <v>1932</v>
      </c>
      <c r="N116">
        <v>19</v>
      </c>
      <c r="O116">
        <v>67</v>
      </c>
      <c r="P116">
        <v>41.54</v>
      </c>
      <c r="Q116">
        <v>0</v>
      </c>
      <c r="R116">
        <v>7.45</v>
      </c>
      <c r="S116">
        <v>22.82</v>
      </c>
      <c r="T116">
        <v>18.829999999999998</v>
      </c>
      <c r="U116">
        <v>1.75</v>
      </c>
      <c r="V116">
        <v>100</v>
      </c>
      <c r="W116">
        <v>3</v>
      </c>
      <c r="X116">
        <v>3</v>
      </c>
      <c r="Y116">
        <v>48.99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48.99</v>
      </c>
      <c r="AF116" t="s">
        <v>1777</v>
      </c>
      <c r="AG116" t="s">
        <v>1670</v>
      </c>
      <c r="AH116">
        <v>0.7</v>
      </c>
    </row>
    <row r="117" spans="1:34" x14ac:dyDescent="0.25">
      <c r="A117" s="2">
        <v>45642</v>
      </c>
      <c r="B117" t="s">
        <v>1935</v>
      </c>
      <c r="C117" t="s">
        <v>1936</v>
      </c>
      <c r="D117">
        <v>0</v>
      </c>
      <c r="E117">
        <v>0</v>
      </c>
      <c r="F117">
        <v>0</v>
      </c>
      <c r="G117">
        <v>0.08</v>
      </c>
      <c r="H117">
        <v>0</v>
      </c>
      <c r="I117">
        <v>0.08</v>
      </c>
      <c r="J117">
        <v>0</v>
      </c>
      <c r="K117">
        <v>0</v>
      </c>
      <c r="L117">
        <v>0</v>
      </c>
      <c r="M117" t="s">
        <v>1937</v>
      </c>
      <c r="N117">
        <v>0</v>
      </c>
      <c r="O117">
        <v>0</v>
      </c>
      <c r="P117">
        <v>0</v>
      </c>
      <c r="Q117">
        <v>0</v>
      </c>
      <c r="R117">
        <v>0.08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 t="s">
        <v>114</v>
      </c>
      <c r="AB117">
        <v>0.08</v>
      </c>
      <c r="AC117">
        <v>0.1</v>
      </c>
      <c r="AD117">
        <v>0.05</v>
      </c>
      <c r="AE117">
        <v>0</v>
      </c>
      <c r="AF117" t="s">
        <v>1778</v>
      </c>
      <c r="AG117" t="s">
        <v>1816</v>
      </c>
      <c r="AH117">
        <v>0.7</v>
      </c>
    </row>
    <row r="118" spans="1:34" x14ac:dyDescent="0.25">
      <c r="A118" s="2">
        <v>45649</v>
      </c>
      <c r="B118" t="s">
        <v>1935</v>
      </c>
      <c r="C118" t="s">
        <v>1936</v>
      </c>
      <c r="D118">
        <v>55</v>
      </c>
      <c r="E118">
        <v>0.96721311475409832</v>
      </c>
      <c r="F118">
        <v>0</v>
      </c>
      <c r="G118">
        <v>50.99</v>
      </c>
      <c r="H118">
        <v>0.36</v>
      </c>
      <c r="I118">
        <v>50.63</v>
      </c>
      <c r="J118">
        <v>636.97</v>
      </c>
      <c r="K118">
        <v>30.18</v>
      </c>
      <c r="L118">
        <v>9.9</v>
      </c>
      <c r="M118" t="s">
        <v>1937</v>
      </c>
      <c r="N118">
        <v>2</v>
      </c>
      <c r="O118">
        <v>53</v>
      </c>
      <c r="P118">
        <v>29.49</v>
      </c>
      <c r="Q118">
        <v>0</v>
      </c>
      <c r="R118">
        <v>21.14</v>
      </c>
      <c r="S118">
        <v>8.07</v>
      </c>
      <c r="T118">
        <v>7</v>
      </c>
      <c r="U118">
        <v>1.08</v>
      </c>
      <c r="V118">
        <v>59</v>
      </c>
      <c r="W118">
        <v>2</v>
      </c>
      <c r="X118">
        <v>0</v>
      </c>
      <c r="Y118">
        <v>50.63</v>
      </c>
      <c r="Z118">
        <v>0</v>
      </c>
      <c r="AA118" t="s">
        <v>115</v>
      </c>
      <c r="AB118">
        <v>0</v>
      </c>
      <c r="AC118">
        <v>0.1</v>
      </c>
      <c r="AD118">
        <v>0.05</v>
      </c>
      <c r="AE118">
        <v>50.63</v>
      </c>
      <c r="AF118" t="s">
        <v>1778</v>
      </c>
      <c r="AG118" t="s">
        <v>1816</v>
      </c>
      <c r="AH118">
        <v>0.7</v>
      </c>
    </row>
    <row r="119" spans="1:34" x14ac:dyDescent="0.25">
      <c r="A119" s="2">
        <v>45642</v>
      </c>
      <c r="B119" t="s">
        <v>1996</v>
      </c>
      <c r="C119" t="s">
        <v>1997</v>
      </c>
      <c r="D119">
        <v>50</v>
      </c>
      <c r="E119">
        <v>0.98333333333333328</v>
      </c>
      <c r="F119">
        <v>0</v>
      </c>
      <c r="G119">
        <v>31.35</v>
      </c>
      <c r="H119">
        <v>0</v>
      </c>
      <c r="I119">
        <v>31.35</v>
      </c>
      <c r="J119">
        <v>640.26</v>
      </c>
      <c r="K119">
        <v>30.05</v>
      </c>
      <c r="L119">
        <v>0</v>
      </c>
      <c r="M119" t="s">
        <v>1998</v>
      </c>
      <c r="N119">
        <v>17</v>
      </c>
      <c r="O119">
        <v>33</v>
      </c>
      <c r="P119">
        <v>30.46</v>
      </c>
      <c r="Q119">
        <v>1</v>
      </c>
      <c r="R119">
        <v>0.89</v>
      </c>
      <c r="S119">
        <v>22.39</v>
      </c>
      <c r="T119">
        <v>21.86</v>
      </c>
      <c r="U119">
        <v>1.59</v>
      </c>
      <c r="V119">
        <v>59</v>
      </c>
      <c r="W119">
        <v>0</v>
      </c>
      <c r="X119">
        <v>0</v>
      </c>
      <c r="Y119">
        <v>31.35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31.35</v>
      </c>
      <c r="AF119" t="s">
        <v>1824</v>
      </c>
      <c r="AG119" t="s">
        <v>1599</v>
      </c>
      <c r="AH119">
        <v>0.7</v>
      </c>
    </row>
    <row r="120" spans="1:34" x14ac:dyDescent="0.25">
      <c r="A120" s="2">
        <v>45649</v>
      </c>
      <c r="B120" t="s">
        <v>1996</v>
      </c>
      <c r="C120" t="s">
        <v>1997</v>
      </c>
      <c r="D120">
        <v>78</v>
      </c>
      <c r="E120">
        <v>0.94680851063829785</v>
      </c>
      <c r="F120">
        <v>0</v>
      </c>
      <c r="G120">
        <v>51.42</v>
      </c>
      <c r="H120">
        <v>0.31</v>
      </c>
      <c r="I120">
        <v>51.11</v>
      </c>
      <c r="J120">
        <v>1035.4000000000001</v>
      </c>
      <c r="K120">
        <v>25.59</v>
      </c>
      <c r="L120">
        <v>21.8</v>
      </c>
      <c r="M120" t="s">
        <v>1998</v>
      </c>
      <c r="N120">
        <v>19</v>
      </c>
      <c r="O120">
        <v>59</v>
      </c>
      <c r="P120">
        <v>46.13</v>
      </c>
      <c r="Q120">
        <v>5</v>
      </c>
      <c r="R120">
        <v>4.9800000000000004</v>
      </c>
      <c r="S120">
        <v>27.84</v>
      </c>
      <c r="T120">
        <v>25.23</v>
      </c>
      <c r="U120">
        <v>1.52</v>
      </c>
      <c r="V120">
        <v>89</v>
      </c>
      <c r="W120">
        <v>0</v>
      </c>
      <c r="X120">
        <v>0</v>
      </c>
      <c r="Y120">
        <v>0</v>
      </c>
      <c r="Z120">
        <v>0</v>
      </c>
      <c r="AA120" t="s">
        <v>115</v>
      </c>
      <c r="AB120">
        <v>51.11</v>
      </c>
      <c r="AC120">
        <v>0.1</v>
      </c>
      <c r="AD120">
        <v>0.05</v>
      </c>
      <c r="AE120">
        <v>0</v>
      </c>
      <c r="AF120" t="s">
        <v>1824</v>
      </c>
      <c r="AG120" t="s">
        <v>1599</v>
      </c>
      <c r="AH120">
        <v>0.7</v>
      </c>
    </row>
    <row r="121" spans="1:34" x14ac:dyDescent="0.25">
      <c r="A121" s="2">
        <v>45642</v>
      </c>
      <c r="B121" t="s">
        <v>1958</v>
      </c>
      <c r="C121" t="s">
        <v>1959</v>
      </c>
      <c r="D121">
        <v>84</v>
      </c>
      <c r="E121">
        <v>0.96969696969696972</v>
      </c>
      <c r="F121">
        <v>0</v>
      </c>
      <c r="G121">
        <v>52.34</v>
      </c>
      <c r="H121">
        <v>1.84</v>
      </c>
      <c r="I121">
        <v>50.5</v>
      </c>
      <c r="J121">
        <v>1030.5899999999999</v>
      </c>
      <c r="K121">
        <v>65</v>
      </c>
      <c r="L121">
        <v>9.8000000000000007</v>
      </c>
      <c r="M121" t="s">
        <v>1960</v>
      </c>
      <c r="N121">
        <v>32</v>
      </c>
      <c r="O121">
        <v>52</v>
      </c>
      <c r="P121">
        <v>48.31</v>
      </c>
      <c r="Q121">
        <v>2</v>
      </c>
      <c r="R121">
        <v>2.19</v>
      </c>
      <c r="S121">
        <v>42.62</v>
      </c>
      <c r="T121">
        <v>38.840000000000003</v>
      </c>
      <c r="U121">
        <v>1.6</v>
      </c>
      <c r="V121">
        <v>96</v>
      </c>
      <c r="W121">
        <v>1</v>
      </c>
      <c r="X121">
        <v>0</v>
      </c>
      <c r="Y121">
        <v>50.5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50.5</v>
      </c>
      <c r="AF121" t="s">
        <v>1724</v>
      </c>
      <c r="AG121" t="s">
        <v>1600</v>
      </c>
      <c r="AH121">
        <v>0.7</v>
      </c>
    </row>
    <row r="122" spans="1:34" x14ac:dyDescent="0.25">
      <c r="A122" s="2">
        <v>45649</v>
      </c>
      <c r="B122" t="s">
        <v>1958</v>
      </c>
      <c r="C122" t="s">
        <v>1959</v>
      </c>
      <c r="D122">
        <v>94</v>
      </c>
      <c r="E122">
        <v>0.99019607843137258</v>
      </c>
      <c r="F122">
        <v>0</v>
      </c>
      <c r="G122">
        <v>52.03</v>
      </c>
      <c r="H122">
        <v>2.85</v>
      </c>
      <c r="I122">
        <v>49.18</v>
      </c>
      <c r="J122">
        <v>1069.6300000000001</v>
      </c>
      <c r="K122">
        <v>83.03</v>
      </c>
      <c r="L122">
        <v>16.2</v>
      </c>
      <c r="M122" t="s">
        <v>1960</v>
      </c>
      <c r="N122">
        <v>29</v>
      </c>
      <c r="O122">
        <v>65</v>
      </c>
      <c r="P122">
        <v>46.51</v>
      </c>
      <c r="Q122">
        <v>1</v>
      </c>
      <c r="R122">
        <v>2.66</v>
      </c>
      <c r="S122">
        <v>42.49</v>
      </c>
      <c r="T122">
        <v>37.729999999999997</v>
      </c>
      <c r="U122">
        <v>1.81</v>
      </c>
      <c r="V122">
        <v>101</v>
      </c>
      <c r="W122">
        <v>0</v>
      </c>
      <c r="X122">
        <v>0</v>
      </c>
      <c r="Y122">
        <v>49.18</v>
      </c>
      <c r="Z122">
        <v>0</v>
      </c>
      <c r="AA122" t="s">
        <v>115</v>
      </c>
      <c r="AB122">
        <v>0</v>
      </c>
      <c r="AC122">
        <v>0.1</v>
      </c>
      <c r="AD122">
        <v>0.05</v>
      </c>
      <c r="AE122">
        <v>49.18</v>
      </c>
      <c r="AF122" t="s">
        <v>1724</v>
      </c>
      <c r="AG122" t="s">
        <v>1600</v>
      </c>
      <c r="AH122">
        <v>0.7</v>
      </c>
    </row>
    <row r="123" spans="1:34" x14ac:dyDescent="0.25">
      <c r="A123" s="2">
        <v>45642</v>
      </c>
      <c r="B123" t="s">
        <v>1938</v>
      </c>
      <c r="C123" t="s">
        <v>1939</v>
      </c>
      <c r="D123">
        <v>21</v>
      </c>
      <c r="E123">
        <v>1</v>
      </c>
      <c r="F123">
        <v>6.6666666666666666E-2</v>
      </c>
      <c r="G123">
        <v>15.46</v>
      </c>
      <c r="H123">
        <v>0</v>
      </c>
      <c r="I123">
        <v>15.46</v>
      </c>
      <c r="J123">
        <v>304.25</v>
      </c>
      <c r="K123">
        <v>8</v>
      </c>
      <c r="L123">
        <v>0</v>
      </c>
      <c r="M123" t="s">
        <v>1940</v>
      </c>
      <c r="N123">
        <v>12</v>
      </c>
      <c r="O123">
        <v>9</v>
      </c>
      <c r="P123">
        <v>14.98</v>
      </c>
      <c r="Q123">
        <v>0</v>
      </c>
      <c r="R123">
        <v>0.48</v>
      </c>
      <c r="S123">
        <v>13.06</v>
      </c>
      <c r="T123">
        <v>12.8</v>
      </c>
      <c r="U123">
        <v>1.36</v>
      </c>
      <c r="V123">
        <v>30</v>
      </c>
      <c r="W123">
        <v>0</v>
      </c>
      <c r="X123">
        <v>2</v>
      </c>
      <c r="Y123">
        <v>0</v>
      </c>
      <c r="Z123">
        <v>0</v>
      </c>
      <c r="AA123" t="s">
        <v>114</v>
      </c>
      <c r="AB123">
        <v>15.46</v>
      </c>
      <c r="AC123">
        <v>0.1</v>
      </c>
      <c r="AD123">
        <v>0.05</v>
      </c>
      <c r="AE123">
        <v>0</v>
      </c>
      <c r="AF123" t="s">
        <v>1817</v>
      </c>
      <c r="AG123" t="s">
        <v>1599</v>
      </c>
      <c r="AH123">
        <v>0.7</v>
      </c>
    </row>
    <row r="124" spans="1:34" x14ac:dyDescent="0.25">
      <c r="A124" s="2">
        <v>45649</v>
      </c>
      <c r="B124" t="s">
        <v>1938</v>
      </c>
      <c r="C124" t="s">
        <v>1939</v>
      </c>
      <c r="D124">
        <v>25</v>
      </c>
      <c r="E124">
        <v>0.6</v>
      </c>
      <c r="F124">
        <v>0.3125</v>
      </c>
      <c r="G124">
        <v>23.65</v>
      </c>
      <c r="H124">
        <v>0</v>
      </c>
      <c r="I124">
        <v>23.65</v>
      </c>
      <c r="J124">
        <v>257.70999999999998</v>
      </c>
      <c r="K124">
        <v>9</v>
      </c>
      <c r="L124">
        <v>0</v>
      </c>
      <c r="M124" t="s">
        <v>1940</v>
      </c>
      <c r="N124">
        <v>3</v>
      </c>
      <c r="O124">
        <v>22</v>
      </c>
      <c r="P124">
        <v>13.82</v>
      </c>
      <c r="Q124">
        <v>0</v>
      </c>
      <c r="R124">
        <v>9.83</v>
      </c>
      <c r="S124">
        <v>13.27</v>
      </c>
      <c r="T124">
        <v>7.26</v>
      </c>
      <c r="U124">
        <v>1.06</v>
      </c>
      <c r="V124">
        <v>48</v>
      </c>
      <c r="W124">
        <v>32</v>
      </c>
      <c r="X124">
        <v>15</v>
      </c>
      <c r="Y124">
        <v>0</v>
      </c>
      <c r="Z124">
        <v>0</v>
      </c>
      <c r="AA124" t="s">
        <v>115</v>
      </c>
      <c r="AB124">
        <v>23.65</v>
      </c>
      <c r="AC124">
        <v>0.1</v>
      </c>
      <c r="AD124">
        <v>0.05</v>
      </c>
      <c r="AE124">
        <v>0</v>
      </c>
      <c r="AF124" t="s">
        <v>1817</v>
      </c>
      <c r="AG124" t="s">
        <v>1599</v>
      </c>
      <c r="AH124">
        <v>0.7</v>
      </c>
    </row>
    <row r="125" spans="1:34" x14ac:dyDescent="0.25">
      <c r="A125" s="2">
        <v>45642</v>
      </c>
      <c r="B125" t="s">
        <v>1941</v>
      </c>
      <c r="C125" t="s">
        <v>1942</v>
      </c>
      <c r="D125">
        <v>78</v>
      </c>
      <c r="E125">
        <v>1</v>
      </c>
      <c r="F125">
        <v>0</v>
      </c>
      <c r="G125">
        <v>55.24</v>
      </c>
      <c r="H125">
        <v>0.28999999999999998</v>
      </c>
      <c r="I125">
        <v>54.95</v>
      </c>
      <c r="J125">
        <v>1032.25</v>
      </c>
      <c r="K125">
        <v>43.33</v>
      </c>
      <c r="L125">
        <v>0</v>
      </c>
      <c r="M125" t="s">
        <v>1943</v>
      </c>
      <c r="N125">
        <v>39</v>
      </c>
      <c r="O125">
        <v>39</v>
      </c>
      <c r="P125">
        <v>54.26</v>
      </c>
      <c r="Q125">
        <v>0</v>
      </c>
      <c r="R125">
        <v>0.7</v>
      </c>
      <c r="S125">
        <v>38.43</v>
      </c>
      <c r="T125">
        <v>37.75</v>
      </c>
      <c r="U125">
        <v>1.41</v>
      </c>
      <c r="V125">
        <v>92</v>
      </c>
      <c r="W125">
        <v>0</v>
      </c>
      <c r="X125">
        <v>0</v>
      </c>
      <c r="Y125">
        <v>54.95</v>
      </c>
      <c r="Z125">
        <v>0</v>
      </c>
      <c r="AA125" t="s">
        <v>114</v>
      </c>
      <c r="AB125">
        <v>0</v>
      </c>
      <c r="AC125">
        <v>0.1</v>
      </c>
      <c r="AD125">
        <v>0.05</v>
      </c>
      <c r="AE125">
        <v>54.95</v>
      </c>
      <c r="AF125" t="s">
        <v>1737</v>
      </c>
      <c r="AG125" t="s">
        <v>1600</v>
      </c>
      <c r="AH125">
        <v>0.7</v>
      </c>
    </row>
    <row r="126" spans="1:34" x14ac:dyDescent="0.25">
      <c r="A126" s="2">
        <v>45649</v>
      </c>
      <c r="B126" t="s">
        <v>1941</v>
      </c>
      <c r="C126" t="s">
        <v>1942</v>
      </c>
      <c r="D126">
        <v>91</v>
      </c>
      <c r="E126">
        <v>1</v>
      </c>
      <c r="F126">
        <v>0</v>
      </c>
      <c r="G126">
        <v>49.97</v>
      </c>
      <c r="H126">
        <v>0.19</v>
      </c>
      <c r="I126">
        <v>49.78</v>
      </c>
      <c r="J126">
        <v>1111.1199999999999</v>
      </c>
      <c r="K126">
        <v>76.489999999999995</v>
      </c>
      <c r="L126">
        <v>0</v>
      </c>
      <c r="M126" t="s">
        <v>1943</v>
      </c>
      <c r="N126">
        <v>18</v>
      </c>
      <c r="O126">
        <v>73</v>
      </c>
      <c r="P126">
        <v>47.74</v>
      </c>
      <c r="Q126">
        <v>0</v>
      </c>
      <c r="R126">
        <v>2.0499999999999998</v>
      </c>
      <c r="S126">
        <v>27.11</v>
      </c>
      <c r="T126">
        <v>26</v>
      </c>
      <c r="U126">
        <v>1.82</v>
      </c>
      <c r="V126">
        <v>110</v>
      </c>
      <c r="W126">
        <v>0</v>
      </c>
      <c r="X126">
        <v>0</v>
      </c>
      <c r="Y126">
        <v>49.78</v>
      </c>
      <c r="Z126">
        <v>0</v>
      </c>
      <c r="AA126" t="s">
        <v>115</v>
      </c>
      <c r="AB126">
        <v>0</v>
      </c>
      <c r="AC126">
        <v>0.1</v>
      </c>
      <c r="AD126">
        <v>0.05</v>
      </c>
      <c r="AE126">
        <v>49.78</v>
      </c>
      <c r="AF126" t="s">
        <v>1737</v>
      </c>
      <c r="AG126" t="s">
        <v>1600</v>
      </c>
      <c r="AH126">
        <v>0.7</v>
      </c>
    </row>
    <row r="127" spans="1:34" x14ac:dyDescent="0.25">
      <c r="A127" s="2">
        <v>45642</v>
      </c>
      <c r="B127" t="s">
        <v>1944</v>
      </c>
      <c r="C127" t="s">
        <v>1945</v>
      </c>
      <c r="D127">
        <v>61</v>
      </c>
      <c r="E127">
        <v>0.81707317073170727</v>
      </c>
      <c r="F127">
        <v>0</v>
      </c>
      <c r="G127">
        <v>51.03</v>
      </c>
      <c r="H127">
        <v>0.41</v>
      </c>
      <c r="I127">
        <v>50.620000000000005</v>
      </c>
      <c r="J127">
        <v>747.08</v>
      </c>
      <c r="K127">
        <v>43.78</v>
      </c>
      <c r="L127">
        <v>0</v>
      </c>
      <c r="M127" t="s">
        <v>1946</v>
      </c>
      <c r="N127">
        <v>13</v>
      </c>
      <c r="O127">
        <v>48</v>
      </c>
      <c r="P127">
        <v>37.4</v>
      </c>
      <c r="Q127">
        <v>14</v>
      </c>
      <c r="R127">
        <v>13.23</v>
      </c>
      <c r="S127">
        <v>15.81</v>
      </c>
      <c r="T127">
        <v>13.48</v>
      </c>
      <c r="U127">
        <v>1.2</v>
      </c>
      <c r="V127">
        <v>67</v>
      </c>
      <c r="W127">
        <v>1</v>
      </c>
      <c r="X127">
        <v>0</v>
      </c>
      <c r="Y127">
        <v>0</v>
      </c>
      <c r="Z127">
        <v>0</v>
      </c>
      <c r="AA127" t="s">
        <v>114</v>
      </c>
      <c r="AB127">
        <v>50.620000000000005</v>
      </c>
      <c r="AC127">
        <v>0.1</v>
      </c>
      <c r="AD127">
        <v>0.05</v>
      </c>
      <c r="AE127">
        <v>0</v>
      </c>
      <c r="AF127" t="s">
        <v>1739</v>
      </c>
      <c r="AG127" t="s">
        <v>1742</v>
      </c>
      <c r="AH127">
        <v>0.7</v>
      </c>
    </row>
    <row r="128" spans="1:34" x14ac:dyDescent="0.25">
      <c r="A128" s="2">
        <v>45649</v>
      </c>
      <c r="B128" t="s">
        <v>1944</v>
      </c>
      <c r="C128" t="s">
        <v>1945</v>
      </c>
      <c r="D128">
        <v>80</v>
      </c>
      <c r="E128">
        <v>1</v>
      </c>
      <c r="F128">
        <v>1.1111111111111112E-2</v>
      </c>
      <c r="G128">
        <v>70.08</v>
      </c>
      <c r="H128">
        <v>0.16</v>
      </c>
      <c r="I128">
        <v>69.92</v>
      </c>
      <c r="J128">
        <v>892.86</v>
      </c>
      <c r="K128">
        <v>71.69</v>
      </c>
      <c r="L128">
        <v>6</v>
      </c>
      <c r="M128" t="s">
        <v>1946</v>
      </c>
      <c r="N128">
        <v>14</v>
      </c>
      <c r="O128">
        <v>66</v>
      </c>
      <c r="P128">
        <v>41.43</v>
      </c>
      <c r="Q128">
        <v>0</v>
      </c>
      <c r="R128">
        <v>28.49</v>
      </c>
      <c r="S128">
        <v>38.35</v>
      </c>
      <c r="T128">
        <v>24.44</v>
      </c>
      <c r="U128">
        <v>1.1399999999999999</v>
      </c>
      <c r="V128">
        <v>90</v>
      </c>
      <c r="W128">
        <v>0</v>
      </c>
      <c r="X128">
        <v>1</v>
      </c>
      <c r="Y128">
        <v>69.92</v>
      </c>
      <c r="Z128">
        <v>0</v>
      </c>
      <c r="AA128" t="s">
        <v>115</v>
      </c>
      <c r="AB128">
        <v>0</v>
      </c>
      <c r="AC128">
        <v>0.1</v>
      </c>
      <c r="AD128">
        <v>0.05</v>
      </c>
      <c r="AE128">
        <v>69.92</v>
      </c>
      <c r="AF128" t="s">
        <v>1739</v>
      </c>
      <c r="AG128" t="s">
        <v>1742</v>
      </c>
      <c r="AH128">
        <v>0.7</v>
      </c>
    </row>
    <row r="129" spans="1:34" x14ac:dyDescent="0.25">
      <c r="A129" s="2">
        <v>45642</v>
      </c>
      <c r="B129" t="s">
        <v>1947</v>
      </c>
      <c r="C129" t="s">
        <v>1948</v>
      </c>
      <c r="D129">
        <v>12</v>
      </c>
      <c r="E129">
        <v>0.92307692307692313</v>
      </c>
      <c r="F129">
        <v>0</v>
      </c>
      <c r="G129">
        <v>9.57</v>
      </c>
      <c r="H129">
        <v>0.36</v>
      </c>
      <c r="I129">
        <v>9.2100000000000009</v>
      </c>
      <c r="J129">
        <v>136.80000000000001</v>
      </c>
      <c r="K129">
        <v>18.14</v>
      </c>
      <c r="L129">
        <v>0</v>
      </c>
      <c r="M129" t="s">
        <v>1949</v>
      </c>
      <c r="N129">
        <v>3</v>
      </c>
      <c r="O129">
        <v>9</v>
      </c>
      <c r="P129">
        <v>8.59</v>
      </c>
      <c r="Q129">
        <v>2</v>
      </c>
      <c r="R129">
        <v>0.62</v>
      </c>
      <c r="S129">
        <v>0</v>
      </c>
      <c r="T129">
        <v>0</v>
      </c>
      <c r="U129">
        <v>1.25</v>
      </c>
      <c r="V129">
        <v>24</v>
      </c>
      <c r="W129">
        <v>0</v>
      </c>
      <c r="X129">
        <v>0</v>
      </c>
      <c r="Y129">
        <v>0</v>
      </c>
      <c r="Z129">
        <v>0</v>
      </c>
      <c r="AA129" t="s">
        <v>114</v>
      </c>
      <c r="AB129">
        <v>9.2100000000000009</v>
      </c>
      <c r="AC129">
        <v>0.1</v>
      </c>
      <c r="AD129">
        <v>0.05</v>
      </c>
      <c r="AE129">
        <v>0</v>
      </c>
      <c r="AF129" t="s">
        <v>1605</v>
      </c>
      <c r="AG129" t="s">
        <v>1601</v>
      </c>
      <c r="AH129">
        <v>0.7</v>
      </c>
    </row>
    <row r="130" spans="1:34" x14ac:dyDescent="0.25">
      <c r="A130" s="2">
        <v>45649</v>
      </c>
      <c r="B130" t="s">
        <v>1947</v>
      </c>
      <c r="C130" t="s">
        <v>1948</v>
      </c>
      <c r="D130">
        <v>45</v>
      </c>
      <c r="E130">
        <v>0.94047619047619047</v>
      </c>
      <c r="F130">
        <v>5.0632911392405063E-2</v>
      </c>
      <c r="G130">
        <v>35.39</v>
      </c>
      <c r="H130">
        <v>0.08</v>
      </c>
      <c r="I130">
        <v>35.31</v>
      </c>
      <c r="J130">
        <v>496.8</v>
      </c>
      <c r="K130">
        <v>15</v>
      </c>
      <c r="L130">
        <v>0</v>
      </c>
      <c r="M130" t="s">
        <v>1949</v>
      </c>
      <c r="N130">
        <v>1</v>
      </c>
      <c r="O130">
        <v>44</v>
      </c>
      <c r="P130">
        <v>28.73</v>
      </c>
      <c r="Q130">
        <v>5</v>
      </c>
      <c r="R130">
        <v>6.59</v>
      </c>
      <c r="S130">
        <v>2.15</v>
      </c>
      <c r="T130">
        <v>1.9</v>
      </c>
      <c r="U130">
        <v>1.27</v>
      </c>
      <c r="V130">
        <v>79</v>
      </c>
      <c r="W130">
        <v>0</v>
      </c>
      <c r="X130">
        <v>4</v>
      </c>
      <c r="Y130">
        <v>0</v>
      </c>
      <c r="Z130">
        <v>0</v>
      </c>
      <c r="AA130" t="s">
        <v>115</v>
      </c>
      <c r="AB130">
        <v>35.31</v>
      </c>
      <c r="AC130">
        <v>0.1</v>
      </c>
      <c r="AD130">
        <v>0.05</v>
      </c>
      <c r="AE130">
        <v>0</v>
      </c>
      <c r="AF130" t="s">
        <v>1605</v>
      </c>
      <c r="AG130" t="s">
        <v>1601</v>
      </c>
      <c r="AH130">
        <v>0.7</v>
      </c>
    </row>
    <row r="131" spans="1:34" x14ac:dyDescent="0.25">
      <c r="A131" s="2">
        <v>45642</v>
      </c>
      <c r="B131" t="s">
        <v>2016</v>
      </c>
      <c r="C131" t="s">
        <v>2017</v>
      </c>
      <c r="D131">
        <v>51</v>
      </c>
      <c r="E131">
        <v>0.85483870967741937</v>
      </c>
      <c r="F131">
        <v>1.8867924528301886E-2</v>
      </c>
      <c r="G131">
        <v>52.45</v>
      </c>
      <c r="H131">
        <v>0.45</v>
      </c>
      <c r="I131">
        <v>52</v>
      </c>
      <c r="J131">
        <v>694.75</v>
      </c>
      <c r="K131">
        <v>46</v>
      </c>
      <c r="L131">
        <v>0</v>
      </c>
      <c r="M131" t="s">
        <v>1950</v>
      </c>
      <c r="N131">
        <v>21</v>
      </c>
      <c r="O131">
        <v>30</v>
      </c>
      <c r="P131">
        <v>38.479999999999997</v>
      </c>
      <c r="Q131">
        <v>9</v>
      </c>
      <c r="R131">
        <v>13.51</v>
      </c>
      <c r="S131">
        <v>33.32</v>
      </c>
      <c r="T131">
        <v>25.37</v>
      </c>
      <c r="U131">
        <v>0.97</v>
      </c>
      <c r="V131">
        <v>53</v>
      </c>
      <c r="W131">
        <v>0</v>
      </c>
      <c r="X131">
        <v>1</v>
      </c>
      <c r="Y131">
        <v>0</v>
      </c>
      <c r="Z131">
        <v>0</v>
      </c>
      <c r="AA131" t="s">
        <v>114</v>
      </c>
      <c r="AB131">
        <v>52</v>
      </c>
      <c r="AC131">
        <v>0.1</v>
      </c>
      <c r="AD131">
        <v>0.05</v>
      </c>
      <c r="AE131">
        <v>0</v>
      </c>
      <c r="AF131" t="s">
        <v>1682</v>
      </c>
      <c r="AG131" t="s">
        <v>1751</v>
      </c>
      <c r="AH131">
        <v>0.7</v>
      </c>
    </row>
    <row r="132" spans="1:34" x14ac:dyDescent="0.25">
      <c r="A132" s="2">
        <v>45649</v>
      </c>
      <c r="B132" t="s">
        <v>2016</v>
      </c>
      <c r="C132" t="s">
        <v>2017</v>
      </c>
      <c r="D132">
        <v>54</v>
      </c>
      <c r="E132">
        <v>1</v>
      </c>
      <c r="F132">
        <v>0</v>
      </c>
      <c r="G132">
        <v>53.41</v>
      </c>
      <c r="H132">
        <v>0</v>
      </c>
      <c r="I132">
        <v>53.41</v>
      </c>
      <c r="J132">
        <v>730.3</v>
      </c>
      <c r="K132">
        <v>55.81</v>
      </c>
      <c r="L132">
        <v>0</v>
      </c>
      <c r="M132" t="s">
        <v>1950</v>
      </c>
      <c r="N132">
        <v>14</v>
      </c>
      <c r="O132">
        <v>40</v>
      </c>
      <c r="P132">
        <v>37.28</v>
      </c>
      <c r="Q132">
        <v>0</v>
      </c>
      <c r="R132">
        <v>16.14</v>
      </c>
      <c r="S132">
        <v>38.31</v>
      </c>
      <c r="T132">
        <v>26.83</v>
      </c>
      <c r="U132">
        <v>1.01</v>
      </c>
      <c r="V132">
        <v>63</v>
      </c>
      <c r="W132">
        <v>0</v>
      </c>
      <c r="X132">
        <v>0</v>
      </c>
      <c r="Y132">
        <v>53.41</v>
      </c>
      <c r="Z132">
        <v>0</v>
      </c>
      <c r="AA132" t="s">
        <v>115</v>
      </c>
      <c r="AB132">
        <v>0</v>
      </c>
      <c r="AC132">
        <v>0.1</v>
      </c>
      <c r="AD132">
        <v>0.05</v>
      </c>
      <c r="AE132">
        <v>53.41</v>
      </c>
      <c r="AF132" t="s">
        <v>1682</v>
      </c>
      <c r="AG132" t="s">
        <v>1751</v>
      </c>
      <c r="AH132">
        <v>0.7</v>
      </c>
    </row>
    <row r="133" spans="1:34" x14ac:dyDescent="0.25">
      <c r="A133" s="2">
        <v>45642</v>
      </c>
      <c r="B133" t="s">
        <v>2050</v>
      </c>
      <c r="C133" t="s">
        <v>2051</v>
      </c>
      <c r="D133">
        <v>63</v>
      </c>
      <c r="E133">
        <v>1</v>
      </c>
      <c r="F133">
        <v>2.7777777777777776E-2</v>
      </c>
      <c r="G133">
        <v>37.68</v>
      </c>
      <c r="H133">
        <v>0</v>
      </c>
      <c r="I133">
        <v>37.68</v>
      </c>
      <c r="J133">
        <v>784.37</v>
      </c>
      <c r="K133">
        <v>80.52</v>
      </c>
      <c r="L133">
        <v>1.5</v>
      </c>
      <c r="M133" t="s">
        <v>2052</v>
      </c>
      <c r="N133">
        <v>18</v>
      </c>
      <c r="O133">
        <v>45</v>
      </c>
      <c r="P133">
        <v>35.89</v>
      </c>
      <c r="Q133">
        <v>0</v>
      </c>
      <c r="R133">
        <v>1.78</v>
      </c>
      <c r="S133">
        <v>27.34</v>
      </c>
      <c r="T133">
        <v>25.89</v>
      </c>
      <c r="U133">
        <v>1.67</v>
      </c>
      <c r="V133">
        <v>72</v>
      </c>
      <c r="W133">
        <v>0</v>
      </c>
      <c r="X133">
        <v>2</v>
      </c>
      <c r="Y133">
        <v>37.68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37.68</v>
      </c>
      <c r="AF133" t="s">
        <v>2033</v>
      </c>
      <c r="AG133" t="s">
        <v>1601</v>
      </c>
      <c r="AH133">
        <v>0.7</v>
      </c>
    </row>
    <row r="134" spans="1:34" x14ac:dyDescent="0.25">
      <c r="A134" s="2">
        <v>45649</v>
      </c>
      <c r="B134" t="s">
        <v>2050</v>
      </c>
      <c r="C134" t="s">
        <v>2051</v>
      </c>
      <c r="D134">
        <v>63</v>
      </c>
      <c r="E134">
        <v>1</v>
      </c>
      <c r="F134">
        <v>2.8571428571428571E-2</v>
      </c>
      <c r="G134">
        <v>36.46</v>
      </c>
      <c r="H134">
        <v>0</v>
      </c>
      <c r="I134">
        <v>36.46</v>
      </c>
      <c r="J134">
        <v>733.31</v>
      </c>
      <c r="K134">
        <v>61.41</v>
      </c>
      <c r="L134">
        <v>0</v>
      </c>
      <c r="M134" t="s">
        <v>2052</v>
      </c>
      <c r="N134">
        <v>9</v>
      </c>
      <c r="O134">
        <v>54</v>
      </c>
      <c r="P134">
        <v>30.08</v>
      </c>
      <c r="Q134">
        <v>0</v>
      </c>
      <c r="R134">
        <v>6.38</v>
      </c>
      <c r="S134">
        <v>20.45</v>
      </c>
      <c r="T134">
        <v>18.8</v>
      </c>
      <c r="U134">
        <v>1.73</v>
      </c>
      <c r="V134">
        <v>70</v>
      </c>
      <c r="W134">
        <v>0</v>
      </c>
      <c r="X134">
        <v>2</v>
      </c>
      <c r="Y134">
        <v>36.46</v>
      </c>
      <c r="Z134">
        <v>0</v>
      </c>
      <c r="AA134" t="s">
        <v>115</v>
      </c>
      <c r="AB134">
        <v>0</v>
      </c>
      <c r="AC134">
        <v>0.1</v>
      </c>
      <c r="AD134">
        <v>0.05</v>
      </c>
      <c r="AE134">
        <v>36.46</v>
      </c>
      <c r="AF134" t="s">
        <v>2033</v>
      </c>
      <c r="AG134" t="s">
        <v>1601</v>
      </c>
      <c r="AH134">
        <v>0.7</v>
      </c>
    </row>
    <row r="135" spans="1:34" x14ac:dyDescent="0.25">
      <c r="A135" s="2">
        <v>45642</v>
      </c>
      <c r="B135" t="s">
        <v>2037</v>
      </c>
      <c r="C135" t="s">
        <v>2038</v>
      </c>
      <c r="D135">
        <v>74</v>
      </c>
      <c r="E135">
        <v>0.98765432098765427</v>
      </c>
      <c r="F135">
        <v>0</v>
      </c>
      <c r="G135">
        <v>44.93</v>
      </c>
      <c r="H135">
        <v>0.78</v>
      </c>
      <c r="I135">
        <v>44.15</v>
      </c>
      <c r="J135">
        <v>930.63</v>
      </c>
      <c r="K135">
        <v>43</v>
      </c>
      <c r="L135">
        <v>12</v>
      </c>
      <c r="M135" t="s">
        <v>2039</v>
      </c>
      <c r="N135">
        <v>12</v>
      </c>
      <c r="O135">
        <v>62</v>
      </c>
      <c r="P135">
        <v>41.06</v>
      </c>
      <c r="Q135">
        <v>1</v>
      </c>
      <c r="R135">
        <v>3.09</v>
      </c>
      <c r="S135">
        <v>11.71</v>
      </c>
      <c r="T135">
        <v>11.29</v>
      </c>
      <c r="U135">
        <v>1.65</v>
      </c>
      <c r="V135">
        <v>80</v>
      </c>
      <c r="W135">
        <v>0</v>
      </c>
      <c r="X135">
        <v>0</v>
      </c>
      <c r="Y135">
        <v>44.15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44.15</v>
      </c>
      <c r="AF135" t="s">
        <v>1974</v>
      </c>
      <c r="AG135" t="s">
        <v>1601</v>
      </c>
      <c r="AH135">
        <v>0.7</v>
      </c>
    </row>
    <row r="136" spans="1:34" x14ac:dyDescent="0.25">
      <c r="A136" s="2">
        <v>45649</v>
      </c>
      <c r="B136" t="s">
        <v>2037</v>
      </c>
      <c r="C136" t="s">
        <v>2038</v>
      </c>
      <c r="D136">
        <v>91</v>
      </c>
      <c r="E136">
        <v>1</v>
      </c>
      <c r="F136">
        <v>0</v>
      </c>
      <c r="G136">
        <v>58.62</v>
      </c>
      <c r="H136">
        <v>2.33</v>
      </c>
      <c r="I136">
        <v>56.29</v>
      </c>
      <c r="J136">
        <v>1148.6199999999999</v>
      </c>
      <c r="K136">
        <v>79.03</v>
      </c>
      <c r="L136">
        <v>14.6</v>
      </c>
      <c r="M136" t="s">
        <v>2039</v>
      </c>
      <c r="N136">
        <v>3</v>
      </c>
      <c r="O136">
        <v>88</v>
      </c>
      <c r="P136">
        <v>44.2</v>
      </c>
      <c r="Q136">
        <v>0</v>
      </c>
      <c r="R136">
        <v>12.08</v>
      </c>
      <c r="S136">
        <v>12.05</v>
      </c>
      <c r="T136">
        <v>6.98</v>
      </c>
      <c r="U136">
        <v>1.55</v>
      </c>
      <c r="V136">
        <v>90</v>
      </c>
      <c r="W136">
        <v>0</v>
      </c>
      <c r="X136">
        <v>0</v>
      </c>
      <c r="Y136">
        <v>56.29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56.29</v>
      </c>
      <c r="AF136" t="s">
        <v>1974</v>
      </c>
      <c r="AG136" t="s">
        <v>1601</v>
      </c>
      <c r="AH136">
        <v>0.7</v>
      </c>
    </row>
    <row r="137" spans="1:34" x14ac:dyDescent="0.25">
      <c r="A137" s="2">
        <v>45649</v>
      </c>
      <c r="B137" t="s">
        <v>2122</v>
      </c>
      <c r="C137" t="s">
        <v>2123</v>
      </c>
      <c r="D137">
        <v>23</v>
      </c>
      <c r="E137">
        <v>1</v>
      </c>
      <c r="F137">
        <v>0</v>
      </c>
      <c r="G137">
        <v>11.64</v>
      </c>
      <c r="H137">
        <v>0</v>
      </c>
      <c r="I137">
        <v>11.64</v>
      </c>
      <c r="J137">
        <v>217.55</v>
      </c>
      <c r="K137">
        <v>16</v>
      </c>
      <c r="L137">
        <v>0</v>
      </c>
      <c r="M137" t="s">
        <v>2124</v>
      </c>
      <c r="N137">
        <v>8</v>
      </c>
      <c r="O137">
        <v>15</v>
      </c>
      <c r="P137">
        <v>10.84</v>
      </c>
      <c r="Q137">
        <v>0</v>
      </c>
      <c r="R137">
        <v>0.79</v>
      </c>
      <c r="S137">
        <v>0</v>
      </c>
      <c r="T137">
        <v>0</v>
      </c>
      <c r="U137">
        <v>1.98</v>
      </c>
      <c r="V137">
        <v>25</v>
      </c>
      <c r="W137">
        <v>0</v>
      </c>
      <c r="X137">
        <v>0</v>
      </c>
      <c r="Y137">
        <v>11.64</v>
      </c>
      <c r="Z137">
        <v>0</v>
      </c>
      <c r="AA137" t="s">
        <v>115</v>
      </c>
      <c r="AB137">
        <v>0</v>
      </c>
      <c r="AC137">
        <v>0.1</v>
      </c>
      <c r="AD137">
        <v>0.05</v>
      </c>
      <c r="AE137">
        <v>11.64</v>
      </c>
      <c r="AF137" t="s">
        <v>1663</v>
      </c>
      <c r="AG137" t="s">
        <v>1601</v>
      </c>
      <c r="AH137">
        <v>0.7</v>
      </c>
    </row>
    <row r="138" spans="1:34" x14ac:dyDescent="0.25">
      <c r="A138" s="2">
        <v>45642</v>
      </c>
      <c r="B138" t="s">
        <v>1913</v>
      </c>
      <c r="C138" t="s">
        <v>1892</v>
      </c>
      <c r="D138">
        <v>70</v>
      </c>
      <c r="E138">
        <v>1</v>
      </c>
      <c r="F138">
        <v>1.098901098901099E-2</v>
      </c>
      <c r="G138">
        <v>60.07</v>
      </c>
      <c r="H138">
        <v>0.17</v>
      </c>
      <c r="I138">
        <v>59.9</v>
      </c>
      <c r="J138">
        <v>852.67</v>
      </c>
      <c r="K138">
        <v>83.57</v>
      </c>
      <c r="L138">
        <v>1.5</v>
      </c>
      <c r="M138" t="s">
        <v>1951</v>
      </c>
      <c r="N138">
        <v>22</v>
      </c>
      <c r="O138">
        <v>48</v>
      </c>
      <c r="P138">
        <v>47.57</v>
      </c>
      <c r="Q138">
        <v>0</v>
      </c>
      <c r="R138">
        <v>12.33</v>
      </c>
      <c r="S138">
        <v>36.67</v>
      </c>
      <c r="T138">
        <v>30.41</v>
      </c>
      <c r="U138">
        <v>1.17</v>
      </c>
      <c r="V138">
        <v>91</v>
      </c>
      <c r="W138">
        <v>0</v>
      </c>
      <c r="X138">
        <v>1</v>
      </c>
      <c r="Y138">
        <v>59.9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59.9</v>
      </c>
      <c r="AF138" t="s">
        <v>1779</v>
      </c>
      <c r="AG138" t="s">
        <v>1788</v>
      </c>
      <c r="AH138">
        <v>0.7</v>
      </c>
    </row>
    <row r="139" spans="1:34" x14ac:dyDescent="0.25">
      <c r="A139" s="2">
        <v>45649</v>
      </c>
      <c r="B139" t="s">
        <v>1913</v>
      </c>
      <c r="C139" t="s">
        <v>1892</v>
      </c>
      <c r="D139">
        <v>83</v>
      </c>
      <c r="E139">
        <v>1</v>
      </c>
      <c r="F139">
        <v>0</v>
      </c>
      <c r="G139">
        <v>60</v>
      </c>
      <c r="H139">
        <v>0.01</v>
      </c>
      <c r="I139">
        <v>59.99</v>
      </c>
      <c r="J139">
        <v>823.87</v>
      </c>
      <c r="K139">
        <v>97.89</v>
      </c>
      <c r="L139">
        <v>0</v>
      </c>
      <c r="M139" t="s">
        <v>1951</v>
      </c>
      <c r="N139">
        <v>20</v>
      </c>
      <c r="O139">
        <v>63</v>
      </c>
      <c r="P139">
        <v>46.46</v>
      </c>
      <c r="Q139">
        <v>0</v>
      </c>
      <c r="R139">
        <v>13.52</v>
      </c>
      <c r="S139">
        <v>37.51</v>
      </c>
      <c r="T139">
        <v>29.82</v>
      </c>
      <c r="U139">
        <v>1.38</v>
      </c>
      <c r="V139">
        <v>99</v>
      </c>
      <c r="W139">
        <v>0</v>
      </c>
      <c r="X139">
        <v>0</v>
      </c>
      <c r="Y139">
        <v>59.99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59.99</v>
      </c>
      <c r="AF139" t="s">
        <v>1779</v>
      </c>
      <c r="AG139" t="s">
        <v>1788</v>
      </c>
      <c r="AH139">
        <v>0.7</v>
      </c>
    </row>
    <row r="140" spans="1:34" x14ac:dyDescent="0.25">
      <c r="A140" s="2">
        <v>45642</v>
      </c>
      <c r="B140" t="s">
        <v>1952</v>
      </c>
      <c r="C140" t="s">
        <v>1953</v>
      </c>
      <c r="D140">
        <v>51</v>
      </c>
      <c r="E140">
        <v>1</v>
      </c>
      <c r="F140">
        <v>2.7027027027027029E-2</v>
      </c>
      <c r="G140">
        <v>50.11</v>
      </c>
      <c r="H140">
        <v>0.01</v>
      </c>
      <c r="I140">
        <v>50.1</v>
      </c>
      <c r="J140">
        <v>545.98</v>
      </c>
      <c r="K140">
        <v>31</v>
      </c>
      <c r="L140">
        <v>0</v>
      </c>
      <c r="M140" t="s">
        <v>1954</v>
      </c>
      <c r="N140">
        <v>17</v>
      </c>
      <c r="O140">
        <v>34</v>
      </c>
      <c r="P140">
        <v>28.81</v>
      </c>
      <c r="Q140">
        <v>0</v>
      </c>
      <c r="R140">
        <v>21.3</v>
      </c>
      <c r="S140">
        <v>29.28</v>
      </c>
      <c r="T140">
        <v>18.68</v>
      </c>
      <c r="U140">
        <v>1.02</v>
      </c>
      <c r="V140">
        <v>74</v>
      </c>
      <c r="W140">
        <v>0</v>
      </c>
      <c r="X140">
        <v>2</v>
      </c>
      <c r="Y140">
        <v>50.1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50.1</v>
      </c>
      <c r="AF140" t="s">
        <v>1741</v>
      </c>
      <c r="AG140" t="s">
        <v>1815</v>
      </c>
      <c r="AH140">
        <v>0.7</v>
      </c>
    </row>
    <row r="141" spans="1:34" x14ac:dyDescent="0.25">
      <c r="A141" s="2">
        <v>45649</v>
      </c>
      <c r="B141" t="s">
        <v>1952</v>
      </c>
      <c r="C141" t="s">
        <v>1953</v>
      </c>
      <c r="D141">
        <v>54</v>
      </c>
      <c r="E141">
        <v>1</v>
      </c>
      <c r="F141">
        <v>4.4776119402985072E-2</v>
      </c>
      <c r="G141">
        <v>50.03</v>
      </c>
      <c r="H141">
        <v>0</v>
      </c>
      <c r="I141">
        <v>50.03</v>
      </c>
      <c r="J141">
        <v>631.01</v>
      </c>
      <c r="K141">
        <v>45.02</v>
      </c>
      <c r="L141">
        <v>0</v>
      </c>
      <c r="M141" t="s">
        <v>1954</v>
      </c>
      <c r="N141">
        <v>19</v>
      </c>
      <c r="O141">
        <v>35</v>
      </c>
      <c r="P141">
        <v>29.19</v>
      </c>
      <c r="Q141">
        <v>0</v>
      </c>
      <c r="R141">
        <v>20.84</v>
      </c>
      <c r="S141">
        <v>37.49</v>
      </c>
      <c r="T141">
        <v>24.53</v>
      </c>
      <c r="U141">
        <v>1.08</v>
      </c>
      <c r="V141">
        <v>67</v>
      </c>
      <c r="W141">
        <v>0</v>
      </c>
      <c r="X141">
        <v>3</v>
      </c>
      <c r="Y141">
        <v>0</v>
      </c>
      <c r="Z141">
        <v>0</v>
      </c>
      <c r="AA141" t="s">
        <v>115</v>
      </c>
      <c r="AB141">
        <v>50.03</v>
      </c>
      <c r="AC141">
        <v>0.1</v>
      </c>
      <c r="AD141">
        <v>0.05</v>
      </c>
      <c r="AE141">
        <v>0</v>
      </c>
      <c r="AF141" t="s">
        <v>1741</v>
      </c>
      <c r="AG141" t="s">
        <v>1815</v>
      </c>
      <c r="AH141">
        <v>0.7</v>
      </c>
    </row>
    <row r="142" spans="1:34" x14ac:dyDescent="0.25">
      <c r="A142" s="2">
        <v>45642</v>
      </c>
      <c r="B142" t="s">
        <v>1955</v>
      </c>
      <c r="C142" t="s">
        <v>1956</v>
      </c>
      <c r="D142">
        <v>34</v>
      </c>
      <c r="E142">
        <v>0.96721311475409832</v>
      </c>
      <c r="F142">
        <v>3.3898305084745763E-2</v>
      </c>
      <c r="G142">
        <v>19.62</v>
      </c>
      <c r="H142">
        <v>0.44</v>
      </c>
      <c r="I142">
        <v>19.18</v>
      </c>
      <c r="J142">
        <v>387.37</v>
      </c>
      <c r="K142">
        <v>18.79</v>
      </c>
      <c r="L142">
        <v>0</v>
      </c>
      <c r="M142" t="s">
        <v>1957</v>
      </c>
      <c r="N142">
        <v>7</v>
      </c>
      <c r="O142">
        <v>27</v>
      </c>
      <c r="P142">
        <v>18.52</v>
      </c>
      <c r="Q142">
        <v>2</v>
      </c>
      <c r="R142">
        <v>0.66</v>
      </c>
      <c r="S142">
        <v>5.94</v>
      </c>
      <c r="T142">
        <v>5.81</v>
      </c>
      <c r="U142">
        <v>1.73</v>
      </c>
      <c r="V142">
        <v>59</v>
      </c>
      <c r="W142">
        <v>0</v>
      </c>
      <c r="X142">
        <v>2</v>
      </c>
      <c r="Y142">
        <v>19.18</v>
      </c>
      <c r="Z142">
        <v>0</v>
      </c>
      <c r="AA142" t="s">
        <v>114</v>
      </c>
      <c r="AB142">
        <v>0</v>
      </c>
      <c r="AC142">
        <v>0.1</v>
      </c>
      <c r="AD142">
        <v>0.05</v>
      </c>
      <c r="AE142">
        <v>19.18</v>
      </c>
      <c r="AF142" t="s">
        <v>1806</v>
      </c>
      <c r="AG142" t="s">
        <v>1599</v>
      </c>
      <c r="AH142">
        <v>0.7</v>
      </c>
    </row>
    <row r="143" spans="1:34" x14ac:dyDescent="0.25">
      <c r="A143" s="2">
        <v>45649</v>
      </c>
      <c r="B143" t="s">
        <v>1955</v>
      </c>
      <c r="C143" t="s">
        <v>1956</v>
      </c>
      <c r="D143">
        <v>24</v>
      </c>
      <c r="E143">
        <v>1</v>
      </c>
      <c r="F143">
        <v>7.1428571428571425E-2</v>
      </c>
      <c r="G143">
        <v>14.23</v>
      </c>
      <c r="H143">
        <v>0.09</v>
      </c>
      <c r="I143">
        <v>14.14</v>
      </c>
      <c r="J143">
        <v>266.18</v>
      </c>
      <c r="K143">
        <v>41</v>
      </c>
      <c r="L143">
        <v>6</v>
      </c>
      <c r="M143" t="s">
        <v>1957</v>
      </c>
      <c r="N143">
        <v>4</v>
      </c>
      <c r="O143">
        <v>20</v>
      </c>
      <c r="P143">
        <v>11.9</v>
      </c>
      <c r="Q143">
        <v>0</v>
      </c>
      <c r="R143">
        <v>2.2400000000000002</v>
      </c>
      <c r="S143">
        <v>3.68</v>
      </c>
      <c r="T143">
        <v>2.69</v>
      </c>
      <c r="U143">
        <v>1.69</v>
      </c>
      <c r="V143">
        <v>42</v>
      </c>
      <c r="W143">
        <v>0</v>
      </c>
      <c r="X143">
        <v>3</v>
      </c>
      <c r="Y143">
        <v>0</v>
      </c>
      <c r="Z143">
        <v>0</v>
      </c>
      <c r="AA143" t="s">
        <v>115</v>
      </c>
      <c r="AB143">
        <v>14.14</v>
      </c>
      <c r="AC143">
        <v>0.1</v>
      </c>
      <c r="AD143">
        <v>0.05</v>
      </c>
      <c r="AE143">
        <v>0</v>
      </c>
      <c r="AF143" t="s">
        <v>1806</v>
      </c>
      <c r="AG143" t="s">
        <v>1599</v>
      </c>
      <c r="AH143">
        <v>0.7</v>
      </c>
    </row>
    <row r="144" spans="1:34" x14ac:dyDescent="0.25">
      <c r="A144" s="2">
        <v>45649</v>
      </c>
      <c r="B144" t="s">
        <v>1913</v>
      </c>
      <c r="C144" t="s">
        <v>2125</v>
      </c>
      <c r="D144">
        <v>59</v>
      </c>
      <c r="E144">
        <v>1</v>
      </c>
      <c r="F144">
        <v>0</v>
      </c>
      <c r="G144">
        <v>50.9</v>
      </c>
      <c r="H144">
        <v>0.08</v>
      </c>
      <c r="I144">
        <v>50.82</v>
      </c>
      <c r="J144">
        <v>689.74</v>
      </c>
      <c r="K144">
        <v>49.57</v>
      </c>
      <c r="L144">
        <v>3.3</v>
      </c>
      <c r="M144" t="s">
        <v>2126</v>
      </c>
      <c r="N144">
        <v>10</v>
      </c>
      <c r="O144">
        <v>49</v>
      </c>
      <c r="P144">
        <v>29.14</v>
      </c>
      <c r="Q144">
        <v>0</v>
      </c>
      <c r="R144">
        <v>21.67</v>
      </c>
      <c r="S144">
        <v>10.43</v>
      </c>
      <c r="T144">
        <v>8.85</v>
      </c>
      <c r="U144">
        <v>1.1599999999999999</v>
      </c>
      <c r="V144">
        <v>67</v>
      </c>
      <c r="W144">
        <v>0</v>
      </c>
      <c r="X144">
        <v>0</v>
      </c>
      <c r="Y144">
        <v>50.82</v>
      </c>
      <c r="Z144">
        <v>0</v>
      </c>
      <c r="AA144" t="s">
        <v>115</v>
      </c>
      <c r="AB144">
        <v>0</v>
      </c>
      <c r="AC144">
        <v>0.1</v>
      </c>
      <c r="AD144">
        <v>0.05</v>
      </c>
      <c r="AE144">
        <v>50.82</v>
      </c>
      <c r="AF144" t="s">
        <v>1702</v>
      </c>
      <c r="AG144" t="s">
        <v>1814</v>
      </c>
      <c r="AH144">
        <v>0.7</v>
      </c>
    </row>
    <row r="145" spans="1:34" x14ac:dyDescent="0.25">
      <c r="A145" s="2">
        <v>45642</v>
      </c>
      <c r="B145" t="s">
        <v>2080</v>
      </c>
      <c r="C145" t="s">
        <v>1863</v>
      </c>
      <c r="D145">
        <v>85</v>
      </c>
      <c r="E145">
        <v>1</v>
      </c>
      <c r="F145">
        <v>0</v>
      </c>
      <c r="G145">
        <v>49.14</v>
      </c>
      <c r="H145">
        <v>0.28000000000000003</v>
      </c>
      <c r="I145">
        <v>48.86</v>
      </c>
      <c r="J145">
        <v>1146.06</v>
      </c>
      <c r="K145">
        <v>116.85</v>
      </c>
      <c r="L145">
        <v>6</v>
      </c>
      <c r="M145" t="s">
        <v>2081</v>
      </c>
      <c r="N145">
        <v>24</v>
      </c>
      <c r="O145">
        <v>61</v>
      </c>
      <c r="P145">
        <v>47.2</v>
      </c>
      <c r="Q145">
        <v>0</v>
      </c>
      <c r="R145">
        <v>1.67</v>
      </c>
      <c r="S145">
        <v>20.81</v>
      </c>
      <c r="T145">
        <v>20.18</v>
      </c>
      <c r="U145">
        <v>1.73</v>
      </c>
      <c r="V145">
        <v>108</v>
      </c>
      <c r="W145">
        <v>0</v>
      </c>
      <c r="X145">
        <v>0</v>
      </c>
      <c r="Y145">
        <v>48.86</v>
      </c>
      <c r="Z145">
        <v>0</v>
      </c>
      <c r="AA145" t="s">
        <v>114</v>
      </c>
      <c r="AB145">
        <v>0</v>
      </c>
      <c r="AC145">
        <v>0.1</v>
      </c>
      <c r="AD145">
        <v>0.05</v>
      </c>
      <c r="AE145">
        <v>48.86</v>
      </c>
      <c r="AF145" t="s">
        <v>2063</v>
      </c>
      <c r="AG145" t="s">
        <v>1599</v>
      </c>
      <c r="AH145">
        <v>0.7</v>
      </c>
    </row>
    <row r="146" spans="1:34" x14ac:dyDescent="0.25">
      <c r="A146" s="2">
        <v>45649</v>
      </c>
      <c r="B146" t="s">
        <v>2080</v>
      </c>
      <c r="C146" t="s">
        <v>1863</v>
      </c>
      <c r="D146">
        <v>98</v>
      </c>
      <c r="E146">
        <v>0.99099099099099097</v>
      </c>
      <c r="F146">
        <v>0</v>
      </c>
      <c r="G146">
        <v>48.37</v>
      </c>
      <c r="H146">
        <v>0.13</v>
      </c>
      <c r="I146">
        <v>48.239999999999995</v>
      </c>
      <c r="J146">
        <v>1136.98</v>
      </c>
      <c r="K146">
        <v>72.02</v>
      </c>
      <c r="L146">
        <v>12</v>
      </c>
      <c r="M146" t="s">
        <v>2081</v>
      </c>
      <c r="N146">
        <v>19</v>
      </c>
      <c r="O146">
        <v>79</v>
      </c>
      <c r="P146">
        <v>44.9</v>
      </c>
      <c r="Q146">
        <v>1</v>
      </c>
      <c r="R146">
        <v>3.33</v>
      </c>
      <c r="S146">
        <v>27.95</v>
      </c>
      <c r="T146">
        <v>26.58</v>
      </c>
      <c r="U146">
        <v>2.0299999999999998</v>
      </c>
      <c r="V146">
        <v>110</v>
      </c>
      <c r="W146">
        <v>0</v>
      </c>
      <c r="X146">
        <v>0</v>
      </c>
      <c r="Y146">
        <v>48.239999999999995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48.239999999999995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45642</v>
      </c>
      <c r="B147" t="s">
        <v>2082</v>
      </c>
      <c r="C147" t="s">
        <v>2083</v>
      </c>
      <c r="D147">
        <v>53</v>
      </c>
      <c r="E147">
        <v>0.61052631578947369</v>
      </c>
      <c r="F147">
        <v>3.4482758620689655E-2</v>
      </c>
      <c r="G147">
        <v>50.08</v>
      </c>
      <c r="H147">
        <v>0.78</v>
      </c>
      <c r="I147">
        <v>49.3</v>
      </c>
      <c r="J147">
        <v>705.41</v>
      </c>
      <c r="K147">
        <v>27.94</v>
      </c>
      <c r="L147">
        <v>0</v>
      </c>
      <c r="M147" t="s">
        <v>2084</v>
      </c>
      <c r="N147">
        <v>20</v>
      </c>
      <c r="O147">
        <v>33</v>
      </c>
      <c r="P147">
        <v>32.35</v>
      </c>
      <c r="Q147">
        <v>36</v>
      </c>
      <c r="R147">
        <v>16.95</v>
      </c>
      <c r="S147">
        <v>24.39</v>
      </c>
      <c r="T147">
        <v>21.92</v>
      </c>
      <c r="U147">
        <v>1.06</v>
      </c>
      <c r="V147">
        <v>58</v>
      </c>
      <c r="W147">
        <v>1</v>
      </c>
      <c r="X147">
        <v>2</v>
      </c>
      <c r="Y147">
        <v>0</v>
      </c>
      <c r="Z147">
        <v>0</v>
      </c>
      <c r="AA147" t="s">
        <v>114</v>
      </c>
      <c r="AB147">
        <v>49.3</v>
      </c>
      <c r="AC147">
        <v>0.1</v>
      </c>
      <c r="AD147">
        <v>0.05</v>
      </c>
      <c r="AE147">
        <v>0</v>
      </c>
      <c r="AF147" t="s">
        <v>2064</v>
      </c>
      <c r="AG147" t="s">
        <v>1670</v>
      </c>
      <c r="AH147">
        <v>0.7</v>
      </c>
    </row>
    <row r="148" spans="1:34" x14ac:dyDescent="0.25">
      <c r="A148" s="2">
        <v>45649</v>
      </c>
      <c r="B148" t="s">
        <v>2082</v>
      </c>
      <c r="C148" t="s">
        <v>2083</v>
      </c>
      <c r="D148">
        <v>52</v>
      </c>
      <c r="E148">
        <v>0.48979591836734693</v>
      </c>
      <c r="F148">
        <v>2.0833333333333332E-2</v>
      </c>
      <c r="G148">
        <v>52.69</v>
      </c>
      <c r="H148">
        <v>0.76</v>
      </c>
      <c r="I148">
        <v>51.93</v>
      </c>
      <c r="J148">
        <v>587.59</v>
      </c>
      <c r="K148">
        <v>84.06</v>
      </c>
      <c r="L148">
        <v>0</v>
      </c>
      <c r="M148" t="s">
        <v>2084</v>
      </c>
      <c r="N148">
        <v>12</v>
      </c>
      <c r="O148">
        <v>40</v>
      </c>
      <c r="P148">
        <v>23.55</v>
      </c>
      <c r="Q148">
        <v>49</v>
      </c>
      <c r="R148">
        <v>28.38</v>
      </c>
      <c r="S148">
        <v>15.99</v>
      </c>
      <c r="T148">
        <v>11.16</v>
      </c>
      <c r="U148">
        <v>0.99</v>
      </c>
      <c r="V148">
        <v>48</v>
      </c>
      <c r="W148">
        <v>1</v>
      </c>
      <c r="X148">
        <v>1</v>
      </c>
      <c r="Y148">
        <v>0</v>
      </c>
      <c r="Z148">
        <v>0</v>
      </c>
      <c r="AA148" t="s">
        <v>115</v>
      </c>
      <c r="AB148">
        <v>51.93</v>
      </c>
      <c r="AC148">
        <v>0.1</v>
      </c>
      <c r="AD148">
        <v>0.05</v>
      </c>
      <c r="AE148">
        <v>0</v>
      </c>
      <c r="AF148" t="s">
        <v>2064</v>
      </c>
      <c r="AG148" t="s">
        <v>1670</v>
      </c>
      <c r="AH148">
        <v>0.7</v>
      </c>
    </row>
    <row r="149" spans="1:34" x14ac:dyDescent="0.25">
      <c r="A149" s="2">
        <v>45642</v>
      </c>
      <c r="B149" t="s">
        <v>1883</v>
      </c>
      <c r="C149" t="s">
        <v>2085</v>
      </c>
      <c r="D149">
        <v>96</v>
      </c>
      <c r="E149">
        <v>1</v>
      </c>
      <c r="F149">
        <v>8.9285714285714281E-3</v>
      </c>
      <c r="G149">
        <v>60.12</v>
      </c>
      <c r="H149">
        <v>0.01</v>
      </c>
      <c r="I149">
        <v>60.11</v>
      </c>
      <c r="J149">
        <v>1030.6400000000001</v>
      </c>
      <c r="K149">
        <v>54.99</v>
      </c>
      <c r="L149">
        <v>0</v>
      </c>
      <c r="M149" t="s">
        <v>2086</v>
      </c>
      <c r="N149">
        <v>27</v>
      </c>
      <c r="O149">
        <v>69</v>
      </c>
      <c r="P149">
        <v>49.26</v>
      </c>
      <c r="Q149">
        <v>0</v>
      </c>
      <c r="R149">
        <v>10.86</v>
      </c>
      <c r="S149">
        <v>20.66</v>
      </c>
      <c r="T149">
        <v>16.72</v>
      </c>
      <c r="U149">
        <v>1.6</v>
      </c>
      <c r="V149">
        <v>112</v>
      </c>
      <c r="W149">
        <v>0</v>
      </c>
      <c r="X149">
        <v>1</v>
      </c>
      <c r="Y149">
        <v>60.11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60.11</v>
      </c>
      <c r="AF149" t="s">
        <v>2065</v>
      </c>
      <c r="AG149" t="s">
        <v>1814</v>
      </c>
      <c r="AH149">
        <v>0.7</v>
      </c>
    </row>
    <row r="150" spans="1:34" x14ac:dyDescent="0.25">
      <c r="A150" s="2">
        <v>45649</v>
      </c>
      <c r="B150" t="s">
        <v>1883</v>
      </c>
      <c r="C150" t="s">
        <v>2085</v>
      </c>
      <c r="D150">
        <v>84</v>
      </c>
      <c r="E150">
        <v>1</v>
      </c>
      <c r="F150">
        <v>1.0416666666666666E-2</v>
      </c>
      <c r="G150">
        <v>50.8</v>
      </c>
      <c r="H150">
        <v>0</v>
      </c>
      <c r="I150">
        <v>50.8</v>
      </c>
      <c r="J150">
        <v>819.31</v>
      </c>
      <c r="K150">
        <v>74.37</v>
      </c>
      <c r="L150">
        <v>3.8</v>
      </c>
      <c r="M150" t="s">
        <v>2086</v>
      </c>
      <c r="N150">
        <v>14</v>
      </c>
      <c r="O150">
        <v>70</v>
      </c>
      <c r="P150">
        <v>36.049999999999997</v>
      </c>
      <c r="Q150">
        <v>0</v>
      </c>
      <c r="R150">
        <v>14.75</v>
      </c>
      <c r="S150">
        <v>32.6</v>
      </c>
      <c r="T150">
        <v>20.75</v>
      </c>
      <c r="U150">
        <v>1.65</v>
      </c>
      <c r="V150">
        <v>96</v>
      </c>
      <c r="W150">
        <v>0</v>
      </c>
      <c r="X150">
        <v>1</v>
      </c>
      <c r="Y150">
        <v>50.8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50.8</v>
      </c>
      <c r="AF150" t="s">
        <v>2065</v>
      </c>
      <c r="AG150" t="s">
        <v>1814</v>
      </c>
      <c r="AH150">
        <v>0.7</v>
      </c>
    </row>
    <row r="151" spans="1:34" x14ac:dyDescent="0.25">
      <c r="A151" s="2">
        <v>45642</v>
      </c>
      <c r="B151" t="s">
        <v>2087</v>
      </c>
      <c r="C151" t="s">
        <v>2088</v>
      </c>
      <c r="D151">
        <v>28</v>
      </c>
      <c r="E151">
        <v>1</v>
      </c>
      <c r="F151">
        <v>3.0303030303030304E-2</v>
      </c>
      <c r="G151">
        <v>19.82</v>
      </c>
      <c r="H151">
        <v>0</v>
      </c>
      <c r="I151">
        <v>19.82</v>
      </c>
      <c r="J151">
        <v>324.76</v>
      </c>
      <c r="K151">
        <v>7</v>
      </c>
      <c r="L151">
        <v>0</v>
      </c>
      <c r="M151" t="s">
        <v>2089</v>
      </c>
      <c r="N151">
        <v>11</v>
      </c>
      <c r="O151">
        <v>17</v>
      </c>
      <c r="P151">
        <v>17.27</v>
      </c>
      <c r="Q151">
        <v>0</v>
      </c>
      <c r="R151">
        <v>2.5499999999999998</v>
      </c>
      <c r="S151">
        <v>16.03</v>
      </c>
      <c r="T151">
        <v>13.57</v>
      </c>
      <c r="U151">
        <v>1.41</v>
      </c>
      <c r="V151">
        <v>33</v>
      </c>
      <c r="W151">
        <v>0</v>
      </c>
      <c r="X151">
        <v>1</v>
      </c>
      <c r="Y151">
        <v>19.82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19.82</v>
      </c>
      <c r="AF151" t="s">
        <v>2067</v>
      </c>
      <c r="AG151" t="s">
        <v>1814</v>
      </c>
      <c r="AH151">
        <v>0.7</v>
      </c>
    </row>
    <row r="152" spans="1:34" x14ac:dyDescent="0.25">
      <c r="A152" s="2">
        <v>45642</v>
      </c>
      <c r="B152" t="s">
        <v>2090</v>
      </c>
      <c r="C152" t="s">
        <v>2091</v>
      </c>
      <c r="D152">
        <v>78</v>
      </c>
      <c r="E152">
        <v>1</v>
      </c>
      <c r="F152">
        <v>6.4516129032258063E-2</v>
      </c>
      <c r="G152">
        <v>51.03</v>
      </c>
      <c r="H152">
        <v>0.05</v>
      </c>
      <c r="I152">
        <v>50.980000000000004</v>
      </c>
      <c r="J152">
        <v>1006.89</v>
      </c>
      <c r="K152">
        <v>70.16</v>
      </c>
      <c r="L152">
        <v>0</v>
      </c>
      <c r="M152" t="s">
        <v>2092</v>
      </c>
      <c r="N152">
        <v>42</v>
      </c>
      <c r="O152">
        <v>36</v>
      </c>
      <c r="P152">
        <v>50.12</v>
      </c>
      <c r="Q152">
        <v>0</v>
      </c>
      <c r="R152">
        <v>0.86</v>
      </c>
      <c r="S152">
        <v>44.06</v>
      </c>
      <c r="T152">
        <v>43.3</v>
      </c>
      <c r="U152">
        <v>1.53</v>
      </c>
      <c r="V152">
        <v>93</v>
      </c>
      <c r="W152">
        <v>0</v>
      </c>
      <c r="X152">
        <v>6</v>
      </c>
      <c r="Y152">
        <v>0</v>
      </c>
      <c r="Z152">
        <v>0</v>
      </c>
      <c r="AA152" t="s">
        <v>114</v>
      </c>
      <c r="AB152">
        <v>50.980000000000004</v>
      </c>
      <c r="AC152">
        <v>0.1</v>
      </c>
      <c r="AD152">
        <v>0.05</v>
      </c>
      <c r="AE152">
        <v>0</v>
      </c>
      <c r="AF152" t="s">
        <v>2069</v>
      </c>
      <c r="AG152" t="s">
        <v>1600</v>
      </c>
      <c r="AH152">
        <v>0.7</v>
      </c>
    </row>
    <row r="153" spans="1:34" x14ac:dyDescent="0.25">
      <c r="A153" s="2">
        <v>45649</v>
      </c>
      <c r="B153" t="s">
        <v>2090</v>
      </c>
      <c r="C153" t="s">
        <v>2091</v>
      </c>
      <c r="D153">
        <v>75</v>
      </c>
      <c r="E153">
        <v>0.96703296703296704</v>
      </c>
      <c r="F153">
        <v>2.2727272727272728E-2</v>
      </c>
      <c r="G153">
        <v>47.08</v>
      </c>
      <c r="H153">
        <v>3.04</v>
      </c>
      <c r="I153">
        <v>44.04</v>
      </c>
      <c r="J153">
        <v>891.98</v>
      </c>
      <c r="K153">
        <v>46.38</v>
      </c>
      <c r="L153">
        <v>3</v>
      </c>
      <c r="M153" t="s">
        <v>2092</v>
      </c>
      <c r="N153">
        <v>26</v>
      </c>
      <c r="O153">
        <v>49</v>
      </c>
      <c r="P153">
        <v>41.52</v>
      </c>
      <c r="Q153">
        <v>3</v>
      </c>
      <c r="R153">
        <v>2.5099999999999998</v>
      </c>
      <c r="S153">
        <v>38.1</v>
      </c>
      <c r="T153">
        <v>33.18</v>
      </c>
      <c r="U153">
        <v>1.59</v>
      </c>
      <c r="V153">
        <v>88</v>
      </c>
      <c r="W153">
        <v>0</v>
      </c>
      <c r="X153">
        <v>2</v>
      </c>
      <c r="Y153">
        <v>44.04</v>
      </c>
      <c r="Z153">
        <v>0</v>
      </c>
      <c r="AA153" t="s">
        <v>115</v>
      </c>
      <c r="AB153">
        <v>0</v>
      </c>
      <c r="AC153">
        <v>0.1</v>
      </c>
      <c r="AD153">
        <v>0.05</v>
      </c>
      <c r="AE153">
        <v>44.04</v>
      </c>
      <c r="AF153" t="s">
        <v>2069</v>
      </c>
      <c r="AG153" t="s">
        <v>1600</v>
      </c>
      <c r="AH153">
        <v>0.7</v>
      </c>
    </row>
    <row r="154" spans="1:34" x14ac:dyDescent="0.25">
      <c r="A154" s="2">
        <v>45642</v>
      </c>
      <c r="B154" t="s">
        <v>2093</v>
      </c>
      <c r="C154" t="s">
        <v>2094</v>
      </c>
      <c r="D154">
        <v>33</v>
      </c>
      <c r="E154">
        <v>1</v>
      </c>
      <c r="F154">
        <v>0.23636363636363636</v>
      </c>
      <c r="G154">
        <v>20.64</v>
      </c>
      <c r="H154">
        <v>0.32</v>
      </c>
      <c r="I154">
        <v>20.32</v>
      </c>
      <c r="J154">
        <v>398.65</v>
      </c>
      <c r="K154">
        <v>40.4</v>
      </c>
      <c r="L154">
        <v>5.9</v>
      </c>
      <c r="M154" t="s">
        <v>2095</v>
      </c>
      <c r="N154">
        <v>14</v>
      </c>
      <c r="O154">
        <v>19</v>
      </c>
      <c r="P154">
        <v>20.07</v>
      </c>
      <c r="Q154">
        <v>0</v>
      </c>
      <c r="R154">
        <v>0.25</v>
      </c>
      <c r="S154">
        <v>20.55</v>
      </c>
      <c r="T154">
        <v>20</v>
      </c>
      <c r="U154">
        <v>1.6</v>
      </c>
      <c r="V154">
        <v>55</v>
      </c>
      <c r="W154">
        <v>0</v>
      </c>
      <c r="X154">
        <v>13</v>
      </c>
      <c r="Y154">
        <v>0</v>
      </c>
      <c r="Z154">
        <v>0</v>
      </c>
      <c r="AA154" t="s">
        <v>114</v>
      </c>
      <c r="AB154">
        <v>20.32</v>
      </c>
      <c r="AC154">
        <v>0.1</v>
      </c>
      <c r="AD154">
        <v>0.05</v>
      </c>
      <c r="AE154">
        <v>0</v>
      </c>
      <c r="AF154" t="s">
        <v>2072</v>
      </c>
      <c r="AG154" t="s">
        <v>1599</v>
      </c>
      <c r="AH154">
        <v>0.7</v>
      </c>
    </row>
    <row r="155" spans="1:34" x14ac:dyDescent="0.25">
      <c r="A155" s="2">
        <v>45649</v>
      </c>
      <c r="B155" t="s">
        <v>2093</v>
      </c>
      <c r="C155" t="s">
        <v>2094</v>
      </c>
      <c r="D155">
        <v>11</v>
      </c>
      <c r="E155">
        <v>1</v>
      </c>
      <c r="F155">
        <v>0.1875</v>
      </c>
      <c r="G155">
        <v>6.63</v>
      </c>
      <c r="H155">
        <v>0</v>
      </c>
      <c r="I155">
        <v>6.63</v>
      </c>
      <c r="J155">
        <v>143.82</v>
      </c>
      <c r="K155">
        <v>16</v>
      </c>
      <c r="L155">
        <v>0</v>
      </c>
      <c r="M155" t="s">
        <v>2095</v>
      </c>
      <c r="N155">
        <v>4</v>
      </c>
      <c r="O155">
        <v>7</v>
      </c>
      <c r="P155">
        <v>6.45</v>
      </c>
      <c r="Q155">
        <v>0</v>
      </c>
      <c r="R155">
        <v>0.18</v>
      </c>
      <c r="S155">
        <v>6.63</v>
      </c>
      <c r="T155">
        <v>6.45</v>
      </c>
      <c r="U155">
        <v>1.66</v>
      </c>
      <c r="V155">
        <v>16</v>
      </c>
      <c r="W155">
        <v>0</v>
      </c>
      <c r="X155">
        <v>3</v>
      </c>
      <c r="Y155">
        <v>0</v>
      </c>
      <c r="Z155">
        <v>0</v>
      </c>
      <c r="AA155" t="s">
        <v>115</v>
      </c>
      <c r="AB155">
        <v>6.63</v>
      </c>
      <c r="AC155">
        <v>0.1</v>
      </c>
      <c r="AD155">
        <v>0.05</v>
      </c>
      <c r="AE155">
        <v>0</v>
      </c>
      <c r="AF155" t="s">
        <v>2072</v>
      </c>
      <c r="AG155" t="s">
        <v>1599</v>
      </c>
      <c r="AH155">
        <v>0.7</v>
      </c>
    </row>
    <row r="156" spans="1:34" x14ac:dyDescent="0.25">
      <c r="A156" s="2">
        <v>45642</v>
      </c>
      <c r="B156" t="s">
        <v>2096</v>
      </c>
      <c r="C156" t="s">
        <v>1846</v>
      </c>
      <c r="D156">
        <v>101</v>
      </c>
      <c r="E156">
        <v>1</v>
      </c>
      <c r="F156">
        <v>1.680672268907563E-2</v>
      </c>
      <c r="G156">
        <v>51.98</v>
      </c>
      <c r="H156">
        <v>0.68</v>
      </c>
      <c r="I156">
        <v>51.3</v>
      </c>
      <c r="J156">
        <v>1135.21</v>
      </c>
      <c r="K156">
        <v>69</v>
      </c>
      <c r="L156">
        <v>4</v>
      </c>
      <c r="M156" t="s">
        <v>2097</v>
      </c>
      <c r="N156">
        <v>14</v>
      </c>
      <c r="O156">
        <v>87</v>
      </c>
      <c r="P156">
        <v>49.46</v>
      </c>
      <c r="Q156">
        <v>0</v>
      </c>
      <c r="R156">
        <v>1.83</v>
      </c>
      <c r="S156">
        <v>10.14</v>
      </c>
      <c r="T156">
        <v>9.91</v>
      </c>
      <c r="U156">
        <v>1.94</v>
      </c>
      <c r="V156">
        <v>119</v>
      </c>
      <c r="W156">
        <v>0</v>
      </c>
      <c r="X156">
        <v>2</v>
      </c>
      <c r="Y156">
        <v>51.3</v>
      </c>
      <c r="Z156">
        <v>0</v>
      </c>
      <c r="AA156" t="s">
        <v>114</v>
      </c>
      <c r="AB156">
        <v>0</v>
      </c>
      <c r="AC156">
        <v>0.1</v>
      </c>
      <c r="AD156">
        <v>0.05</v>
      </c>
      <c r="AE156">
        <v>51.3</v>
      </c>
      <c r="AF156" t="s">
        <v>2073</v>
      </c>
      <c r="AG156" t="s">
        <v>1599</v>
      </c>
      <c r="AH156">
        <v>0.7</v>
      </c>
    </row>
    <row r="157" spans="1:34" x14ac:dyDescent="0.25">
      <c r="A157" s="2">
        <v>45649</v>
      </c>
      <c r="B157" t="s">
        <v>2096</v>
      </c>
      <c r="C157" t="s">
        <v>1846</v>
      </c>
      <c r="D157">
        <v>100</v>
      </c>
      <c r="E157">
        <v>1</v>
      </c>
      <c r="F157">
        <v>0</v>
      </c>
      <c r="G157">
        <v>57.23</v>
      </c>
      <c r="H157">
        <v>1.26</v>
      </c>
      <c r="I157">
        <v>55.97</v>
      </c>
      <c r="J157">
        <v>1369.69</v>
      </c>
      <c r="K157">
        <v>123.44</v>
      </c>
      <c r="L157">
        <v>17.5</v>
      </c>
      <c r="M157" t="s">
        <v>2097</v>
      </c>
      <c r="N157">
        <v>11</v>
      </c>
      <c r="O157">
        <v>89</v>
      </c>
      <c r="P157">
        <v>52.52</v>
      </c>
      <c r="Q157">
        <v>0</v>
      </c>
      <c r="R157">
        <v>3.45</v>
      </c>
      <c r="S157">
        <v>12.27</v>
      </c>
      <c r="T157">
        <v>10.59</v>
      </c>
      <c r="U157">
        <v>1.75</v>
      </c>
      <c r="V157">
        <v>120</v>
      </c>
      <c r="W157">
        <v>0</v>
      </c>
      <c r="X157">
        <v>0</v>
      </c>
      <c r="Y157">
        <v>55.97</v>
      </c>
      <c r="Z157">
        <v>0</v>
      </c>
      <c r="AA157" t="s">
        <v>115</v>
      </c>
      <c r="AB157">
        <v>0</v>
      </c>
      <c r="AC157">
        <v>0.1</v>
      </c>
      <c r="AD157">
        <v>0.05</v>
      </c>
      <c r="AE157">
        <v>55.97</v>
      </c>
      <c r="AF157" t="s">
        <v>2073</v>
      </c>
      <c r="AG157" t="s">
        <v>1599</v>
      </c>
      <c r="AH157">
        <v>0.7</v>
      </c>
    </row>
    <row r="158" spans="1:34" x14ac:dyDescent="0.25">
      <c r="A158" s="2">
        <v>45642</v>
      </c>
      <c r="B158" t="s">
        <v>2098</v>
      </c>
      <c r="C158" t="s">
        <v>2099</v>
      </c>
      <c r="D158">
        <v>16</v>
      </c>
      <c r="E158">
        <v>0.76190476190476186</v>
      </c>
      <c r="F158">
        <v>0</v>
      </c>
      <c r="G158">
        <v>11.22</v>
      </c>
      <c r="H158">
        <v>0.02</v>
      </c>
      <c r="I158">
        <v>11.200000000000001</v>
      </c>
      <c r="J158">
        <v>136.29</v>
      </c>
      <c r="K158">
        <v>4.49</v>
      </c>
      <c r="L158">
        <v>0</v>
      </c>
      <c r="M158" t="s">
        <v>2100</v>
      </c>
      <c r="N158">
        <v>5</v>
      </c>
      <c r="O158">
        <v>11</v>
      </c>
      <c r="P158">
        <v>6.96</v>
      </c>
      <c r="Q158">
        <v>0</v>
      </c>
      <c r="R158">
        <v>4.24</v>
      </c>
      <c r="S158">
        <v>4.7300000000000004</v>
      </c>
      <c r="T158">
        <v>4.55</v>
      </c>
      <c r="U158">
        <v>1.43</v>
      </c>
      <c r="V158">
        <v>16</v>
      </c>
      <c r="W158">
        <v>5</v>
      </c>
      <c r="X158">
        <v>0</v>
      </c>
      <c r="Y158">
        <v>0</v>
      </c>
      <c r="Z158">
        <v>0</v>
      </c>
      <c r="AA158" t="s">
        <v>114</v>
      </c>
      <c r="AB158">
        <v>11.200000000000001</v>
      </c>
      <c r="AC158">
        <v>0.1</v>
      </c>
      <c r="AD158">
        <v>0.05</v>
      </c>
      <c r="AE158">
        <v>0</v>
      </c>
      <c r="AF158" t="s">
        <v>2074</v>
      </c>
      <c r="AG158" t="s">
        <v>1746</v>
      </c>
      <c r="AH158">
        <v>0.7</v>
      </c>
    </row>
    <row r="159" spans="1:34" x14ac:dyDescent="0.25">
      <c r="A159" s="2">
        <v>45649</v>
      </c>
      <c r="B159" t="s">
        <v>2098</v>
      </c>
      <c r="C159" t="s">
        <v>2099</v>
      </c>
      <c r="D159">
        <v>13</v>
      </c>
      <c r="E159">
        <v>0.88888888888888884</v>
      </c>
      <c r="F159">
        <v>6.25E-2</v>
      </c>
      <c r="G159">
        <v>50.02</v>
      </c>
      <c r="H159">
        <v>0.17</v>
      </c>
      <c r="I159">
        <v>49.85</v>
      </c>
      <c r="J159">
        <v>138.04</v>
      </c>
      <c r="K159">
        <v>13.75</v>
      </c>
      <c r="L159">
        <v>6</v>
      </c>
      <c r="M159" t="s">
        <v>2100</v>
      </c>
      <c r="N159">
        <v>0</v>
      </c>
      <c r="O159">
        <v>13</v>
      </c>
      <c r="P159">
        <v>5.57</v>
      </c>
      <c r="Q159">
        <v>0</v>
      </c>
      <c r="R159">
        <v>44.28</v>
      </c>
      <c r="S159">
        <v>17.440000000000001</v>
      </c>
      <c r="T159">
        <v>2.2400000000000002</v>
      </c>
      <c r="U159">
        <v>0.26</v>
      </c>
      <c r="V159">
        <v>16</v>
      </c>
      <c r="W159">
        <v>2</v>
      </c>
      <c r="X159">
        <v>1</v>
      </c>
      <c r="Y159">
        <v>0</v>
      </c>
      <c r="Z159">
        <v>0</v>
      </c>
      <c r="AA159" t="s">
        <v>115</v>
      </c>
      <c r="AB159">
        <v>49.85</v>
      </c>
      <c r="AC159">
        <v>0.1</v>
      </c>
      <c r="AD159">
        <v>0.05</v>
      </c>
      <c r="AE159">
        <v>0</v>
      </c>
      <c r="AF159" t="s">
        <v>2074</v>
      </c>
      <c r="AG159" t="s">
        <v>1746</v>
      </c>
      <c r="AH159">
        <v>0.7</v>
      </c>
    </row>
    <row r="160" spans="1:34" x14ac:dyDescent="0.25">
      <c r="A160" s="2">
        <v>45642</v>
      </c>
      <c r="B160" t="s">
        <v>2101</v>
      </c>
      <c r="C160" t="s">
        <v>2102</v>
      </c>
      <c r="D160">
        <v>20</v>
      </c>
      <c r="E160">
        <v>1</v>
      </c>
      <c r="F160">
        <v>0</v>
      </c>
      <c r="G160">
        <v>10.73</v>
      </c>
      <c r="H160">
        <v>0</v>
      </c>
      <c r="I160">
        <v>10.73</v>
      </c>
      <c r="J160">
        <v>230.19</v>
      </c>
      <c r="K160">
        <v>1</v>
      </c>
      <c r="L160">
        <v>0</v>
      </c>
      <c r="M160" t="s">
        <v>2103</v>
      </c>
      <c r="N160">
        <v>4</v>
      </c>
      <c r="O160">
        <v>16</v>
      </c>
      <c r="P160">
        <v>10.1</v>
      </c>
      <c r="Q160">
        <v>0</v>
      </c>
      <c r="R160">
        <v>0.64</v>
      </c>
      <c r="S160">
        <v>0</v>
      </c>
      <c r="T160">
        <v>0</v>
      </c>
      <c r="U160">
        <v>1.86</v>
      </c>
      <c r="V160">
        <v>19</v>
      </c>
      <c r="W160">
        <v>0</v>
      </c>
      <c r="X160">
        <v>0</v>
      </c>
      <c r="Y160">
        <v>10.73</v>
      </c>
      <c r="Z160">
        <v>0</v>
      </c>
      <c r="AA160" t="s">
        <v>114</v>
      </c>
      <c r="AB160">
        <v>0</v>
      </c>
      <c r="AC160">
        <v>0.1</v>
      </c>
      <c r="AD160">
        <v>0.05</v>
      </c>
      <c r="AE160">
        <v>10.73</v>
      </c>
      <c r="AF160" t="s">
        <v>2075</v>
      </c>
      <c r="AG160" t="s">
        <v>1601</v>
      </c>
      <c r="AH160">
        <v>0.7</v>
      </c>
    </row>
    <row r="161" spans="1:34" x14ac:dyDescent="0.25">
      <c r="A161" s="2">
        <v>45649</v>
      </c>
      <c r="B161" t="s">
        <v>2101</v>
      </c>
      <c r="C161" t="s">
        <v>2102</v>
      </c>
      <c r="D161">
        <v>38</v>
      </c>
      <c r="E161">
        <v>0.97826086956521741</v>
      </c>
      <c r="F161">
        <v>6.6666666666666666E-2</v>
      </c>
      <c r="G161">
        <v>23.67</v>
      </c>
      <c r="H161">
        <v>0</v>
      </c>
      <c r="I161">
        <v>23.67</v>
      </c>
      <c r="J161">
        <v>505.25</v>
      </c>
      <c r="K161">
        <v>33.82</v>
      </c>
      <c r="L161">
        <v>0</v>
      </c>
      <c r="M161" t="s">
        <v>2103</v>
      </c>
      <c r="N161">
        <v>10</v>
      </c>
      <c r="O161">
        <v>28</v>
      </c>
      <c r="P161">
        <v>22.95</v>
      </c>
      <c r="Q161">
        <v>0</v>
      </c>
      <c r="R161">
        <v>0.72</v>
      </c>
      <c r="S161">
        <v>5.13</v>
      </c>
      <c r="T161">
        <v>4.7</v>
      </c>
      <c r="U161">
        <v>1.61</v>
      </c>
      <c r="V161">
        <v>45</v>
      </c>
      <c r="W161">
        <v>1</v>
      </c>
      <c r="X161">
        <v>3</v>
      </c>
      <c r="Y161">
        <v>0</v>
      </c>
      <c r="Z161">
        <v>0</v>
      </c>
      <c r="AA161" t="s">
        <v>115</v>
      </c>
      <c r="AB161">
        <v>23.67</v>
      </c>
      <c r="AC161">
        <v>0.1</v>
      </c>
      <c r="AD161">
        <v>0.05</v>
      </c>
      <c r="AE161">
        <v>0</v>
      </c>
      <c r="AF161" t="s">
        <v>2075</v>
      </c>
      <c r="AG161" t="s">
        <v>1601</v>
      </c>
      <c r="AH161">
        <v>0.7</v>
      </c>
    </row>
    <row r="162" spans="1:34" x14ac:dyDescent="0.25">
      <c r="A162" s="2">
        <v>45649</v>
      </c>
      <c r="B162" t="s">
        <v>2104</v>
      </c>
      <c r="C162" t="s">
        <v>2105</v>
      </c>
      <c r="D162">
        <v>84</v>
      </c>
      <c r="E162">
        <v>0.99090909090909096</v>
      </c>
      <c r="F162">
        <v>0.12844036697247707</v>
      </c>
      <c r="G162">
        <v>51.83</v>
      </c>
      <c r="H162">
        <v>0.22</v>
      </c>
      <c r="I162">
        <v>51.61</v>
      </c>
      <c r="J162">
        <v>946.8</v>
      </c>
      <c r="K162">
        <v>65.959999999999994</v>
      </c>
      <c r="L162">
        <v>5.4</v>
      </c>
      <c r="M162" t="s">
        <v>2106</v>
      </c>
      <c r="N162">
        <v>8</v>
      </c>
      <c r="O162">
        <v>76</v>
      </c>
      <c r="P162">
        <v>39.659999999999997</v>
      </c>
      <c r="Q162">
        <v>0</v>
      </c>
      <c r="R162">
        <v>11.96</v>
      </c>
      <c r="S162">
        <v>23.15</v>
      </c>
      <c r="T162">
        <v>16.03</v>
      </c>
      <c r="U162">
        <v>1.62</v>
      </c>
      <c r="V162">
        <v>109</v>
      </c>
      <c r="W162">
        <v>1</v>
      </c>
      <c r="X162">
        <v>14</v>
      </c>
      <c r="Y162">
        <v>0</v>
      </c>
      <c r="Z162">
        <v>0</v>
      </c>
      <c r="AA162" t="s">
        <v>115</v>
      </c>
      <c r="AB162">
        <v>51.61</v>
      </c>
      <c r="AC162">
        <v>0.1</v>
      </c>
      <c r="AD162">
        <v>0.05</v>
      </c>
      <c r="AE162">
        <v>0</v>
      </c>
      <c r="AF162" t="s">
        <v>2076</v>
      </c>
      <c r="AG162" t="s">
        <v>1787</v>
      </c>
      <c r="AH162">
        <v>0.7</v>
      </c>
    </row>
    <row r="163" spans="1:34" x14ac:dyDescent="0.25">
      <c r="A163" s="2">
        <v>45642</v>
      </c>
      <c r="B163" t="s">
        <v>2107</v>
      </c>
      <c r="C163" t="s">
        <v>2108</v>
      </c>
      <c r="D163">
        <v>81</v>
      </c>
      <c r="E163">
        <v>0.89523809523809528</v>
      </c>
      <c r="F163">
        <v>8.5106382978723402E-2</v>
      </c>
      <c r="G163">
        <v>36.64</v>
      </c>
      <c r="H163">
        <v>0.01</v>
      </c>
      <c r="I163">
        <v>36.630000000000003</v>
      </c>
      <c r="J163">
        <v>896.3</v>
      </c>
      <c r="K163">
        <v>77.290000000000006</v>
      </c>
      <c r="L163">
        <v>0</v>
      </c>
      <c r="M163" t="s">
        <v>2109</v>
      </c>
      <c r="N163">
        <v>4</v>
      </c>
      <c r="O163">
        <v>77</v>
      </c>
      <c r="P163">
        <v>33.31</v>
      </c>
      <c r="Q163">
        <v>0</v>
      </c>
      <c r="R163">
        <v>3.32</v>
      </c>
      <c r="S163">
        <v>1.97</v>
      </c>
      <c r="T163">
        <v>1.9</v>
      </c>
      <c r="U163">
        <v>2.21</v>
      </c>
      <c r="V163">
        <v>94</v>
      </c>
      <c r="W163">
        <v>11</v>
      </c>
      <c r="X163">
        <v>8</v>
      </c>
      <c r="Y163">
        <v>0</v>
      </c>
      <c r="Z163">
        <v>0</v>
      </c>
      <c r="AA163" t="s">
        <v>114</v>
      </c>
      <c r="AB163">
        <v>36.630000000000003</v>
      </c>
      <c r="AC163">
        <v>0.1</v>
      </c>
      <c r="AD163">
        <v>0.05</v>
      </c>
      <c r="AE163">
        <v>0</v>
      </c>
      <c r="AF163" t="s">
        <v>2077</v>
      </c>
      <c r="AG163" t="s">
        <v>1599</v>
      </c>
      <c r="AH163">
        <v>0.7</v>
      </c>
    </row>
    <row r="164" spans="1:34" x14ac:dyDescent="0.25">
      <c r="A164" s="2">
        <v>45649</v>
      </c>
      <c r="B164" t="s">
        <v>2107</v>
      </c>
      <c r="C164" t="s">
        <v>2108</v>
      </c>
      <c r="D164">
        <v>110</v>
      </c>
      <c r="E164">
        <v>0.91044776119402981</v>
      </c>
      <c r="F164">
        <v>8.1967213114754103E-3</v>
      </c>
      <c r="G164">
        <v>44.31</v>
      </c>
      <c r="H164">
        <v>0</v>
      </c>
      <c r="I164">
        <v>44.31</v>
      </c>
      <c r="J164">
        <v>1112.67</v>
      </c>
      <c r="K164">
        <v>47</v>
      </c>
      <c r="L164">
        <v>0</v>
      </c>
      <c r="M164" t="s">
        <v>2109</v>
      </c>
      <c r="N164">
        <v>6</v>
      </c>
      <c r="O164">
        <v>104</v>
      </c>
      <c r="P164">
        <v>39.53</v>
      </c>
      <c r="Q164">
        <v>0</v>
      </c>
      <c r="R164">
        <v>4.79</v>
      </c>
      <c r="S164">
        <v>0.81</v>
      </c>
      <c r="T164">
        <v>0.54</v>
      </c>
      <c r="U164">
        <v>2.48</v>
      </c>
      <c r="V164">
        <v>122</v>
      </c>
      <c r="W164">
        <v>12</v>
      </c>
      <c r="X164">
        <v>1</v>
      </c>
      <c r="Y164">
        <v>0</v>
      </c>
      <c r="Z164">
        <v>0</v>
      </c>
      <c r="AA164" t="s">
        <v>115</v>
      </c>
      <c r="AB164">
        <v>44.31</v>
      </c>
      <c r="AC164">
        <v>0.1</v>
      </c>
      <c r="AD164">
        <v>0.05</v>
      </c>
      <c r="AE164">
        <v>0</v>
      </c>
      <c r="AF164" t="s">
        <v>2077</v>
      </c>
      <c r="AG164" t="s">
        <v>1599</v>
      </c>
      <c r="AH164">
        <v>0.7</v>
      </c>
    </row>
    <row r="165" spans="1:34" x14ac:dyDescent="0.25">
      <c r="A165" s="2">
        <v>45642</v>
      </c>
      <c r="B165" t="s">
        <v>2127</v>
      </c>
      <c r="C165" t="s">
        <v>2128</v>
      </c>
      <c r="D165">
        <v>33</v>
      </c>
      <c r="E165">
        <v>1</v>
      </c>
      <c r="F165">
        <v>0</v>
      </c>
      <c r="G165">
        <v>22.78</v>
      </c>
      <c r="H165">
        <v>0.01</v>
      </c>
      <c r="I165">
        <v>22.77</v>
      </c>
      <c r="J165">
        <v>474.45</v>
      </c>
      <c r="K165">
        <v>37.340000000000003</v>
      </c>
      <c r="L165">
        <v>5.7</v>
      </c>
      <c r="M165" t="s">
        <v>2129</v>
      </c>
      <c r="N165">
        <v>10</v>
      </c>
      <c r="O165">
        <v>23</v>
      </c>
      <c r="P165">
        <v>19.68</v>
      </c>
      <c r="Q165">
        <v>0</v>
      </c>
      <c r="R165">
        <v>3.09</v>
      </c>
      <c r="S165">
        <v>5.85</v>
      </c>
      <c r="T165">
        <v>5.49</v>
      </c>
      <c r="U165">
        <v>1.45</v>
      </c>
      <c r="V165">
        <v>37</v>
      </c>
      <c r="W165">
        <v>0</v>
      </c>
      <c r="X165">
        <v>0</v>
      </c>
      <c r="Y165">
        <v>22.77</v>
      </c>
      <c r="Z165">
        <v>0</v>
      </c>
      <c r="AA165" t="s">
        <v>114</v>
      </c>
      <c r="AB165">
        <v>0</v>
      </c>
      <c r="AC165">
        <v>0.1</v>
      </c>
      <c r="AD165">
        <v>0.05</v>
      </c>
      <c r="AE165">
        <v>22.77</v>
      </c>
      <c r="AF165" t="s">
        <v>2114</v>
      </c>
      <c r="AG165" t="s">
        <v>1670</v>
      </c>
      <c r="AH165">
        <v>0.7</v>
      </c>
    </row>
    <row r="166" spans="1:34" x14ac:dyDescent="0.25">
      <c r="A166" s="2">
        <v>45649</v>
      </c>
      <c r="B166" t="s">
        <v>2127</v>
      </c>
      <c r="C166" t="s">
        <v>2128</v>
      </c>
      <c r="D166">
        <v>71</v>
      </c>
      <c r="E166">
        <v>1</v>
      </c>
      <c r="F166">
        <v>4.878048780487805E-2</v>
      </c>
      <c r="G166">
        <v>50.26</v>
      </c>
      <c r="H166">
        <v>3.18</v>
      </c>
      <c r="I166">
        <v>47.08</v>
      </c>
      <c r="J166">
        <v>709.96</v>
      </c>
      <c r="K166">
        <v>27</v>
      </c>
      <c r="L166">
        <v>13.5</v>
      </c>
      <c r="M166" t="s">
        <v>2129</v>
      </c>
      <c r="N166">
        <v>14</v>
      </c>
      <c r="O166">
        <v>57</v>
      </c>
      <c r="P166">
        <v>33.79</v>
      </c>
      <c r="Q166">
        <v>0</v>
      </c>
      <c r="R166">
        <v>13.29</v>
      </c>
      <c r="S166">
        <v>12.67</v>
      </c>
      <c r="T166">
        <v>10.220000000000001</v>
      </c>
      <c r="U166">
        <v>1.41</v>
      </c>
      <c r="V166">
        <v>82</v>
      </c>
      <c r="W166">
        <v>0</v>
      </c>
      <c r="X166">
        <v>4</v>
      </c>
      <c r="Y166">
        <v>0</v>
      </c>
      <c r="Z166">
        <v>0</v>
      </c>
      <c r="AA166" t="s">
        <v>115</v>
      </c>
      <c r="AB166">
        <v>47.08</v>
      </c>
      <c r="AC166">
        <v>0.1</v>
      </c>
      <c r="AD166">
        <v>0.05</v>
      </c>
      <c r="AE166">
        <v>0</v>
      </c>
      <c r="AF166" t="s">
        <v>2114</v>
      </c>
      <c r="AG166" t="s">
        <v>1670</v>
      </c>
      <c r="AH166">
        <v>0.7</v>
      </c>
    </row>
    <row r="167" spans="1:34" x14ac:dyDescent="0.25">
      <c r="A167" s="2">
        <v>45642</v>
      </c>
      <c r="B167" t="s">
        <v>2130</v>
      </c>
      <c r="C167" t="s">
        <v>2131</v>
      </c>
      <c r="D167">
        <v>36</v>
      </c>
      <c r="E167">
        <v>1</v>
      </c>
      <c r="F167">
        <v>2.4390243902439025E-2</v>
      </c>
      <c r="G167">
        <v>25.25</v>
      </c>
      <c r="H167">
        <v>0</v>
      </c>
      <c r="I167">
        <v>25.25</v>
      </c>
      <c r="J167">
        <v>492.69</v>
      </c>
      <c r="K167">
        <v>42</v>
      </c>
      <c r="L167">
        <v>0</v>
      </c>
      <c r="M167" t="s">
        <v>2132</v>
      </c>
      <c r="N167">
        <v>12</v>
      </c>
      <c r="O167">
        <v>24</v>
      </c>
      <c r="P167">
        <v>22.71</v>
      </c>
      <c r="Q167">
        <v>0</v>
      </c>
      <c r="R167">
        <v>2.54</v>
      </c>
      <c r="S167">
        <v>6.58</v>
      </c>
      <c r="T167">
        <v>6.56</v>
      </c>
      <c r="U167">
        <v>1.43</v>
      </c>
      <c r="V167">
        <v>41</v>
      </c>
      <c r="W167">
        <v>0</v>
      </c>
      <c r="X167">
        <v>1</v>
      </c>
      <c r="Y167">
        <v>25.25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25.25</v>
      </c>
      <c r="AF167" t="s">
        <v>2115</v>
      </c>
      <c r="AG167" t="s">
        <v>1670</v>
      </c>
      <c r="AH167">
        <v>0.7</v>
      </c>
    </row>
    <row r="168" spans="1:34" x14ac:dyDescent="0.25">
      <c r="A168" s="2">
        <v>45649</v>
      </c>
      <c r="B168" t="s">
        <v>2130</v>
      </c>
      <c r="C168" t="s">
        <v>2131</v>
      </c>
      <c r="D168">
        <v>62</v>
      </c>
      <c r="E168">
        <v>1</v>
      </c>
      <c r="F168">
        <v>4.2253521126760563E-2</v>
      </c>
      <c r="G168">
        <v>38.909999999999997</v>
      </c>
      <c r="H168">
        <v>0.57999999999999996</v>
      </c>
      <c r="I168">
        <v>38.33</v>
      </c>
      <c r="J168">
        <v>855.44</v>
      </c>
      <c r="K168">
        <v>96.15</v>
      </c>
      <c r="L168">
        <v>0</v>
      </c>
      <c r="M168" t="s">
        <v>2132</v>
      </c>
      <c r="N168">
        <v>12</v>
      </c>
      <c r="O168">
        <v>50</v>
      </c>
      <c r="P168">
        <v>33.619999999999997</v>
      </c>
      <c r="Q168">
        <v>0</v>
      </c>
      <c r="R168">
        <v>4.7</v>
      </c>
      <c r="S168">
        <v>28.6</v>
      </c>
      <c r="T168">
        <v>24.51</v>
      </c>
      <c r="U168">
        <v>1.59</v>
      </c>
      <c r="V168">
        <v>71</v>
      </c>
      <c r="W168">
        <v>0</v>
      </c>
      <c r="X168">
        <v>3</v>
      </c>
      <c r="Y168">
        <v>0</v>
      </c>
      <c r="Z168">
        <v>0</v>
      </c>
      <c r="AA168" t="s">
        <v>115</v>
      </c>
      <c r="AB168">
        <v>38.33</v>
      </c>
      <c r="AC168">
        <v>0.1</v>
      </c>
      <c r="AD168">
        <v>0.05</v>
      </c>
      <c r="AE168">
        <v>0</v>
      </c>
      <c r="AF168" t="s">
        <v>2115</v>
      </c>
      <c r="AG168" t="s">
        <v>1670</v>
      </c>
      <c r="AH168">
        <v>0.7</v>
      </c>
    </row>
    <row r="169" spans="1:34" x14ac:dyDescent="0.25">
      <c r="A169" s="2">
        <v>45642</v>
      </c>
      <c r="B169" t="s">
        <v>2133</v>
      </c>
      <c r="C169" t="s">
        <v>2134</v>
      </c>
      <c r="D169">
        <v>50</v>
      </c>
      <c r="E169">
        <v>0.9859154929577465</v>
      </c>
      <c r="F169">
        <v>2.8571428571428571E-2</v>
      </c>
      <c r="G169">
        <v>39.659999999999997</v>
      </c>
      <c r="H169">
        <v>4.2300000000000004</v>
      </c>
      <c r="I169">
        <v>35.429999999999993</v>
      </c>
      <c r="J169">
        <v>766.53</v>
      </c>
      <c r="K169">
        <v>55.36</v>
      </c>
      <c r="L169">
        <v>9.8000000000000007</v>
      </c>
      <c r="M169" t="s">
        <v>2135</v>
      </c>
      <c r="N169">
        <v>13</v>
      </c>
      <c r="O169">
        <v>37</v>
      </c>
      <c r="P169">
        <v>32.54</v>
      </c>
      <c r="Q169">
        <v>0</v>
      </c>
      <c r="R169">
        <v>2.88</v>
      </c>
      <c r="S169">
        <v>8.3699999999999992</v>
      </c>
      <c r="T169">
        <v>7.97</v>
      </c>
      <c r="U169">
        <v>1.26</v>
      </c>
      <c r="V169">
        <v>70</v>
      </c>
      <c r="W169">
        <v>1</v>
      </c>
      <c r="X169">
        <v>2</v>
      </c>
      <c r="Y169">
        <v>35.429999999999993</v>
      </c>
      <c r="Z169">
        <v>0</v>
      </c>
      <c r="AA169" t="s">
        <v>114</v>
      </c>
      <c r="AB169">
        <v>0</v>
      </c>
      <c r="AC169">
        <v>0.1</v>
      </c>
      <c r="AD169">
        <v>0.05</v>
      </c>
      <c r="AE169">
        <v>35.429999999999993</v>
      </c>
      <c r="AF169" t="s">
        <v>2116</v>
      </c>
      <c r="AG169" t="s">
        <v>1670</v>
      </c>
      <c r="AH169">
        <v>0.7</v>
      </c>
    </row>
    <row r="170" spans="1:34" x14ac:dyDescent="0.25">
      <c r="A170" s="2">
        <v>45649</v>
      </c>
      <c r="B170" t="s">
        <v>2133</v>
      </c>
      <c r="C170" t="s">
        <v>2134</v>
      </c>
      <c r="D170">
        <v>66</v>
      </c>
      <c r="E170">
        <v>0.98</v>
      </c>
      <c r="F170">
        <v>3.0612244897959183E-2</v>
      </c>
      <c r="G170">
        <v>59.92</v>
      </c>
      <c r="H170">
        <v>3.78</v>
      </c>
      <c r="I170">
        <v>56.14</v>
      </c>
      <c r="J170">
        <v>899.61</v>
      </c>
      <c r="K170">
        <v>82.8</v>
      </c>
      <c r="L170">
        <v>16.899999999999999</v>
      </c>
      <c r="M170" t="s">
        <v>2135</v>
      </c>
      <c r="N170">
        <v>9</v>
      </c>
      <c r="O170">
        <v>57</v>
      </c>
      <c r="P170">
        <v>44.91</v>
      </c>
      <c r="Q170">
        <v>0</v>
      </c>
      <c r="R170">
        <v>11.23</v>
      </c>
      <c r="S170">
        <v>19.350000000000001</v>
      </c>
      <c r="T170">
        <v>13.1</v>
      </c>
      <c r="U170">
        <v>1.1000000000000001</v>
      </c>
      <c r="V170">
        <v>98</v>
      </c>
      <c r="W170">
        <v>2</v>
      </c>
      <c r="X170">
        <v>3</v>
      </c>
      <c r="Y170">
        <v>56.14</v>
      </c>
      <c r="Z170">
        <v>0</v>
      </c>
      <c r="AA170" t="s">
        <v>115</v>
      </c>
      <c r="AB170">
        <v>0</v>
      </c>
      <c r="AC170">
        <v>0.1</v>
      </c>
      <c r="AD170">
        <v>0.05</v>
      </c>
      <c r="AE170">
        <v>56.14</v>
      </c>
      <c r="AF170" t="s">
        <v>2116</v>
      </c>
      <c r="AG170" t="s">
        <v>1670</v>
      </c>
      <c r="AH170">
        <v>0.7</v>
      </c>
    </row>
    <row r="171" spans="1:34" x14ac:dyDescent="0.25">
      <c r="A171" s="2">
        <v>45642</v>
      </c>
      <c r="B171" t="s">
        <v>2136</v>
      </c>
      <c r="C171" t="s">
        <v>2137</v>
      </c>
      <c r="D171">
        <v>67</v>
      </c>
      <c r="E171">
        <v>1</v>
      </c>
      <c r="F171">
        <v>2.8169014084507043E-2</v>
      </c>
      <c r="G171">
        <v>35.340000000000003</v>
      </c>
      <c r="H171">
        <v>0.01</v>
      </c>
      <c r="I171">
        <v>35.330000000000005</v>
      </c>
      <c r="J171">
        <v>773.88</v>
      </c>
      <c r="K171">
        <v>48.18</v>
      </c>
      <c r="L171">
        <v>0</v>
      </c>
      <c r="M171" t="s">
        <v>2138</v>
      </c>
      <c r="N171">
        <v>21</v>
      </c>
      <c r="O171">
        <v>46</v>
      </c>
      <c r="P171">
        <v>34.11</v>
      </c>
      <c r="Q171">
        <v>0</v>
      </c>
      <c r="R171">
        <v>1.22</v>
      </c>
      <c r="S171">
        <v>20.59</v>
      </c>
      <c r="T171">
        <v>20.47</v>
      </c>
      <c r="U171">
        <v>1.9</v>
      </c>
      <c r="V171">
        <v>71</v>
      </c>
      <c r="W171">
        <v>0</v>
      </c>
      <c r="X171">
        <v>2</v>
      </c>
      <c r="Y171">
        <v>35.330000000000005</v>
      </c>
      <c r="Z171">
        <v>0</v>
      </c>
      <c r="AA171" t="s">
        <v>114</v>
      </c>
      <c r="AB171">
        <v>0</v>
      </c>
      <c r="AC171">
        <v>0.1</v>
      </c>
      <c r="AD171">
        <v>0.05</v>
      </c>
      <c r="AE171">
        <v>35.330000000000005</v>
      </c>
      <c r="AF171" t="s">
        <v>2117</v>
      </c>
      <c r="AG171" t="s">
        <v>1599</v>
      </c>
      <c r="AH171">
        <v>0.7</v>
      </c>
    </row>
    <row r="172" spans="1:34" x14ac:dyDescent="0.25">
      <c r="A172" s="2">
        <v>45649</v>
      </c>
      <c r="B172" t="s">
        <v>2136</v>
      </c>
      <c r="C172" t="s">
        <v>2137</v>
      </c>
      <c r="D172">
        <v>51</v>
      </c>
      <c r="E172">
        <v>0.953125</v>
      </c>
      <c r="F172">
        <v>6.5573770491803282E-2</v>
      </c>
      <c r="G172">
        <v>30.86</v>
      </c>
      <c r="H172">
        <v>0.02</v>
      </c>
      <c r="I172">
        <v>30.84</v>
      </c>
      <c r="J172">
        <v>629.85</v>
      </c>
      <c r="K172">
        <v>42.39</v>
      </c>
      <c r="L172">
        <v>12</v>
      </c>
      <c r="M172" t="s">
        <v>2138</v>
      </c>
      <c r="N172">
        <v>21</v>
      </c>
      <c r="O172">
        <v>30</v>
      </c>
      <c r="P172">
        <v>29.35</v>
      </c>
      <c r="Q172">
        <v>0</v>
      </c>
      <c r="R172">
        <v>1.49</v>
      </c>
      <c r="S172">
        <v>23.03</v>
      </c>
      <c r="T172">
        <v>21.97</v>
      </c>
      <c r="U172">
        <v>1.65</v>
      </c>
      <c r="V172">
        <v>61</v>
      </c>
      <c r="W172">
        <v>3</v>
      </c>
      <c r="X172">
        <v>4</v>
      </c>
      <c r="Y172">
        <v>0</v>
      </c>
      <c r="Z172">
        <v>0</v>
      </c>
      <c r="AA172" t="s">
        <v>115</v>
      </c>
      <c r="AB172">
        <v>30.84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25">
      <c r="A173" s="2">
        <v>45649</v>
      </c>
      <c r="B173" t="s">
        <v>2139</v>
      </c>
      <c r="C173" t="s">
        <v>2140</v>
      </c>
      <c r="D173">
        <v>17</v>
      </c>
      <c r="E173">
        <v>0.33333333333333331</v>
      </c>
      <c r="F173">
        <v>0</v>
      </c>
      <c r="G173">
        <v>10.5</v>
      </c>
      <c r="H173">
        <v>0</v>
      </c>
      <c r="I173">
        <v>10.5</v>
      </c>
      <c r="J173">
        <v>205.42</v>
      </c>
      <c r="K173">
        <v>32.86</v>
      </c>
      <c r="L173">
        <v>0</v>
      </c>
      <c r="M173" t="s">
        <v>2141</v>
      </c>
      <c r="N173">
        <v>5</v>
      </c>
      <c r="O173">
        <v>12</v>
      </c>
      <c r="P173">
        <v>10.130000000000001</v>
      </c>
      <c r="Q173">
        <v>30</v>
      </c>
      <c r="R173">
        <v>0.37</v>
      </c>
      <c r="S173">
        <v>0</v>
      </c>
      <c r="T173">
        <v>0</v>
      </c>
      <c r="U173">
        <v>1.62</v>
      </c>
      <c r="V173">
        <v>16</v>
      </c>
      <c r="W173">
        <v>2</v>
      </c>
      <c r="X173">
        <v>0</v>
      </c>
      <c r="Y173">
        <v>0</v>
      </c>
      <c r="Z173">
        <v>0</v>
      </c>
      <c r="AA173" t="s">
        <v>115</v>
      </c>
      <c r="AB173">
        <v>10.5</v>
      </c>
      <c r="AC173">
        <v>0.1</v>
      </c>
      <c r="AD173">
        <v>0.05</v>
      </c>
      <c r="AE173">
        <v>0</v>
      </c>
      <c r="AF173" t="s">
        <v>2118</v>
      </c>
      <c r="AG173" t="s">
        <v>1601</v>
      </c>
      <c r="AH173">
        <v>0.7</v>
      </c>
    </row>
    <row r="174" spans="1:34" x14ac:dyDescent="0.25">
      <c r="A174" s="2">
        <v>45649</v>
      </c>
      <c r="B174" t="s">
        <v>2142</v>
      </c>
      <c r="C174" t="s">
        <v>2143</v>
      </c>
      <c r="D174">
        <v>15</v>
      </c>
      <c r="E174">
        <v>0.79166666666666663</v>
      </c>
      <c r="F174">
        <v>0.10526315789473684</v>
      </c>
      <c r="G174">
        <v>8.41</v>
      </c>
      <c r="H174">
        <v>0</v>
      </c>
      <c r="I174">
        <v>8.41</v>
      </c>
      <c r="J174">
        <v>182.42</v>
      </c>
      <c r="K174">
        <v>2</v>
      </c>
      <c r="L174">
        <v>0</v>
      </c>
      <c r="M174" t="s">
        <v>2144</v>
      </c>
      <c r="N174">
        <v>4</v>
      </c>
      <c r="O174">
        <v>11</v>
      </c>
      <c r="P174">
        <v>7.56</v>
      </c>
      <c r="Q174">
        <v>0</v>
      </c>
      <c r="R174">
        <v>0.84</v>
      </c>
      <c r="S174">
        <v>0</v>
      </c>
      <c r="T174">
        <v>0</v>
      </c>
      <c r="U174">
        <v>1.78</v>
      </c>
      <c r="V174">
        <v>19</v>
      </c>
      <c r="W174">
        <v>5</v>
      </c>
      <c r="X174">
        <v>2</v>
      </c>
      <c r="Y174">
        <v>0</v>
      </c>
      <c r="Z174">
        <v>0</v>
      </c>
      <c r="AA174" t="s">
        <v>115</v>
      </c>
      <c r="AB174">
        <v>8.41</v>
      </c>
      <c r="AC174">
        <v>0.1</v>
      </c>
      <c r="AD174">
        <v>0.05</v>
      </c>
      <c r="AE174">
        <v>0</v>
      </c>
      <c r="AF174" t="s">
        <v>2119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E46"/>
  <sheetViews>
    <sheetView showGridLines="0" topLeftCell="A16" workbookViewId="0">
      <selection activeCell="E10" sqref="E1:E1048576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16</v>
      </c>
      <c r="B3" s="89" t="s">
        <v>42</v>
      </c>
      <c r="C3" t="s">
        <v>2054</v>
      </c>
      <c r="D3" t="s">
        <v>2055</v>
      </c>
    </row>
    <row r="4" spans="1:5" x14ac:dyDescent="0.25">
      <c r="A4" t="s">
        <v>1749</v>
      </c>
      <c r="B4" t="s">
        <v>114</v>
      </c>
      <c r="C4">
        <v>50.61</v>
      </c>
      <c r="D4">
        <v>50.61</v>
      </c>
      <c r="E4">
        <f>+C4-D4</f>
        <v>0</v>
      </c>
    </row>
    <row r="5" spans="1:5" x14ac:dyDescent="0.25">
      <c r="B5" t="s">
        <v>115</v>
      </c>
      <c r="C5">
        <v>57.050000000000004</v>
      </c>
      <c r="D5">
        <v>57</v>
      </c>
      <c r="E5">
        <f t="shared" ref="E5:E45" si="0">+C5-D5</f>
        <v>5.0000000000004263E-2</v>
      </c>
    </row>
    <row r="6" spans="1:5" x14ac:dyDescent="0.25">
      <c r="A6" t="s">
        <v>1815</v>
      </c>
      <c r="B6" t="s">
        <v>114</v>
      </c>
      <c r="C6">
        <v>50.1</v>
      </c>
      <c r="D6">
        <v>50</v>
      </c>
      <c r="E6">
        <f t="shared" si="0"/>
        <v>0.10000000000000142</v>
      </c>
    </row>
    <row r="7" spans="1:5" x14ac:dyDescent="0.25">
      <c r="B7" t="s">
        <v>115</v>
      </c>
      <c r="C7">
        <v>50.03</v>
      </c>
      <c r="D7">
        <v>50</v>
      </c>
      <c r="E7">
        <f t="shared" si="0"/>
        <v>3.0000000000001137E-2</v>
      </c>
    </row>
    <row r="8" spans="1:5" x14ac:dyDescent="0.25">
      <c r="A8" t="s">
        <v>1814</v>
      </c>
      <c r="B8" t="s">
        <v>114</v>
      </c>
      <c r="C8">
        <v>99.389999999999986</v>
      </c>
      <c r="D8">
        <v>99.389999999999986</v>
      </c>
      <c r="E8">
        <f t="shared" si="0"/>
        <v>0</v>
      </c>
    </row>
    <row r="9" spans="1:5" x14ac:dyDescent="0.25">
      <c r="B9" t="s">
        <v>115</v>
      </c>
      <c r="C9">
        <v>101.62</v>
      </c>
      <c r="D9">
        <v>101.62</v>
      </c>
      <c r="E9">
        <f t="shared" si="0"/>
        <v>0</v>
      </c>
    </row>
    <row r="10" spans="1:5" x14ac:dyDescent="0.25">
      <c r="A10" t="s">
        <v>1599</v>
      </c>
      <c r="B10" t="s">
        <v>114</v>
      </c>
      <c r="C10">
        <v>794.84000000000015</v>
      </c>
      <c r="D10">
        <v>794.84000000000015</v>
      </c>
      <c r="E10">
        <f t="shared" si="0"/>
        <v>0</v>
      </c>
    </row>
    <row r="11" spans="1:5" x14ac:dyDescent="0.25">
      <c r="B11" t="s">
        <v>115</v>
      </c>
      <c r="C11">
        <v>824.95</v>
      </c>
      <c r="D11">
        <v>824.95</v>
      </c>
      <c r="E11">
        <f t="shared" si="0"/>
        <v>0</v>
      </c>
    </row>
    <row r="12" spans="1:5" x14ac:dyDescent="0.25">
      <c r="A12" t="s">
        <v>1667</v>
      </c>
      <c r="B12" t="s">
        <v>114</v>
      </c>
      <c r="C12">
        <v>32.56</v>
      </c>
      <c r="D12">
        <v>32.56</v>
      </c>
      <c r="E12">
        <f t="shared" si="0"/>
        <v>0</v>
      </c>
    </row>
    <row r="13" spans="1:5" x14ac:dyDescent="0.25">
      <c r="B13" t="s">
        <v>115</v>
      </c>
      <c r="C13">
        <v>44.510000000000005</v>
      </c>
      <c r="D13">
        <v>44.510000000000005</v>
      </c>
      <c r="E13">
        <f t="shared" si="0"/>
        <v>0</v>
      </c>
    </row>
    <row r="14" spans="1:5" x14ac:dyDescent="0.25">
      <c r="A14" t="s">
        <v>1812</v>
      </c>
      <c r="B14" t="s">
        <v>114</v>
      </c>
      <c r="C14">
        <v>47.85</v>
      </c>
      <c r="D14">
        <v>47.85</v>
      </c>
      <c r="E14">
        <f t="shared" si="0"/>
        <v>0</v>
      </c>
    </row>
    <row r="15" spans="1:5" x14ac:dyDescent="0.25">
      <c r="B15" t="s">
        <v>115</v>
      </c>
      <c r="C15">
        <v>53.23</v>
      </c>
      <c r="D15">
        <v>53.23</v>
      </c>
      <c r="E15">
        <f t="shared" si="0"/>
        <v>0</v>
      </c>
    </row>
    <row r="16" spans="1:5" x14ac:dyDescent="0.25">
      <c r="A16" t="s">
        <v>1750</v>
      </c>
      <c r="B16" t="s">
        <v>114</v>
      </c>
      <c r="C16">
        <v>50.5</v>
      </c>
      <c r="D16">
        <v>50.5</v>
      </c>
      <c r="E16">
        <f t="shared" si="0"/>
        <v>0</v>
      </c>
    </row>
    <row r="17" spans="1:5" x14ac:dyDescent="0.25">
      <c r="B17" t="s">
        <v>115</v>
      </c>
      <c r="C17">
        <v>50.05</v>
      </c>
      <c r="D17">
        <v>50</v>
      </c>
      <c r="E17">
        <f t="shared" si="0"/>
        <v>4.9999999999997158E-2</v>
      </c>
    </row>
    <row r="18" spans="1:5" x14ac:dyDescent="0.25">
      <c r="A18" t="s">
        <v>1600</v>
      </c>
      <c r="B18" t="s">
        <v>114</v>
      </c>
      <c r="C18">
        <v>558.02</v>
      </c>
      <c r="D18">
        <v>558.02</v>
      </c>
      <c r="E18">
        <f t="shared" si="0"/>
        <v>0</v>
      </c>
    </row>
    <row r="19" spans="1:5" x14ac:dyDescent="0.25">
      <c r="B19" t="s">
        <v>115</v>
      </c>
      <c r="C19">
        <v>509.03000000000003</v>
      </c>
      <c r="D19">
        <v>509.03000000000003</v>
      </c>
      <c r="E19">
        <f t="shared" si="0"/>
        <v>0</v>
      </c>
    </row>
    <row r="20" spans="1:5" x14ac:dyDescent="0.25">
      <c r="A20" t="s">
        <v>1742</v>
      </c>
      <c r="B20" t="s">
        <v>114</v>
      </c>
      <c r="C20">
        <v>50.620000000000005</v>
      </c>
      <c r="D20">
        <v>50.620000000000005</v>
      </c>
      <c r="E20">
        <f t="shared" si="0"/>
        <v>0</v>
      </c>
    </row>
    <row r="21" spans="1:5" x14ac:dyDescent="0.25">
      <c r="B21" t="s">
        <v>115</v>
      </c>
      <c r="C21">
        <v>69.92</v>
      </c>
      <c r="D21">
        <v>69.92</v>
      </c>
      <c r="E21">
        <f t="shared" si="0"/>
        <v>0</v>
      </c>
    </row>
    <row r="22" spans="1:5" x14ac:dyDescent="0.25">
      <c r="A22" t="s">
        <v>1751</v>
      </c>
      <c r="B22" t="s">
        <v>114</v>
      </c>
      <c r="C22">
        <v>52</v>
      </c>
      <c r="D22">
        <v>52</v>
      </c>
      <c r="E22">
        <f t="shared" si="0"/>
        <v>0</v>
      </c>
    </row>
    <row r="23" spans="1:5" x14ac:dyDescent="0.25">
      <c r="B23" t="s">
        <v>115</v>
      </c>
      <c r="C23">
        <v>53.41</v>
      </c>
      <c r="D23">
        <v>53</v>
      </c>
      <c r="E23">
        <f t="shared" si="0"/>
        <v>0.40999999999999659</v>
      </c>
    </row>
    <row r="24" spans="1:5" x14ac:dyDescent="0.25">
      <c r="A24" t="s">
        <v>1601</v>
      </c>
      <c r="B24" t="s">
        <v>114</v>
      </c>
      <c r="C24">
        <v>546.16999999999996</v>
      </c>
      <c r="D24">
        <v>546.16999999999996</v>
      </c>
      <c r="E24">
        <f t="shared" si="0"/>
        <v>0</v>
      </c>
    </row>
    <row r="25" spans="1:5" x14ac:dyDescent="0.25">
      <c r="B25" t="s">
        <v>115</v>
      </c>
      <c r="C25">
        <v>507.21000000000004</v>
      </c>
      <c r="D25">
        <v>507.21000000000004</v>
      </c>
      <c r="E25">
        <f t="shared" si="0"/>
        <v>0</v>
      </c>
    </row>
    <row r="26" spans="1:5" x14ac:dyDescent="0.25">
      <c r="A26" t="s">
        <v>1746</v>
      </c>
      <c r="B26" t="s">
        <v>114</v>
      </c>
      <c r="C26">
        <v>11.200000000000001</v>
      </c>
      <c r="D26">
        <v>11.200000000000001</v>
      </c>
      <c r="E26">
        <f t="shared" si="0"/>
        <v>0</v>
      </c>
    </row>
    <row r="27" spans="1:5" x14ac:dyDescent="0.25">
      <c r="B27" t="s">
        <v>115</v>
      </c>
      <c r="C27">
        <v>49.85</v>
      </c>
      <c r="D27">
        <v>49.85</v>
      </c>
      <c r="E27">
        <f t="shared" si="0"/>
        <v>0</v>
      </c>
    </row>
    <row r="28" spans="1:5" x14ac:dyDescent="0.25">
      <c r="A28" t="s">
        <v>1747</v>
      </c>
      <c r="B28" t="s">
        <v>114</v>
      </c>
      <c r="C28">
        <v>173.22</v>
      </c>
      <c r="D28">
        <v>173</v>
      </c>
      <c r="E28">
        <f t="shared" si="0"/>
        <v>0.21999999999999886</v>
      </c>
    </row>
    <row r="29" spans="1:5" x14ac:dyDescent="0.25">
      <c r="B29" t="s">
        <v>115</v>
      </c>
      <c r="C29">
        <v>158.84</v>
      </c>
      <c r="D29">
        <v>158.84</v>
      </c>
      <c r="E29">
        <f t="shared" si="0"/>
        <v>0</v>
      </c>
    </row>
    <row r="30" spans="1:5" x14ac:dyDescent="0.25">
      <c r="A30" t="s">
        <v>1816</v>
      </c>
      <c r="B30" t="s">
        <v>114</v>
      </c>
      <c r="C30">
        <v>0.08</v>
      </c>
      <c r="D30">
        <v>0.08</v>
      </c>
      <c r="E30">
        <f t="shared" si="0"/>
        <v>0</v>
      </c>
    </row>
    <row r="31" spans="1:5" x14ac:dyDescent="0.25">
      <c r="B31" t="s">
        <v>115</v>
      </c>
      <c r="C31">
        <v>50.63</v>
      </c>
      <c r="D31">
        <v>50</v>
      </c>
      <c r="E31">
        <f t="shared" si="0"/>
        <v>0.63000000000000256</v>
      </c>
    </row>
    <row r="32" spans="1:5" x14ac:dyDescent="0.25">
      <c r="A32" t="s">
        <v>1699</v>
      </c>
      <c r="B32" t="s">
        <v>114</v>
      </c>
      <c r="C32">
        <v>48.290000000000006</v>
      </c>
      <c r="D32">
        <v>48.290000000000006</v>
      </c>
      <c r="E32">
        <f t="shared" si="0"/>
        <v>0</v>
      </c>
    </row>
    <row r="33" spans="1:5" x14ac:dyDescent="0.25">
      <c r="B33" t="s">
        <v>115</v>
      </c>
      <c r="C33">
        <v>50.06</v>
      </c>
      <c r="D33">
        <v>50</v>
      </c>
      <c r="E33">
        <f t="shared" si="0"/>
        <v>6.0000000000002274E-2</v>
      </c>
    </row>
    <row r="34" spans="1:5" x14ac:dyDescent="0.25">
      <c r="A34" t="s">
        <v>1748</v>
      </c>
      <c r="B34" t="s">
        <v>114</v>
      </c>
      <c r="C34">
        <v>50.92</v>
      </c>
      <c r="D34">
        <v>50.92</v>
      </c>
      <c r="E34">
        <f t="shared" si="0"/>
        <v>0</v>
      </c>
    </row>
    <row r="35" spans="1:5" x14ac:dyDescent="0.25">
      <c r="B35" t="s">
        <v>115</v>
      </c>
      <c r="C35">
        <v>61.13</v>
      </c>
      <c r="D35">
        <v>61</v>
      </c>
      <c r="E35">
        <f t="shared" si="0"/>
        <v>0.13000000000000256</v>
      </c>
    </row>
    <row r="36" spans="1:5" x14ac:dyDescent="0.25">
      <c r="A36" t="s">
        <v>1787</v>
      </c>
      <c r="B36" t="s">
        <v>114</v>
      </c>
      <c r="C36">
        <v>51.21</v>
      </c>
      <c r="D36">
        <v>50</v>
      </c>
      <c r="E36">
        <f t="shared" si="0"/>
        <v>1.2100000000000009</v>
      </c>
    </row>
    <row r="37" spans="1:5" x14ac:dyDescent="0.25">
      <c r="B37" t="s">
        <v>115</v>
      </c>
      <c r="C37">
        <v>101.98</v>
      </c>
      <c r="D37">
        <v>100</v>
      </c>
      <c r="E37">
        <f t="shared" si="0"/>
        <v>1.980000000000004</v>
      </c>
    </row>
    <row r="38" spans="1:5" x14ac:dyDescent="0.25">
      <c r="A38" t="s">
        <v>1788</v>
      </c>
      <c r="B38" t="s">
        <v>114</v>
      </c>
      <c r="C38">
        <v>59.9</v>
      </c>
      <c r="D38">
        <v>59.9</v>
      </c>
      <c r="E38">
        <f t="shared" si="0"/>
        <v>0</v>
      </c>
    </row>
    <row r="39" spans="1:5" x14ac:dyDescent="0.25">
      <c r="B39" t="s">
        <v>115</v>
      </c>
      <c r="C39">
        <v>59.99</v>
      </c>
      <c r="D39">
        <v>59.99</v>
      </c>
      <c r="E39">
        <f t="shared" si="0"/>
        <v>0</v>
      </c>
    </row>
    <row r="40" spans="1:5" x14ac:dyDescent="0.25">
      <c r="A40" t="s">
        <v>1716</v>
      </c>
      <c r="B40" t="s">
        <v>114</v>
      </c>
      <c r="C40">
        <v>83.22999999999999</v>
      </c>
      <c r="D40">
        <v>83.22999999999999</v>
      </c>
      <c r="E40">
        <f t="shared" si="0"/>
        <v>0</v>
      </c>
    </row>
    <row r="41" spans="1:5" x14ac:dyDescent="0.25">
      <c r="B41" t="s">
        <v>115</v>
      </c>
      <c r="C41">
        <v>81.36</v>
      </c>
      <c r="D41">
        <v>81.36</v>
      </c>
      <c r="E41">
        <f t="shared" si="0"/>
        <v>0</v>
      </c>
    </row>
    <row r="42" spans="1:5" x14ac:dyDescent="0.25">
      <c r="A42" t="s">
        <v>1745</v>
      </c>
      <c r="B42" t="s">
        <v>114</v>
      </c>
      <c r="C42">
        <v>47.75</v>
      </c>
      <c r="D42">
        <v>47.75</v>
      </c>
      <c r="E42">
        <f t="shared" si="0"/>
        <v>0</v>
      </c>
    </row>
    <row r="43" spans="1:5" x14ac:dyDescent="0.25">
      <c r="B43" t="s">
        <v>115</v>
      </c>
      <c r="C43">
        <v>59.9</v>
      </c>
      <c r="D43">
        <v>59.9</v>
      </c>
      <c r="E43">
        <f t="shared" si="0"/>
        <v>0</v>
      </c>
    </row>
    <row r="44" spans="1:5" x14ac:dyDescent="0.25">
      <c r="A44" t="s">
        <v>1670</v>
      </c>
      <c r="B44" t="s">
        <v>114</v>
      </c>
      <c r="C44">
        <v>407.07000000000005</v>
      </c>
      <c r="D44">
        <v>407.07000000000005</v>
      </c>
      <c r="E44">
        <f t="shared" si="0"/>
        <v>0</v>
      </c>
    </row>
    <row r="45" spans="1:5" x14ac:dyDescent="0.25">
      <c r="B45" t="s">
        <v>115</v>
      </c>
      <c r="C45">
        <v>461.48999999999995</v>
      </c>
      <c r="D45">
        <v>461</v>
      </c>
      <c r="E45">
        <f t="shared" si="0"/>
        <v>0.48999999999995225</v>
      </c>
    </row>
    <row r="46" spans="1:5" x14ac:dyDescent="0.25">
      <c r="A46" t="s">
        <v>2053</v>
      </c>
      <c r="C46">
        <v>6721.7699999999986</v>
      </c>
      <c r="D46">
        <v>6716.4099999999989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tabSelected="1" workbookViewId="0">
      <selection activeCell="N51" sqref="N51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hidden="1" customWidth="1"/>
    <col min="7" max="9" width="15.42578125" hidden="1" customWidth="1"/>
    <col min="10" max="10" width="18" bestFit="1" customWidth="1"/>
    <col min="11" max="11" width="18.85546875" bestFit="1" customWidth="1"/>
    <col min="12" max="13" width="22.42578125" hidden="1" customWidth="1"/>
    <col min="14" max="14" width="14.140625" bestFit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19" width="11.42578125" bestFit="1" customWidth="1"/>
    <col min="20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bestFit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25">
      <c r="A2" t="s">
        <v>114</v>
      </c>
      <c r="B2">
        <v>51</v>
      </c>
      <c r="C2">
        <v>50.61</v>
      </c>
      <c r="D2">
        <v>50.61</v>
      </c>
      <c r="E2">
        <v>1</v>
      </c>
      <c r="F2">
        <v>1069.1361999999999</v>
      </c>
      <c r="G2">
        <v>328.96499999999997</v>
      </c>
      <c r="H2">
        <v>0</v>
      </c>
      <c r="I2">
        <v>0</v>
      </c>
      <c r="J2">
        <v>1</v>
      </c>
      <c r="K2">
        <v>0</v>
      </c>
      <c r="L2">
        <v>164.48249999999999</v>
      </c>
      <c r="M2">
        <v>0</v>
      </c>
      <c r="N2">
        <v>0.780478166370282</v>
      </c>
      <c r="O2">
        <v>82.241200000000006</v>
      </c>
      <c r="P2">
        <v>19</v>
      </c>
      <c r="Q2">
        <v>0</v>
      </c>
      <c r="R2">
        <v>0</v>
      </c>
      <c r="S2">
        <v>1663.825</v>
      </c>
      <c r="T2">
        <v>50</v>
      </c>
      <c r="U2">
        <v>328.96499999999997</v>
      </c>
      <c r="V2">
        <v>50.61</v>
      </c>
      <c r="W2">
        <v>0</v>
      </c>
      <c r="X2">
        <v>0</v>
      </c>
      <c r="Y2">
        <v>164.48249999999999</v>
      </c>
      <c r="Z2">
        <v>1</v>
      </c>
      <c r="AA2" s="2">
        <v>45642</v>
      </c>
      <c r="AB2" t="s">
        <v>1749</v>
      </c>
      <c r="AC2">
        <v>48</v>
      </c>
      <c r="AD2">
        <v>50.61</v>
      </c>
      <c r="AE2">
        <v>0</v>
      </c>
      <c r="AF2">
        <v>29</v>
      </c>
      <c r="AG2">
        <v>19</v>
      </c>
      <c r="AH2">
        <v>39.5</v>
      </c>
      <c r="AI2">
        <v>11.11</v>
      </c>
      <c r="AJ2">
        <v>38.6</v>
      </c>
      <c r="AK2">
        <v>31.65</v>
      </c>
      <c r="AL2">
        <v>0.95</v>
      </c>
      <c r="AM2">
        <v>65</v>
      </c>
      <c r="AN2">
        <v>0</v>
      </c>
      <c r="AO2">
        <v>0</v>
      </c>
      <c r="AP2">
        <v>50.61</v>
      </c>
      <c r="AQ2">
        <v>0.1</v>
      </c>
      <c r="AR2">
        <v>0.05</v>
      </c>
      <c r="AS2">
        <v>0.7</v>
      </c>
      <c r="AT2">
        <v>32.5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50</v>
      </c>
      <c r="BE2">
        <v>0</v>
      </c>
      <c r="BF2">
        <v>0</v>
      </c>
      <c r="BG2">
        <v>720.28</v>
      </c>
    </row>
    <row r="3" spans="1:59" x14ac:dyDescent="0.25">
      <c r="A3" t="s">
        <v>114</v>
      </c>
      <c r="B3">
        <v>50</v>
      </c>
      <c r="C3">
        <v>50.1</v>
      </c>
      <c r="D3">
        <v>50</v>
      </c>
      <c r="E3">
        <v>1</v>
      </c>
      <c r="F3">
        <v>1056.25</v>
      </c>
      <c r="G3">
        <v>325</v>
      </c>
      <c r="H3">
        <v>0</v>
      </c>
      <c r="I3">
        <v>0</v>
      </c>
      <c r="J3">
        <v>1</v>
      </c>
      <c r="K3">
        <v>2.7027027027027001E-2</v>
      </c>
      <c r="L3">
        <v>162.5</v>
      </c>
      <c r="M3">
        <v>0</v>
      </c>
      <c r="N3">
        <v>0.57504990019960101</v>
      </c>
      <c r="O3">
        <v>0</v>
      </c>
      <c r="P3">
        <v>31</v>
      </c>
      <c r="Q3">
        <v>0</v>
      </c>
      <c r="R3">
        <v>0</v>
      </c>
      <c r="S3">
        <v>1574.75</v>
      </c>
      <c r="T3">
        <v>50</v>
      </c>
      <c r="U3">
        <v>325</v>
      </c>
      <c r="V3">
        <v>50</v>
      </c>
      <c r="W3">
        <v>0</v>
      </c>
      <c r="X3">
        <v>0</v>
      </c>
      <c r="Y3">
        <v>162.5</v>
      </c>
      <c r="Z3">
        <v>0</v>
      </c>
      <c r="AA3" s="2">
        <v>45642</v>
      </c>
      <c r="AB3" t="s">
        <v>1815</v>
      </c>
      <c r="AC3">
        <v>51</v>
      </c>
      <c r="AD3">
        <v>50.11</v>
      </c>
      <c r="AE3">
        <v>0.01</v>
      </c>
      <c r="AF3">
        <v>17</v>
      </c>
      <c r="AG3">
        <v>34</v>
      </c>
      <c r="AH3">
        <v>28.81</v>
      </c>
      <c r="AI3">
        <v>21.3</v>
      </c>
      <c r="AJ3">
        <v>29.28</v>
      </c>
      <c r="AK3">
        <v>18.68</v>
      </c>
      <c r="AL3">
        <v>1.02</v>
      </c>
      <c r="AM3">
        <v>74</v>
      </c>
      <c r="AN3">
        <v>0</v>
      </c>
      <c r="AO3">
        <v>2</v>
      </c>
      <c r="AP3">
        <v>50.1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545.98</v>
      </c>
    </row>
    <row r="4" spans="1:59" x14ac:dyDescent="0.25">
      <c r="A4" t="s">
        <v>114</v>
      </c>
      <c r="B4">
        <v>100</v>
      </c>
      <c r="C4">
        <v>99.389999999999986</v>
      </c>
      <c r="D4">
        <v>99.389999999999986</v>
      </c>
      <c r="E4">
        <v>0.99390000000000001</v>
      </c>
      <c r="F4">
        <v>2099.6138000000001</v>
      </c>
      <c r="G4">
        <v>646.03499999999985</v>
      </c>
      <c r="H4">
        <v>0</v>
      </c>
      <c r="I4">
        <v>0</v>
      </c>
      <c r="J4">
        <v>1</v>
      </c>
      <c r="K4">
        <v>1.8072289156626498E-2</v>
      </c>
      <c r="L4">
        <v>323.01749999999998</v>
      </c>
      <c r="M4">
        <v>0</v>
      </c>
      <c r="N4">
        <v>0.75067914277090297</v>
      </c>
      <c r="O4">
        <v>161.50880000000001</v>
      </c>
      <c r="P4">
        <v>70.989999999999995</v>
      </c>
      <c r="Q4">
        <v>0</v>
      </c>
      <c r="R4">
        <v>0</v>
      </c>
      <c r="S4">
        <v>3301.165</v>
      </c>
      <c r="T4">
        <v>100</v>
      </c>
      <c r="U4">
        <v>646.03499999999997</v>
      </c>
      <c r="V4">
        <v>99.389999999999986</v>
      </c>
      <c r="W4">
        <v>0</v>
      </c>
      <c r="X4">
        <v>0</v>
      </c>
      <c r="Y4">
        <v>323.01749999999998</v>
      </c>
      <c r="Z4">
        <v>0</v>
      </c>
      <c r="AA4" s="2">
        <v>45642</v>
      </c>
      <c r="AB4" t="s">
        <v>1814</v>
      </c>
      <c r="AC4">
        <v>140</v>
      </c>
      <c r="AD4">
        <v>99.449999999999989</v>
      </c>
      <c r="AE4">
        <v>6.0000000000000005E-2</v>
      </c>
      <c r="AF4">
        <v>38</v>
      </c>
      <c r="AG4">
        <v>102</v>
      </c>
      <c r="AH4">
        <v>74.61</v>
      </c>
      <c r="AI4">
        <v>24.790000000000003</v>
      </c>
      <c r="AJ4">
        <v>40.43</v>
      </c>
      <c r="AK4">
        <v>31.47</v>
      </c>
      <c r="AL4">
        <v>3.83</v>
      </c>
      <c r="AM4">
        <v>166</v>
      </c>
      <c r="AN4">
        <v>0</v>
      </c>
      <c r="AO4">
        <v>3</v>
      </c>
      <c r="AP4">
        <v>79.930000000000007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100</v>
      </c>
      <c r="BE4">
        <v>0</v>
      </c>
      <c r="BF4">
        <v>0</v>
      </c>
      <c r="BG4">
        <v>1544.7</v>
      </c>
    </row>
    <row r="5" spans="1:59" x14ac:dyDescent="0.25">
      <c r="A5" t="s">
        <v>114</v>
      </c>
      <c r="B5">
        <v>806</v>
      </c>
      <c r="C5">
        <v>794.84000000000015</v>
      </c>
      <c r="D5">
        <v>794.84000000000015</v>
      </c>
      <c r="E5">
        <v>0.99355000000000004</v>
      </c>
      <c r="F5">
        <v>17824.287</v>
      </c>
      <c r="G5">
        <v>5484.3960000000015</v>
      </c>
      <c r="H5">
        <v>0</v>
      </c>
      <c r="I5">
        <v>0</v>
      </c>
      <c r="J5">
        <v>0.95382078064870801</v>
      </c>
      <c r="K5">
        <v>4.6109510086455301E-2</v>
      </c>
      <c r="L5">
        <v>0</v>
      </c>
      <c r="M5">
        <v>1371.0989999999999</v>
      </c>
      <c r="N5">
        <v>0.933382819183735</v>
      </c>
      <c r="O5">
        <v>1371.0989999999999</v>
      </c>
      <c r="P5">
        <v>951.2</v>
      </c>
      <c r="Q5">
        <v>59.9</v>
      </c>
      <c r="R5">
        <v>0</v>
      </c>
      <c r="S5">
        <v>27061.981</v>
      </c>
      <c r="T5">
        <v>800</v>
      </c>
      <c r="U5">
        <v>5484.3959999999997</v>
      </c>
      <c r="V5">
        <v>0</v>
      </c>
      <c r="W5">
        <v>794.84000000000015</v>
      </c>
      <c r="X5">
        <v>46</v>
      </c>
      <c r="Y5">
        <v>1371.0989999999999</v>
      </c>
      <c r="Z5">
        <v>6</v>
      </c>
      <c r="AA5" s="2">
        <v>45642</v>
      </c>
      <c r="AB5" t="s">
        <v>1599</v>
      </c>
      <c r="AC5">
        <v>1335</v>
      </c>
      <c r="AD5">
        <v>801.47000000000014</v>
      </c>
      <c r="AE5">
        <v>6.63</v>
      </c>
      <c r="AF5">
        <v>312</v>
      </c>
      <c r="AG5">
        <v>1023</v>
      </c>
      <c r="AH5">
        <v>741.89000000000021</v>
      </c>
      <c r="AI5">
        <v>52.919999999999995</v>
      </c>
      <c r="AJ5">
        <v>344.89</v>
      </c>
      <c r="AK5">
        <v>324.67000000000007</v>
      </c>
      <c r="AL5">
        <v>46.589999999999996</v>
      </c>
      <c r="AM5">
        <v>1735</v>
      </c>
      <c r="AN5">
        <v>38</v>
      </c>
      <c r="AO5">
        <v>80</v>
      </c>
      <c r="AP5">
        <v>421.17</v>
      </c>
      <c r="AQ5">
        <v>0.1</v>
      </c>
      <c r="AR5">
        <v>0.05</v>
      </c>
      <c r="AS5">
        <v>0.7</v>
      </c>
      <c r="AT5">
        <v>34.5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800</v>
      </c>
      <c r="BE5">
        <v>0</v>
      </c>
      <c r="BF5">
        <v>0</v>
      </c>
      <c r="BG5">
        <v>15693.289999999999</v>
      </c>
    </row>
    <row r="6" spans="1:59" x14ac:dyDescent="0.25">
      <c r="A6" t="s">
        <v>114</v>
      </c>
      <c r="B6">
        <v>50</v>
      </c>
      <c r="C6">
        <v>32.56</v>
      </c>
      <c r="D6">
        <v>32.56</v>
      </c>
      <c r="E6">
        <v>0.6512</v>
      </c>
      <c r="F6">
        <v>0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0.93120393120393097</v>
      </c>
      <c r="O6">
        <v>0</v>
      </c>
      <c r="P6">
        <v>108.99</v>
      </c>
      <c r="Q6">
        <v>24</v>
      </c>
      <c r="R6">
        <v>648.21</v>
      </c>
      <c r="S6">
        <v>781.2</v>
      </c>
      <c r="T6">
        <v>50</v>
      </c>
      <c r="U6">
        <v>0</v>
      </c>
      <c r="V6">
        <v>32.56</v>
      </c>
      <c r="W6">
        <v>0</v>
      </c>
      <c r="X6">
        <v>0</v>
      </c>
      <c r="Y6">
        <v>0</v>
      </c>
      <c r="Z6">
        <v>0</v>
      </c>
      <c r="AA6" s="2">
        <v>45642</v>
      </c>
      <c r="AB6" t="s">
        <v>1667</v>
      </c>
      <c r="AC6">
        <v>52</v>
      </c>
      <c r="AD6">
        <v>39.340000000000003</v>
      </c>
      <c r="AE6">
        <v>6.78</v>
      </c>
      <c r="AF6">
        <v>24</v>
      </c>
      <c r="AG6">
        <v>28</v>
      </c>
      <c r="AH6">
        <v>30.32</v>
      </c>
      <c r="AI6">
        <v>2.2400000000000002</v>
      </c>
      <c r="AJ6">
        <v>21.68</v>
      </c>
      <c r="AK6">
        <v>17.32</v>
      </c>
      <c r="AL6">
        <v>1.32</v>
      </c>
      <c r="AM6">
        <v>58</v>
      </c>
      <c r="AN6">
        <v>0</v>
      </c>
      <c r="AO6">
        <v>0</v>
      </c>
      <c r="AP6">
        <v>32.56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648.21</v>
      </c>
    </row>
    <row r="7" spans="1:59" x14ac:dyDescent="0.25">
      <c r="A7" t="s">
        <v>114</v>
      </c>
      <c r="B7">
        <v>50</v>
      </c>
      <c r="C7">
        <v>47.85</v>
      </c>
      <c r="D7">
        <v>47.85</v>
      </c>
      <c r="E7">
        <v>0.95699999999999996</v>
      </c>
      <c r="F7">
        <v>1010.8312</v>
      </c>
      <c r="G7">
        <v>0</v>
      </c>
      <c r="H7">
        <v>0</v>
      </c>
      <c r="I7">
        <v>77.756250000000009</v>
      </c>
      <c r="J7">
        <v>1</v>
      </c>
      <c r="K7">
        <v>0</v>
      </c>
      <c r="L7">
        <v>155.51249999999999</v>
      </c>
      <c r="M7">
        <v>0</v>
      </c>
      <c r="N7">
        <v>0.76969696969696999</v>
      </c>
      <c r="O7">
        <v>77.756200000000007</v>
      </c>
      <c r="P7">
        <v>31.11</v>
      </c>
      <c r="Q7">
        <v>4</v>
      </c>
      <c r="R7">
        <v>0</v>
      </c>
      <c r="S7">
        <v>1356.9662000000001</v>
      </c>
      <c r="T7">
        <v>50</v>
      </c>
      <c r="U7">
        <v>77.756200000000007</v>
      </c>
      <c r="V7">
        <v>47.85</v>
      </c>
      <c r="W7">
        <v>0</v>
      </c>
      <c r="X7">
        <v>0</v>
      </c>
      <c r="Y7">
        <v>155.51249999999999</v>
      </c>
      <c r="Z7">
        <v>0</v>
      </c>
      <c r="AA7" s="2">
        <v>45642</v>
      </c>
      <c r="AB7" t="s">
        <v>1812</v>
      </c>
      <c r="AC7">
        <v>81</v>
      </c>
      <c r="AD7">
        <v>50.67</v>
      </c>
      <c r="AE7">
        <v>2.82</v>
      </c>
      <c r="AF7">
        <v>7</v>
      </c>
      <c r="AG7">
        <v>74</v>
      </c>
      <c r="AH7">
        <v>36.83</v>
      </c>
      <c r="AI7">
        <v>11.02</v>
      </c>
      <c r="AJ7">
        <v>3.49</v>
      </c>
      <c r="AK7">
        <v>3.17</v>
      </c>
      <c r="AL7">
        <v>1.6</v>
      </c>
      <c r="AM7">
        <v>87</v>
      </c>
      <c r="AN7">
        <v>0</v>
      </c>
      <c r="AO7">
        <v>0</v>
      </c>
      <c r="AP7">
        <v>47.85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838.33</v>
      </c>
    </row>
    <row r="8" spans="1:59" x14ac:dyDescent="0.25">
      <c r="A8" t="s">
        <v>114</v>
      </c>
      <c r="B8">
        <v>51</v>
      </c>
      <c r="C8">
        <v>50.5</v>
      </c>
      <c r="D8">
        <v>50.5</v>
      </c>
      <c r="E8">
        <v>1</v>
      </c>
      <c r="F8">
        <v>1066.8125</v>
      </c>
      <c r="G8">
        <v>328.25</v>
      </c>
      <c r="H8">
        <v>0</v>
      </c>
      <c r="I8">
        <v>0</v>
      </c>
      <c r="J8">
        <v>0.98750000000000004</v>
      </c>
      <c r="K8">
        <v>0</v>
      </c>
      <c r="L8">
        <v>164.125</v>
      </c>
      <c r="M8">
        <v>0</v>
      </c>
      <c r="N8">
        <v>0.76019801980197999</v>
      </c>
      <c r="O8">
        <v>82.0625</v>
      </c>
      <c r="P8">
        <v>34</v>
      </c>
      <c r="Q8">
        <v>0</v>
      </c>
      <c r="R8">
        <v>0</v>
      </c>
      <c r="S8">
        <v>1675.25</v>
      </c>
      <c r="T8">
        <v>50</v>
      </c>
      <c r="U8">
        <v>328.25</v>
      </c>
      <c r="V8">
        <v>50.5</v>
      </c>
      <c r="W8">
        <v>0</v>
      </c>
      <c r="X8">
        <v>1</v>
      </c>
      <c r="Y8">
        <v>164.125</v>
      </c>
      <c r="Z8">
        <v>1</v>
      </c>
      <c r="AA8" s="2">
        <v>45642</v>
      </c>
      <c r="AB8" t="s">
        <v>1750</v>
      </c>
      <c r="AC8">
        <v>69</v>
      </c>
      <c r="AD8">
        <v>50.5</v>
      </c>
      <c r="AE8">
        <v>0</v>
      </c>
      <c r="AF8">
        <v>16</v>
      </c>
      <c r="AG8">
        <v>53</v>
      </c>
      <c r="AH8">
        <v>38.39</v>
      </c>
      <c r="AI8">
        <v>12.11</v>
      </c>
      <c r="AJ8">
        <v>19.920000000000002</v>
      </c>
      <c r="AK8">
        <v>18.309999999999999</v>
      </c>
      <c r="AL8">
        <v>1.37</v>
      </c>
      <c r="AM8">
        <v>79</v>
      </c>
      <c r="AN8">
        <v>0</v>
      </c>
      <c r="AO8">
        <v>0</v>
      </c>
      <c r="AP8">
        <v>50.5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755.55</v>
      </c>
    </row>
    <row r="9" spans="1:59" x14ac:dyDescent="0.25">
      <c r="A9" t="s">
        <v>114</v>
      </c>
      <c r="B9">
        <v>560</v>
      </c>
      <c r="C9">
        <v>558.02</v>
      </c>
      <c r="D9">
        <v>558.02</v>
      </c>
      <c r="E9">
        <v>1</v>
      </c>
      <c r="F9">
        <v>11962.2747</v>
      </c>
      <c r="G9">
        <v>3680.69992</v>
      </c>
      <c r="H9">
        <v>0</v>
      </c>
      <c r="I9">
        <v>0</v>
      </c>
      <c r="J9">
        <v>0.99216027874564405</v>
      </c>
      <c r="K9">
        <v>2.1071115013169401E-2</v>
      </c>
      <c r="L9">
        <v>1840.35</v>
      </c>
      <c r="M9">
        <v>0</v>
      </c>
      <c r="N9">
        <v>0.95455360022938196</v>
      </c>
      <c r="O9">
        <v>920.17499999999995</v>
      </c>
      <c r="P9">
        <v>672.86</v>
      </c>
      <c r="Q9">
        <v>76.599999999999994</v>
      </c>
      <c r="R9">
        <v>0</v>
      </c>
      <c r="S9">
        <v>19152.959599999998</v>
      </c>
      <c r="T9">
        <v>540</v>
      </c>
      <c r="U9">
        <v>3680.6999000000001</v>
      </c>
      <c r="V9">
        <v>558.02</v>
      </c>
      <c r="W9">
        <v>0</v>
      </c>
      <c r="X9">
        <v>3</v>
      </c>
      <c r="Y9">
        <v>1840.35</v>
      </c>
      <c r="Z9">
        <v>20</v>
      </c>
      <c r="AA9" s="2">
        <v>45642</v>
      </c>
      <c r="AB9" t="s">
        <v>1600</v>
      </c>
      <c r="AC9">
        <v>948</v>
      </c>
      <c r="AD9">
        <v>566.47</v>
      </c>
      <c r="AE9">
        <v>8.4499999999999993</v>
      </c>
      <c r="AF9">
        <v>254</v>
      </c>
      <c r="AG9">
        <v>694</v>
      </c>
      <c r="AH9">
        <v>532.66</v>
      </c>
      <c r="AI9">
        <v>25.36</v>
      </c>
      <c r="AJ9">
        <v>255.09000000000003</v>
      </c>
      <c r="AK9">
        <v>245.45</v>
      </c>
      <c r="AL9">
        <v>20.260000000000002</v>
      </c>
      <c r="AM9">
        <v>1139</v>
      </c>
      <c r="AN9">
        <v>6</v>
      </c>
      <c r="AO9">
        <v>24</v>
      </c>
      <c r="AP9">
        <v>372.15999999999997</v>
      </c>
      <c r="AQ9">
        <v>0.1</v>
      </c>
      <c r="AR9">
        <v>0.05</v>
      </c>
      <c r="AS9">
        <v>0.7</v>
      </c>
      <c r="AT9">
        <v>32.979999999999997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540</v>
      </c>
      <c r="BE9">
        <v>0</v>
      </c>
      <c r="BF9">
        <v>0</v>
      </c>
      <c r="BG9">
        <v>11851.31</v>
      </c>
    </row>
    <row r="10" spans="1:59" x14ac:dyDescent="0.25">
      <c r="A10" t="s">
        <v>114</v>
      </c>
      <c r="B10">
        <v>51</v>
      </c>
      <c r="C10">
        <v>50.620000000000005</v>
      </c>
      <c r="D10">
        <v>50.620000000000005</v>
      </c>
      <c r="E10">
        <v>1</v>
      </c>
      <c r="F10">
        <v>1069.3475000000001</v>
      </c>
      <c r="G10">
        <v>329.03000000000003</v>
      </c>
      <c r="H10">
        <v>0</v>
      </c>
      <c r="I10">
        <v>0</v>
      </c>
      <c r="J10">
        <v>0.81707317073170704</v>
      </c>
      <c r="K10">
        <v>0</v>
      </c>
      <c r="L10">
        <v>0</v>
      </c>
      <c r="M10">
        <v>0</v>
      </c>
      <c r="N10">
        <v>0.73883840379296695</v>
      </c>
      <c r="O10">
        <v>82.257499999999993</v>
      </c>
      <c r="P10">
        <v>43.78</v>
      </c>
      <c r="Q10">
        <v>0</v>
      </c>
      <c r="R10">
        <v>0</v>
      </c>
      <c r="S10">
        <v>1524.415</v>
      </c>
      <c r="T10">
        <v>50</v>
      </c>
      <c r="U10">
        <v>329.03</v>
      </c>
      <c r="V10">
        <v>0</v>
      </c>
      <c r="W10">
        <v>0</v>
      </c>
      <c r="X10">
        <v>14</v>
      </c>
      <c r="Y10">
        <v>0</v>
      </c>
      <c r="Z10">
        <v>1</v>
      </c>
      <c r="AA10" s="2">
        <v>45642</v>
      </c>
      <c r="AB10" t="s">
        <v>1742</v>
      </c>
      <c r="AC10">
        <v>61</v>
      </c>
      <c r="AD10">
        <v>51.03</v>
      </c>
      <c r="AE10">
        <v>0.41</v>
      </c>
      <c r="AF10">
        <v>13</v>
      </c>
      <c r="AG10">
        <v>48</v>
      </c>
      <c r="AH10">
        <v>37.4</v>
      </c>
      <c r="AI10">
        <v>13.23</v>
      </c>
      <c r="AJ10">
        <v>15.81</v>
      </c>
      <c r="AK10">
        <v>13.48</v>
      </c>
      <c r="AL10">
        <v>1.2</v>
      </c>
      <c r="AM10">
        <v>67</v>
      </c>
      <c r="AN10">
        <v>1</v>
      </c>
      <c r="AO10">
        <v>0</v>
      </c>
      <c r="AP10">
        <v>0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50.620000000000005</v>
      </c>
      <c r="BG10">
        <v>747.08</v>
      </c>
    </row>
    <row r="11" spans="1:59" x14ac:dyDescent="0.25">
      <c r="A11" t="s">
        <v>114</v>
      </c>
      <c r="B11">
        <v>52</v>
      </c>
      <c r="C11">
        <v>52</v>
      </c>
      <c r="D11">
        <v>52</v>
      </c>
      <c r="E11">
        <v>1</v>
      </c>
      <c r="F11">
        <v>1098.5</v>
      </c>
      <c r="G11">
        <v>338</v>
      </c>
      <c r="H11">
        <v>0</v>
      </c>
      <c r="I11">
        <v>0</v>
      </c>
      <c r="J11">
        <v>0.85483870967741904</v>
      </c>
      <c r="K11">
        <v>1.88679245283019E-2</v>
      </c>
      <c r="L11">
        <v>0</v>
      </c>
      <c r="M11">
        <v>0</v>
      </c>
      <c r="N11">
        <v>0.74</v>
      </c>
      <c r="O11">
        <v>84.5</v>
      </c>
      <c r="P11">
        <v>46</v>
      </c>
      <c r="Q11">
        <v>0</v>
      </c>
      <c r="R11">
        <v>0</v>
      </c>
      <c r="S11">
        <v>1567</v>
      </c>
      <c r="T11">
        <v>50</v>
      </c>
      <c r="U11">
        <v>338</v>
      </c>
      <c r="V11">
        <v>0</v>
      </c>
      <c r="W11">
        <v>0</v>
      </c>
      <c r="X11">
        <v>9</v>
      </c>
      <c r="Y11">
        <v>0</v>
      </c>
      <c r="Z11">
        <v>2</v>
      </c>
      <c r="AA11" s="2">
        <v>45642</v>
      </c>
      <c r="AB11" t="s">
        <v>1751</v>
      </c>
      <c r="AC11">
        <v>51</v>
      </c>
      <c r="AD11">
        <v>52.45</v>
      </c>
      <c r="AE11">
        <v>0.45</v>
      </c>
      <c r="AF11">
        <v>21</v>
      </c>
      <c r="AG11">
        <v>30</v>
      </c>
      <c r="AH11">
        <v>38.479999999999997</v>
      </c>
      <c r="AI11">
        <v>13.51</v>
      </c>
      <c r="AJ11">
        <v>33.32</v>
      </c>
      <c r="AK11">
        <v>25.37</v>
      </c>
      <c r="AL11">
        <v>0.97</v>
      </c>
      <c r="AM11">
        <v>53</v>
      </c>
      <c r="AN11">
        <v>0</v>
      </c>
      <c r="AO11">
        <v>1</v>
      </c>
      <c r="AP11">
        <v>0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52</v>
      </c>
      <c r="BG11">
        <v>694.75</v>
      </c>
    </row>
    <row r="12" spans="1:59" x14ac:dyDescent="0.25">
      <c r="A12" t="s">
        <v>114</v>
      </c>
      <c r="B12">
        <v>550</v>
      </c>
      <c r="C12">
        <v>546.16999999999996</v>
      </c>
      <c r="D12">
        <v>546.16999999999996</v>
      </c>
      <c r="E12">
        <v>1</v>
      </c>
      <c r="F12">
        <v>11715.3465</v>
      </c>
      <c r="G12">
        <v>3604.7220000000002</v>
      </c>
      <c r="H12">
        <v>0</v>
      </c>
      <c r="I12">
        <v>0</v>
      </c>
      <c r="J12">
        <v>0.960538116591928</v>
      </c>
      <c r="K12">
        <v>1.9607843137254902E-2</v>
      </c>
      <c r="L12">
        <v>1802.3610000000001</v>
      </c>
      <c r="M12">
        <v>0</v>
      </c>
      <c r="N12">
        <v>0.91672922350184005</v>
      </c>
      <c r="O12">
        <v>901.18050000000005</v>
      </c>
      <c r="P12">
        <v>688.76</v>
      </c>
      <c r="Q12">
        <v>83.74</v>
      </c>
      <c r="R12">
        <v>0</v>
      </c>
      <c r="S12">
        <v>18796.11</v>
      </c>
      <c r="T12">
        <v>540</v>
      </c>
      <c r="U12">
        <v>3604.7220000000002</v>
      </c>
      <c r="V12">
        <v>546.16999999999996</v>
      </c>
      <c r="W12">
        <v>0</v>
      </c>
      <c r="X12">
        <v>36</v>
      </c>
      <c r="Y12">
        <v>1802.3610000000001</v>
      </c>
      <c r="Z12">
        <v>10</v>
      </c>
      <c r="AA12" s="2">
        <v>45642</v>
      </c>
      <c r="AB12" t="s">
        <v>1601</v>
      </c>
      <c r="AC12">
        <v>857</v>
      </c>
      <c r="AD12">
        <v>557.09999999999991</v>
      </c>
      <c r="AE12">
        <v>10.93</v>
      </c>
      <c r="AF12">
        <v>215</v>
      </c>
      <c r="AG12">
        <v>642</v>
      </c>
      <c r="AH12">
        <v>500.68999999999994</v>
      </c>
      <c r="AI12">
        <v>45.45</v>
      </c>
      <c r="AJ12">
        <v>284.73999999999995</v>
      </c>
      <c r="AK12">
        <v>258.3</v>
      </c>
      <c r="AL12">
        <v>23.049999999999997</v>
      </c>
      <c r="AM12">
        <v>1071</v>
      </c>
      <c r="AN12">
        <v>8</v>
      </c>
      <c r="AO12">
        <v>21</v>
      </c>
      <c r="AP12">
        <v>379.01</v>
      </c>
      <c r="AQ12">
        <v>0.1</v>
      </c>
      <c r="AR12">
        <v>0.05</v>
      </c>
      <c r="AS12">
        <v>0.7</v>
      </c>
      <c r="AT12">
        <v>33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540</v>
      </c>
      <c r="BE12">
        <v>0</v>
      </c>
      <c r="BF12">
        <v>0</v>
      </c>
      <c r="BG12">
        <v>10712.47</v>
      </c>
    </row>
    <row r="13" spans="1:59" x14ac:dyDescent="0.25">
      <c r="A13" t="s">
        <v>114</v>
      </c>
      <c r="B13">
        <v>50</v>
      </c>
      <c r="C13">
        <v>11.200000000000001</v>
      </c>
      <c r="D13">
        <v>11.200000000000001</v>
      </c>
      <c r="E13">
        <v>0.224</v>
      </c>
      <c r="F13">
        <v>0</v>
      </c>
      <c r="G13">
        <v>0</v>
      </c>
      <c r="H13">
        <v>0</v>
      </c>
      <c r="I13">
        <v>0</v>
      </c>
      <c r="J13">
        <v>0.76190476190476197</v>
      </c>
      <c r="K13">
        <v>0</v>
      </c>
      <c r="L13">
        <v>0</v>
      </c>
      <c r="M13">
        <v>0</v>
      </c>
      <c r="N13">
        <v>0.621428571428571</v>
      </c>
      <c r="O13">
        <v>0</v>
      </c>
      <c r="P13">
        <v>4.49</v>
      </c>
      <c r="Q13">
        <v>0</v>
      </c>
      <c r="R13">
        <v>136.29</v>
      </c>
      <c r="S13">
        <v>140.78</v>
      </c>
      <c r="T13">
        <v>50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45642</v>
      </c>
      <c r="AB13" t="s">
        <v>1746</v>
      </c>
      <c r="AC13">
        <v>16</v>
      </c>
      <c r="AD13">
        <v>11.22</v>
      </c>
      <c r="AE13">
        <v>0.02</v>
      </c>
      <c r="AF13">
        <v>5</v>
      </c>
      <c r="AG13">
        <v>11</v>
      </c>
      <c r="AH13">
        <v>6.96</v>
      </c>
      <c r="AI13">
        <v>4.24</v>
      </c>
      <c r="AJ13">
        <v>4.7300000000000004</v>
      </c>
      <c r="AK13">
        <v>4.55</v>
      </c>
      <c r="AL13">
        <v>1.43</v>
      </c>
      <c r="AM13">
        <v>16</v>
      </c>
      <c r="AN13">
        <v>5</v>
      </c>
      <c r="AO13">
        <v>0</v>
      </c>
      <c r="AP13">
        <v>0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11.200000000000001</v>
      </c>
      <c r="BG13">
        <v>136.29</v>
      </c>
    </row>
    <row r="14" spans="1:59" x14ac:dyDescent="0.25">
      <c r="A14" t="s">
        <v>114</v>
      </c>
      <c r="B14">
        <v>173</v>
      </c>
      <c r="C14">
        <v>173.22</v>
      </c>
      <c r="D14">
        <v>173</v>
      </c>
      <c r="E14">
        <v>1</v>
      </c>
      <c r="F14">
        <v>3654.625</v>
      </c>
      <c r="G14">
        <v>1124.5</v>
      </c>
      <c r="H14">
        <v>0</v>
      </c>
      <c r="I14">
        <v>0</v>
      </c>
      <c r="J14">
        <v>0.94900849858356895</v>
      </c>
      <c r="K14">
        <v>4.7761194029850698E-2</v>
      </c>
      <c r="L14">
        <v>0</v>
      </c>
      <c r="M14">
        <v>281.125</v>
      </c>
      <c r="N14">
        <v>0.84984412885348104</v>
      </c>
      <c r="O14">
        <v>281.125</v>
      </c>
      <c r="P14">
        <v>144.33000000000001</v>
      </c>
      <c r="Q14">
        <v>15.9</v>
      </c>
      <c r="R14">
        <v>0</v>
      </c>
      <c r="S14">
        <v>5501.6049999999996</v>
      </c>
      <c r="T14">
        <v>150</v>
      </c>
      <c r="U14">
        <v>1124.5</v>
      </c>
      <c r="V14">
        <v>0</v>
      </c>
      <c r="W14">
        <v>173</v>
      </c>
      <c r="X14">
        <v>16</v>
      </c>
      <c r="Y14">
        <v>281.125</v>
      </c>
      <c r="Z14">
        <v>23</v>
      </c>
      <c r="AA14" s="2">
        <v>45642</v>
      </c>
      <c r="AB14" t="s">
        <v>1747</v>
      </c>
      <c r="AC14">
        <v>272</v>
      </c>
      <c r="AD14">
        <v>173.93</v>
      </c>
      <c r="AE14">
        <v>0.71</v>
      </c>
      <c r="AF14">
        <v>62</v>
      </c>
      <c r="AG14">
        <v>210</v>
      </c>
      <c r="AH14">
        <v>147.21</v>
      </c>
      <c r="AI14">
        <v>25.990000000000002</v>
      </c>
      <c r="AJ14">
        <v>77.55</v>
      </c>
      <c r="AK14">
        <v>67.070000000000007</v>
      </c>
      <c r="AL14">
        <v>4.5199999999999996</v>
      </c>
      <c r="AM14">
        <v>335</v>
      </c>
      <c r="AN14">
        <v>2</v>
      </c>
      <c r="AO14">
        <v>16</v>
      </c>
      <c r="AP14">
        <v>0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150</v>
      </c>
      <c r="BE14">
        <v>0</v>
      </c>
      <c r="BF14">
        <v>0</v>
      </c>
      <c r="BG14">
        <v>3186.6</v>
      </c>
    </row>
    <row r="15" spans="1:59" x14ac:dyDescent="0.25">
      <c r="A15" t="s">
        <v>114</v>
      </c>
      <c r="B15">
        <v>50</v>
      </c>
      <c r="C15">
        <v>0.08</v>
      </c>
      <c r="D15">
        <v>0.08</v>
      </c>
      <c r="E15">
        <v>1.6000000000000001E-3</v>
      </c>
      <c r="F15">
        <v>1.69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1.69</v>
      </c>
      <c r="T15">
        <v>50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45642</v>
      </c>
      <c r="AB15" t="s">
        <v>1816</v>
      </c>
      <c r="AC15">
        <v>0</v>
      </c>
      <c r="AD15">
        <v>0.08</v>
      </c>
      <c r="AE15">
        <v>0</v>
      </c>
      <c r="AF15">
        <v>0</v>
      </c>
      <c r="AG15">
        <v>0</v>
      </c>
      <c r="AH15">
        <v>0</v>
      </c>
      <c r="AI15">
        <v>0.08</v>
      </c>
      <c r="AJ15">
        <v>0</v>
      </c>
      <c r="AK15">
        <v>0</v>
      </c>
      <c r="AL15">
        <v>0</v>
      </c>
      <c r="AM15">
        <v>0</v>
      </c>
      <c r="AN15">
        <v>1</v>
      </c>
      <c r="AO15">
        <v>0</v>
      </c>
      <c r="AP15">
        <v>0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0.08</v>
      </c>
      <c r="BG15">
        <v>0</v>
      </c>
    </row>
    <row r="16" spans="1:59" x14ac:dyDescent="0.25">
      <c r="A16" t="s">
        <v>114</v>
      </c>
      <c r="B16">
        <v>50</v>
      </c>
      <c r="C16">
        <v>48.290000000000006</v>
      </c>
      <c r="D16">
        <v>48.290000000000006</v>
      </c>
      <c r="E16">
        <v>0.96579999999999999</v>
      </c>
      <c r="F16">
        <v>1020.1262</v>
      </c>
      <c r="G16">
        <v>0</v>
      </c>
      <c r="H16">
        <v>156.94250000000002</v>
      </c>
      <c r="I16">
        <v>0</v>
      </c>
      <c r="J16">
        <v>1</v>
      </c>
      <c r="K16">
        <v>4.6511627906976702E-2</v>
      </c>
      <c r="L16">
        <v>0</v>
      </c>
      <c r="M16">
        <v>78.471199999999996</v>
      </c>
      <c r="N16">
        <v>0.67446676330503197</v>
      </c>
      <c r="O16">
        <v>0</v>
      </c>
      <c r="P16">
        <v>42</v>
      </c>
      <c r="Q16">
        <v>7.06</v>
      </c>
      <c r="R16">
        <v>0</v>
      </c>
      <c r="S16">
        <v>1304.5999999999999</v>
      </c>
      <c r="T16">
        <v>50</v>
      </c>
      <c r="U16">
        <v>156.9425</v>
      </c>
      <c r="V16">
        <v>0</v>
      </c>
      <c r="W16">
        <v>48.290000000000006</v>
      </c>
      <c r="X16">
        <v>0</v>
      </c>
      <c r="Y16">
        <v>78.471199999999996</v>
      </c>
      <c r="Z16">
        <v>0</v>
      </c>
      <c r="AA16" s="2">
        <v>45642</v>
      </c>
      <c r="AB16" t="s">
        <v>1699</v>
      </c>
      <c r="AC16">
        <v>58</v>
      </c>
      <c r="AD16">
        <v>50.02</v>
      </c>
      <c r="AE16">
        <v>1.73</v>
      </c>
      <c r="AF16">
        <v>8</v>
      </c>
      <c r="AG16">
        <v>50</v>
      </c>
      <c r="AH16">
        <v>32.57</v>
      </c>
      <c r="AI16">
        <v>15.73</v>
      </c>
      <c r="AJ16">
        <v>12.7</v>
      </c>
      <c r="AK16">
        <v>8.6199999999999992</v>
      </c>
      <c r="AL16">
        <v>1.1599999999999999</v>
      </c>
      <c r="AM16">
        <v>86</v>
      </c>
      <c r="AN16">
        <v>0</v>
      </c>
      <c r="AO16">
        <v>4</v>
      </c>
      <c r="AP16">
        <v>0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681.96</v>
      </c>
    </row>
    <row r="17" spans="1:59" x14ac:dyDescent="0.25">
      <c r="A17" t="s">
        <v>114</v>
      </c>
      <c r="B17">
        <v>51</v>
      </c>
      <c r="C17">
        <v>50.92</v>
      </c>
      <c r="D17">
        <v>50.92</v>
      </c>
      <c r="E17">
        <v>1</v>
      </c>
      <c r="F17">
        <v>1075.6849999999999</v>
      </c>
      <c r="G17">
        <v>330.98</v>
      </c>
      <c r="H17">
        <v>0</v>
      </c>
      <c r="I17">
        <v>0</v>
      </c>
      <c r="J17">
        <v>1</v>
      </c>
      <c r="K17">
        <v>0</v>
      </c>
      <c r="L17">
        <v>165.49</v>
      </c>
      <c r="M17">
        <v>0</v>
      </c>
      <c r="N17">
        <v>0.74980361351139002</v>
      </c>
      <c r="O17">
        <v>82.745000000000005</v>
      </c>
      <c r="P17">
        <v>43.56</v>
      </c>
      <c r="Q17">
        <v>0</v>
      </c>
      <c r="R17">
        <v>0</v>
      </c>
      <c r="S17">
        <v>1698.46</v>
      </c>
      <c r="T17">
        <v>50</v>
      </c>
      <c r="U17">
        <v>330.98</v>
      </c>
      <c r="V17">
        <v>50.92</v>
      </c>
      <c r="W17">
        <v>0</v>
      </c>
      <c r="X17">
        <v>0</v>
      </c>
      <c r="Y17">
        <v>165.49</v>
      </c>
      <c r="Z17">
        <v>1</v>
      </c>
      <c r="AA17" s="2">
        <v>45642</v>
      </c>
      <c r="AB17" t="s">
        <v>1748</v>
      </c>
      <c r="AC17">
        <v>74</v>
      </c>
      <c r="AD17">
        <v>50.92</v>
      </c>
      <c r="AE17">
        <v>0</v>
      </c>
      <c r="AF17">
        <v>12</v>
      </c>
      <c r="AG17">
        <v>62</v>
      </c>
      <c r="AH17">
        <v>38.18</v>
      </c>
      <c r="AI17">
        <v>12.74</v>
      </c>
      <c r="AJ17">
        <v>19.13</v>
      </c>
      <c r="AK17">
        <v>13.7</v>
      </c>
      <c r="AL17">
        <v>1.45</v>
      </c>
      <c r="AM17">
        <v>71</v>
      </c>
      <c r="AN17">
        <v>0</v>
      </c>
      <c r="AO17">
        <v>0</v>
      </c>
      <c r="AP17">
        <v>50.92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897.86</v>
      </c>
    </row>
    <row r="18" spans="1:59" x14ac:dyDescent="0.25">
      <c r="A18" t="s">
        <v>114</v>
      </c>
      <c r="B18">
        <v>50</v>
      </c>
      <c r="C18">
        <v>51.21</v>
      </c>
      <c r="D18">
        <v>50</v>
      </c>
      <c r="E18">
        <v>1</v>
      </c>
      <c r="F18">
        <v>1056.25</v>
      </c>
      <c r="G18">
        <v>325</v>
      </c>
      <c r="H18">
        <v>0</v>
      </c>
      <c r="I18">
        <v>0</v>
      </c>
      <c r="J18">
        <v>1</v>
      </c>
      <c r="K18">
        <v>2.1505376344085999E-2</v>
      </c>
      <c r="L18">
        <v>162.5</v>
      </c>
      <c r="M18">
        <v>0</v>
      </c>
      <c r="N18">
        <v>0.79125170865065397</v>
      </c>
      <c r="O18">
        <v>81.25</v>
      </c>
      <c r="P18">
        <v>109.67</v>
      </c>
      <c r="Q18">
        <v>0</v>
      </c>
      <c r="R18">
        <v>0</v>
      </c>
      <c r="S18">
        <v>1734.67</v>
      </c>
      <c r="T18">
        <v>50</v>
      </c>
      <c r="U18">
        <v>325</v>
      </c>
      <c r="V18">
        <v>50</v>
      </c>
      <c r="W18">
        <v>0</v>
      </c>
      <c r="X18">
        <v>0</v>
      </c>
      <c r="Y18">
        <v>162.5</v>
      </c>
      <c r="Z18">
        <v>0</v>
      </c>
      <c r="AA18" s="2">
        <v>45642</v>
      </c>
      <c r="AB18" t="s">
        <v>1787</v>
      </c>
      <c r="AC18">
        <v>72</v>
      </c>
      <c r="AD18">
        <v>51.21</v>
      </c>
      <c r="AE18">
        <v>0</v>
      </c>
      <c r="AF18">
        <v>12</v>
      </c>
      <c r="AG18">
        <v>60</v>
      </c>
      <c r="AH18">
        <v>40.520000000000003</v>
      </c>
      <c r="AI18">
        <v>10.68</v>
      </c>
      <c r="AJ18">
        <v>13.44</v>
      </c>
      <c r="AK18">
        <v>12.82</v>
      </c>
      <c r="AL18">
        <v>1.41</v>
      </c>
      <c r="AM18">
        <v>93</v>
      </c>
      <c r="AN18">
        <v>0</v>
      </c>
      <c r="AO18">
        <v>2</v>
      </c>
      <c r="AP18">
        <v>51.21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928.16</v>
      </c>
    </row>
    <row r="19" spans="1:59" x14ac:dyDescent="0.25">
      <c r="A19" t="s">
        <v>114</v>
      </c>
      <c r="B19">
        <v>60</v>
      </c>
      <c r="C19">
        <v>59.9</v>
      </c>
      <c r="D19">
        <v>59.9</v>
      </c>
      <c r="E19">
        <v>1</v>
      </c>
      <c r="F19">
        <v>1265.3875</v>
      </c>
      <c r="G19">
        <v>389.34999999999997</v>
      </c>
      <c r="H19">
        <v>0</v>
      </c>
      <c r="I19">
        <v>0</v>
      </c>
      <c r="J19">
        <v>1</v>
      </c>
      <c r="K19">
        <v>1.0989010989011E-2</v>
      </c>
      <c r="L19">
        <v>194.67500000000001</v>
      </c>
      <c r="M19">
        <v>0</v>
      </c>
      <c r="N19">
        <v>0.79415692821368999</v>
      </c>
      <c r="O19">
        <v>97.337500000000006</v>
      </c>
      <c r="P19">
        <v>83.57</v>
      </c>
      <c r="Q19">
        <v>1.5</v>
      </c>
      <c r="R19">
        <v>0</v>
      </c>
      <c r="S19">
        <v>2031.82</v>
      </c>
      <c r="T19">
        <v>50</v>
      </c>
      <c r="U19">
        <v>389.35</v>
      </c>
      <c r="V19">
        <v>59.9</v>
      </c>
      <c r="W19">
        <v>0</v>
      </c>
      <c r="X19">
        <v>0</v>
      </c>
      <c r="Y19">
        <v>194.67500000000001</v>
      </c>
      <c r="Z19">
        <v>10</v>
      </c>
      <c r="AA19" s="2">
        <v>45642</v>
      </c>
      <c r="AB19" t="s">
        <v>1788</v>
      </c>
      <c r="AC19">
        <v>70</v>
      </c>
      <c r="AD19">
        <v>60.07</v>
      </c>
      <c r="AE19">
        <v>0.17</v>
      </c>
      <c r="AF19">
        <v>22</v>
      </c>
      <c r="AG19">
        <v>48</v>
      </c>
      <c r="AH19">
        <v>47.57</v>
      </c>
      <c r="AI19">
        <v>12.33</v>
      </c>
      <c r="AJ19">
        <v>36.67</v>
      </c>
      <c r="AK19">
        <v>30.41</v>
      </c>
      <c r="AL19">
        <v>1.17</v>
      </c>
      <c r="AM19">
        <v>91</v>
      </c>
      <c r="AN19">
        <v>0</v>
      </c>
      <c r="AO19">
        <v>1</v>
      </c>
      <c r="AP19">
        <v>59.9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852.67</v>
      </c>
    </row>
    <row r="20" spans="1:59" x14ac:dyDescent="0.25">
      <c r="A20" t="s">
        <v>114</v>
      </c>
      <c r="B20">
        <v>84</v>
      </c>
      <c r="C20">
        <v>83.22999999999999</v>
      </c>
      <c r="D20">
        <v>83.22999999999999</v>
      </c>
      <c r="E20">
        <v>1</v>
      </c>
      <c r="F20">
        <v>1758.2338</v>
      </c>
      <c r="G20">
        <v>540.99499999999989</v>
      </c>
      <c r="H20">
        <v>0</v>
      </c>
      <c r="I20">
        <v>0</v>
      </c>
      <c r="J20">
        <v>0.98795180722891596</v>
      </c>
      <c r="K20">
        <v>1.8292682926829298E-2</v>
      </c>
      <c r="L20">
        <v>270.4975</v>
      </c>
      <c r="M20">
        <v>0</v>
      </c>
      <c r="N20">
        <v>0.89619127718370795</v>
      </c>
      <c r="O20">
        <v>135.24879999999999</v>
      </c>
      <c r="P20">
        <v>100.21</v>
      </c>
      <c r="Q20">
        <v>8.1999999999999993</v>
      </c>
      <c r="R20">
        <v>0</v>
      </c>
      <c r="S20">
        <v>2813.3850000000002</v>
      </c>
      <c r="T20">
        <v>50</v>
      </c>
      <c r="U20">
        <v>540.995</v>
      </c>
      <c r="V20">
        <v>83.22999999999999</v>
      </c>
      <c r="W20">
        <v>0</v>
      </c>
      <c r="X20">
        <v>2</v>
      </c>
      <c r="Y20">
        <v>270.4975</v>
      </c>
      <c r="Z20">
        <v>34</v>
      </c>
      <c r="AA20" s="2">
        <v>45642</v>
      </c>
      <c r="AB20" t="s">
        <v>1716</v>
      </c>
      <c r="AC20">
        <v>150</v>
      </c>
      <c r="AD20">
        <v>83.88</v>
      </c>
      <c r="AE20">
        <v>0.65</v>
      </c>
      <c r="AF20">
        <v>17</v>
      </c>
      <c r="AG20">
        <v>133</v>
      </c>
      <c r="AH20">
        <v>74.59</v>
      </c>
      <c r="AI20">
        <v>8.64</v>
      </c>
      <c r="AJ20">
        <v>15.33</v>
      </c>
      <c r="AK20">
        <v>14.15</v>
      </c>
      <c r="AL20">
        <v>1.79</v>
      </c>
      <c r="AM20">
        <v>164</v>
      </c>
      <c r="AN20">
        <v>0</v>
      </c>
      <c r="AO20">
        <v>3</v>
      </c>
      <c r="AP20">
        <v>83.22999999999999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1797.35</v>
      </c>
    </row>
    <row r="21" spans="1:59" x14ac:dyDescent="0.25">
      <c r="A21" t="s">
        <v>114</v>
      </c>
      <c r="B21">
        <v>50</v>
      </c>
      <c r="C21">
        <v>47.75</v>
      </c>
      <c r="D21">
        <v>47.75</v>
      </c>
      <c r="E21">
        <v>0.95499999999999996</v>
      </c>
      <c r="F21">
        <v>1008.7188</v>
      </c>
      <c r="G21">
        <v>0</v>
      </c>
      <c r="H21">
        <v>0</v>
      </c>
      <c r="I21">
        <v>77.59375</v>
      </c>
      <c r="J21">
        <v>1</v>
      </c>
      <c r="K21">
        <v>0</v>
      </c>
      <c r="L21">
        <v>155.1875</v>
      </c>
      <c r="M21">
        <v>0</v>
      </c>
      <c r="N21">
        <v>0.58366492146596904</v>
      </c>
      <c r="O21">
        <v>0</v>
      </c>
      <c r="P21">
        <v>12</v>
      </c>
      <c r="Q21">
        <v>1.5</v>
      </c>
      <c r="R21">
        <v>0</v>
      </c>
      <c r="S21">
        <v>1255</v>
      </c>
      <c r="T21">
        <v>50</v>
      </c>
      <c r="U21">
        <v>77.593800000000002</v>
      </c>
      <c r="V21">
        <v>47.75</v>
      </c>
      <c r="W21">
        <v>0</v>
      </c>
      <c r="X21">
        <v>0</v>
      </c>
      <c r="Y21">
        <v>155.1875</v>
      </c>
      <c r="Z21">
        <v>0</v>
      </c>
      <c r="AA21" s="2">
        <v>45642</v>
      </c>
      <c r="AB21" t="s">
        <v>1745</v>
      </c>
      <c r="AC21">
        <v>65</v>
      </c>
      <c r="AD21">
        <v>50.19</v>
      </c>
      <c r="AE21">
        <v>2.44</v>
      </c>
      <c r="AF21">
        <v>5</v>
      </c>
      <c r="AG21">
        <v>60</v>
      </c>
      <c r="AH21">
        <v>27.87</v>
      </c>
      <c r="AI21">
        <v>19.87</v>
      </c>
      <c r="AJ21">
        <v>11.07</v>
      </c>
      <c r="AK21">
        <v>7.87</v>
      </c>
      <c r="AL21">
        <v>1.3</v>
      </c>
      <c r="AM21">
        <v>72</v>
      </c>
      <c r="AN21">
        <v>0</v>
      </c>
      <c r="AO21">
        <v>0</v>
      </c>
      <c r="AP21">
        <v>47.75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50</v>
      </c>
      <c r="BE21">
        <v>0</v>
      </c>
      <c r="BF21">
        <v>0</v>
      </c>
      <c r="BG21">
        <v>707.05</v>
      </c>
    </row>
    <row r="22" spans="1:59" x14ac:dyDescent="0.25">
      <c r="A22" t="s">
        <v>114</v>
      </c>
      <c r="B22">
        <v>425</v>
      </c>
      <c r="C22">
        <v>407.07000000000005</v>
      </c>
      <c r="D22">
        <v>407.07000000000005</v>
      </c>
      <c r="E22">
        <v>0.95781176470588203</v>
      </c>
      <c r="F22">
        <v>8599.3538000000008</v>
      </c>
      <c r="G22">
        <v>0</v>
      </c>
      <c r="H22">
        <v>0</v>
      </c>
      <c r="I22">
        <v>661.4887500000001</v>
      </c>
      <c r="J22">
        <v>0.91304347826086996</v>
      </c>
      <c r="K22">
        <v>1.8062397372742199E-2</v>
      </c>
      <c r="L22">
        <v>0</v>
      </c>
      <c r="M22">
        <v>0</v>
      </c>
      <c r="N22">
        <v>0.79052742771513496</v>
      </c>
      <c r="O22">
        <v>661.48879999999997</v>
      </c>
      <c r="P22">
        <v>476.63</v>
      </c>
      <c r="Q22">
        <v>31.9</v>
      </c>
      <c r="R22">
        <v>0</v>
      </c>
      <c r="S22">
        <v>10430.8613</v>
      </c>
      <c r="T22">
        <v>425</v>
      </c>
      <c r="U22">
        <v>661.48879999999997</v>
      </c>
      <c r="V22">
        <v>0</v>
      </c>
      <c r="W22">
        <v>0</v>
      </c>
      <c r="X22">
        <v>51</v>
      </c>
      <c r="Y22">
        <v>0</v>
      </c>
      <c r="Z22">
        <v>0</v>
      </c>
      <c r="AA22" s="2">
        <v>45642</v>
      </c>
      <c r="AB22" t="s">
        <v>1670</v>
      </c>
      <c r="AC22">
        <v>533</v>
      </c>
      <c r="AD22">
        <v>412.7299999999999</v>
      </c>
      <c r="AE22">
        <v>5.66</v>
      </c>
      <c r="AF22">
        <v>190</v>
      </c>
      <c r="AG22">
        <v>343</v>
      </c>
      <c r="AH22">
        <v>321.8</v>
      </c>
      <c r="AI22">
        <v>85.26</v>
      </c>
      <c r="AJ22">
        <v>184.28000000000003</v>
      </c>
      <c r="AK22">
        <v>166.35</v>
      </c>
      <c r="AL22">
        <v>11.78</v>
      </c>
      <c r="AM22">
        <v>609</v>
      </c>
      <c r="AN22">
        <v>7</v>
      </c>
      <c r="AO22">
        <v>11</v>
      </c>
      <c r="AP22">
        <v>298.23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425</v>
      </c>
      <c r="BE22">
        <v>0</v>
      </c>
      <c r="BF22">
        <v>407.07000000000005</v>
      </c>
      <c r="BG22">
        <v>6937.4699999999993</v>
      </c>
    </row>
    <row r="23" spans="1:59" hidden="1" x14ac:dyDescent="0.25">
      <c r="A23" t="s">
        <v>115</v>
      </c>
      <c r="B23">
        <v>60</v>
      </c>
      <c r="C23">
        <v>59.9</v>
      </c>
      <c r="D23">
        <v>59.9</v>
      </c>
      <c r="E23">
        <v>1</v>
      </c>
      <c r="F23">
        <v>1265.3875</v>
      </c>
      <c r="G23">
        <v>389.34999999999997</v>
      </c>
      <c r="H23">
        <v>0</v>
      </c>
      <c r="I23">
        <v>0</v>
      </c>
      <c r="J23">
        <v>0.893805309734513</v>
      </c>
      <c r="K23">
        <v>2.9702970297029702E-2</v>
      </c>
      <c r="L23">
        <v>0</v>
      </c>
      <c r="M23">
        <v>0</v>
      </c>
      <c r="N23">
        <v>0.67495826377295498</v>
      </c>
      <c r="O23">
        <v>0</v>
      </c>
      <c r="P23">
        <v>73.8</v>
      </c>
      <c r="Q23">
        <v>6</v>
      </c>
      <c r="R23">
        <v>0</v>
      </c>
      <c r="S23">
        <v>1734.5374999999999</v>
      </c>
      <c r="T23">
        <v>50</v>
      </c>
      <c r="U23">
        <v>389.35</v>
      </c>
      <c r="V23">
        <v>0</v>
      </c>
      <c r="W23">
        <v>0</v>
      </c>
      <c r="X23">
        <v>12</v>
      </c>
      <c r="Y23">
        <v>0</v>
      </c>
      <c r="Z23">
        <v>10</v>
      </c>
      <c r="AA23" s="2">
        <v>45649</v>
      </c>
      <c r="AB23" t="s">
        <v>1745</v>
      </c>
      <c r="AC23">
        <v>94</v>
      </c>
      <c r="AD23">
        <v>60</v>
      </c>
      <c r="AE23">
        <v>0.1</v>
      </c>
      <c r="AF23">
        <v>10</v>
      </c>
      <c r="AG23">
        <v>84</v>
      </c>
      <c r="AH23">
        <v>40.43</v>
      </c>
      <c r="AI23">
        <v>19.46</v>
      </c>
      <c r="AJ23">
        <v>16.78</v>
      </c>
      <c r="AK23">
        <v>13.18</v>
      </c>
      <c r="AL23">
        <v>1.57</v>
      </c>
      <c r="AM23">
        <v>101</v>
      </c>
      <c r="AN23">
        <v>0</v>
      </c>
      <c r="AO23">
        <v>3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59.9</v>
      </c>
      <c r="BG23">
        <v>1050.47</v>
      </c>
    </row>
    <row r="24" spans="1:59" hidden="1" x14ac:dyDescent="0.25">
      <c r="A24" t="s">
        <v>115</v>
      </c>
      <c r="B24">
        <v>82</v>
      </c>
      <c r="C24">
        <v>81.36</v>
      </c>
      <c r="D24">
        <v>81.36</v>
      </c>
      <c r="E24">
        <v>1</v>
      </c>
      <c r="F24">
        <v>1718.73</v>
      </c>
      <c r="G24">
        <v>528.84</v>
      </c>
      <c r="H24">
        <v>0</v>
      </c>
      <c r="I24">
        <v>0</v>
      </c>
      <c r="J24">
        <v>1</v>
      </c>
      <c r="K24">
        <v>5.9171597633136102E-3</v>
      </c>
      <c r="L24">
        <v>264.42</v>
      </c>
      <c r="M24">
        <v>0</v>
      </c>
      <c r="N24">
        <v>0.85656342182890899</v>
      </c>
      <c r="O24">
        <v>132.21</v>
      </c>
      <c r="P24">
        <v>98.93</v>
      </c>
      <c r="Q24">
        <v>5.5</v>
      </c>
      <c r="R24">
        <v>0</v>
      </c>
      <c r="S24">
        <v>2748.63</v>
      </c>
      <c r="T24">
        <v>50</v>
      </c>
      <c r="U24">
        <v>528.84</v>
      </c>
      <c r="V24">
        <v>81.36</v>
      </c>
      <c r="W24">
        <v>0</v>
      </c>
      <c r="X24">
        <v>0</v>
      </c>
      <c r="Y24">
        <v>264.42</v>
      </c>
      <c r="Z24">
        <v>32</v>
      </c>
      <c r="AA24" s="2">
        <v>45649</v>
      </c>
      <c r="AB24" t="s">
        <v>1716</v>
      </c>
      <c r="AC24">
        <v>157</v>
      </c>
      <c r="AD24">
        <v>84.84</v>
      </c>
      <c r="AE24">
        <v>3.48</v>
      </c>
      <c r="AF24">
        <v>10</v>
      </c>
      <c r="AG24">
        <v>147</v>
      </c>
      <c r="AH24">
        <v>69.69</v>
      </c>
      <c r="AI24">
        <v>11.67</v>
      </c>
      <c r="AJ24">
        <v>11.68</v>
      </c>
      <c r="AK24">
        <v>6.92</v>
      </c>
      <c r="AL24">
        <v>1.85</v>
      </c>
      <c r="AM24">
        <v>169</v>
      </c>
      <c r="AN24">
        <v>0</v>
      </c>
      <c r="AO24">
        <v>1</v>
      </c>
      <c r="AP24">
        <v>81.36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1806.49</v>
      </c>
    </row>
    <row r="25" spans="1:59" hidden="1" x14ac:dyDescent="0.25">
      <c r="A25" t="s">
        <v>115</v>
      </c>
      <c r="B25">
        <v>60</v>
      </c>
      <c r="C25">
        <v>59.99</v>
      </c>
      <c r="D25">
        <v>59.99</v>
      </c>
      <c r="E25">
        <v>1</v>
      </c>
      <c r="F25">
        <v>1267.2888</v>
      </c>
      <c r="G25">
        <v>389.935</v>
      </c>
      <c r="H25">
        <v>0</v>
      </c>
      <c r="I25">
        <v>0</v>
      </c>
      <c r="J25">
        <v>1</v>
      </c>
      <c r="K25">
        <v>0</v>
      </c>
      <c r="L25">
        <v>194.9675</v>
      </c>
      <c r="M25">
        <v>0</v>
      </c>
      <c r="N25">
        <v>0.77446241040173402</v>
      </c>
      <c r="O25">
        <v>97.483800000000002</v>
      </c>
      <c r="P25">
        <v>97.89</v>
      </c>
      <c r="Q25">
        <v>0</v>
      </c>
      <c r="R25">
        <v>0</v>
      </c>
      <c r="S25">
        <v>2047.5650000000001</v>
      </c>
      <c r="T25">
        <v>50</v>
      </c>
      <c r="U25">
        <v>389.935</v>
      </c>
      <c r="V25">
        <v>59.99</v>
      </c>
      <c r="W25">
        <v>0</v>
      </c>
      <c r="X25">
        <v>0</v>
      </c>
      <c r="Y25">
        <v>194.9675</v>
      </c>
      <c r="Z25">
        <v>10</v>
      </c>
      <c r="AA25" s="2">
        <v>45649</v>
      </c>
      <c r="AB25" t="s">
        <v>1788</v>
      </c>
      <c r="AC25">
        <v>83</v>
      </c>
      <c r="AD25">
        <v>60</v>
      </c>
      <c r="AE25">
        <v>0.01</v>
      </c>
      <c r="AF25">
        <v>20</v>
      </c>
      <c r="AG25">
        <v>63</v>
      </c>
      <c r="AH25">
        <v>46.46</v>
      </c>
      <c r="AI25">
        <v>13.52</v>
      </c>
      <c r="AJ25">
        <v>37.51</v>
      </c>
      <c r="AK25">
        <v>29.82</v>
      </c>
      <c r="AL25">
        <v>1.38</v>
      </c>
      <c r="AM25">
        <v>99</v>
      </c>
      <c r="AN25">
        <v>0</v>
      </c>
      <c r="AO25">
        <v>0</v>
      </c>
      <c r="AP25">
        <v>59.99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823.87</v>
      </c>
    </row>
    <row r="26" spans="1:59" hidden="1" x14ac:dyDescent="0.25">
      <c r="A26" t="s">
        <v>115</v>
      </c>
      <c r="B26">
        <v>540</v>
      </c>
      <c r="C26">
        <v>507.21000000000004</v>
      </c>
      <c r="D26">
        <v>507.21000000000004</v>
      </c>
      <c r="E26">
        <v>0.93927777777777799</v>
      </c>
      <c r="F26">
        <v>0</v>
      </c>
      <c r="G26">
        <v>0</v>
      </c>
      <c r="H26">
        <v>0</v>
      </c>
      <c r="I26">
        <v>0</v>
      </c>
      <c r="J26">
        <v>0.94450050454086798</v>
      </c>
      <c r="K26">
        <v>2.45726495726496E-2</v>
      </c>
      <c r="L26">
        <v>0</v>
      </c>
      <c r="M26">
        <v>0</v>
      </c>
      <c r="N26">
        <v>0.83963249935924</v>
      </c>
      <c r="O26">
        <v>0</v>
      </c>
      <c r="P26">
        <v>775.55</v>
      </c>
      <c r="Q26">
        <v>98.13</v>
      </c>
      <c r="R26">
        <v>9726.5499999999993</v>
      </c>
      <c r="S26">
        <v>10600.23</v>
      </c>
      <c r="T26">
        <v>540</v>
      </c>
      <c r="U26">
        <v>0</v>
      </c>
      <c r="V26">
        <v>0</v>
      </c>
      <c r="W26">
        <v>507.21000000000004</v>
      </c>
      <c r="X26">
        <v>48</v>
      </c>
      <c r="Y26">
        <v>0</v>
      </c>
      <c r="Z26">
        <v>0</v>
      </c>
      <c r="AA26" s="2">
        <v>45649</v>
      </c>
      <c r="AB26" t="s">
        <v>1601</v>
      </c>
      <c r="AC26">
        <v>804</v>
      </c>
      <c r="AD26">
        <v>527.20999999999992</v>
      </c>
      <c r="AE26">
        <v>19.999999999999993</v>
      </c>
      <c r="AF26">
        <v>122</v>
      </c>
      <c r="AG26">
        <v>682</v>
      </c>
      <c r="AH26">
        <v>425.86999999999995</v>
      </c>
      <c r="AI26">
        <v>81.320000000000007</v>
      </c>
      <c r="AJ26">
        <v>202.51000000000002</v>
      </c>
      <c r="AK26">
        <v>161.99</v>
      </c>
      <c r="AL26">
        <v>26.220000000000002</v>
      </c>
      <c r="AM26">
        <v>936</v>
      </c>
      <c r="AN26">
        <v>7</v>
      </c>
      <c r="AO26">
        <v>23</v>
      </c>
      <c r="AP26">
        <v>325.33000000000004</v>
      </c>
      <c r="AQ26">
        <v>0.1</v>
      </c>
      <c r="AR26">
        <v>0.05</v>
      </c>
      <c r="AS26">
        <v>0.7</v>
      </c>
      <c r="AT26">
        <v>33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540</v>
      </c>
      <c r="BE26">
        <v>0</v>
      </c>
      <c r="BF26">
        <v>0</v>
      </c>
      <c r="BG26">
        <v>9726.5500000000011</v>
      </c>
    </row>
    <row r="27" spans="1:59" hidden="1" x14ac:dyDescent="0.25">
      <c r="A27" t="s">
        <v>115</v>
      </c>
      <c r="B27">
        <v>50</v>
      </c>
      <c r="C27">
        <v>50.63</v>
      </c>
      <c r="D27">
        <v>50</v>
      </c>
      <c r="E27">
        <v>1</v>
      </c>
      <c r="F27">
        <v>1056.25</v>
      </c>
      <c r="G27">
        <v>325</v>
      </c>
      <c r="H27">
        <v>0</v>
      </c>
      <c r="I27">
        <v>0</v>
      </c>
      <c r="J27">
        <v>0.96721311475409799</v>
      </c>
      <c r="K27">
        <v>0</v>
      </c>
      <c r="L27">
        <v>162.5</v>
      </c>
      <c r="M27">
        <v>0</v>
      </c>
      <c r="N27">
        <v>0.58246099150701203</v>
      </c>
      <c r="O27">
        <v>0</v>
      </c>
      <c r="P27">
        <v>30.18</v>
      </c>
      <c r="Q27">
        <v>9.9</v>
      </c>
      <c r="R27">
        <v>0</v>
      </c>
      <c r="S27">
        <v>1583.83</v>
      </c>
      <c r="T27">
        <v>50</v>
      </c>
      <c r="U27">
        <v>325</v>
      </c>
      <c r="V27">
        <v>50</v>
      </c>
      <c r="W27">
        <v>0</v>
      </c>
      <c r="X27">
        <v>0</v>
      </c>
      <c r="Y27">
        <v>162.5</v>
      </c>
      <c r="Z27">
        <v>0</v>
      </c>
      <c r="AA27" s="2">
        <v>45649</v>
      </c>
      <c r="AB27" t="s">
        <v>1816</v>
      </c>
      <c r="AC27">
        <v>55</v>
      </c>
      <c r="AD27">
        <v>50.99</v>
      </c>
      <c r="AE27">
        <v>0.36</v>
      </c>
      <c r="AF27">
        <v>2</v>
      </c>
      <c r="AG27">
        <v>53</v>
      </c>
      <c r="AH27">
        <v>29.49</v>
      </c>
      <c r="AI27">
        <v>21.14</v>
      </c>
      <c r="AJ27">
        <v>8.07</v>
      </c>
      <c r="AK27">
        <v>7</v>
      </c>
      <c r="AL27">
        <v>1.08</v>
      </c>
      <c r="AM27">
        <v>59</v>
      </c>
      <c r="AN27">
        <v>2</v>
      </c>
      <c r="AO27">
        <v>0</v>
      </c>
      <c r="AP27">
        <v>50.63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636.97</v>
      </c>
    </row>
    <row r="28" spans="1:59" hidden="1" x14ac:dyDescent="0.25">
      <c r="A28" t="s">
        <v>115</v>
      </c>
      <c r="B28">
        <v>57</v>
      </c>
      <c r="C28">
        <v>57.050000000000004</v>
      </c>
      <c r="D28">
        <v>57</v>
      </c>
      <c r="E28">
        <v>1</v>
      </c>
      <c r="F28">
        <v>1204.125</v>
      </c>
      <c r="G28">
        <v>370.5</v>
      </c>
      <c r="H28">
        <v>0</v>
      </c>
      <c r="I28">
        <v>0</v>
      </c>
      <c r="J28">
        <v>0.97826086956521696</v>
      </c>
      <c r="K28">
        <v>0</v>
      </c>
      <c r="L28">
        <v>185.25</v>
      </c>
      <c r="M28">
        <v>0</v>
      </c>
      <c r="N28">
        <v>0.78615249780894003</v>
      </c>
      <c r="O28">
        <v>92.625</v>
      </c>
      <c r="P28">
        <v>69</v>
      </c>
      <c r="Q28">
        <v>0</v>
      </c>
      <c r="R28">
        <v>0</v>
      </c>
      <c r="S28">
        <v>1921.5</v>
      </c>
      <c r="T28">
        <v>50</v>
      </c>
      <c r="U28">
        <v>370.5</v>
      </c>
      <c r="V28">
        <v>57</v>
      </c>
      <c r="W28">
        <v>0</v>
      </c>
      <c r="X28">
        <v>2</v>
      </c>
      <c r="Y28">
        <v>185.25</v>
      </c>
      <c r="Z28">
        <v>7</v>
      </c>
      <c r="AA28" s="2">
        <v>45649</v>
      </c>
      <c r="AB28" t="s">
        <v>1749</v>
      </c>
      <c r="AC28">
        <v>76</v>
      </c>
      <c r="AD28">
        <v>57.1</v>
      </c>
      <c r="AE28">
        <v>0.05</v>
      </c>
      <c r="AF28">
        <v>24</v>
      </c>
      <c r="AG28">
        <v>52</v>
      </c>
      <c r="AH28">
        <v>44.85</v>
      </c>
      <c r="AI28">
        <v>12.2</v>
      </c>
      <c r="AJ28">
        <v>45.5</v>
      </c>
      <c r="AK28">
        <v>37.85</v>
      </c>
      <c r="AL28">
        <v>1.33</v>
      </c>
      <c r="AM28">
        <v>90</v>
      </c>
      <c r="AN28">
        <v>0</v>
      </c>
      <c r="AO28">
        <v>0</v>
      </c>
      <c r="AP28">
        <v>57.050000000000004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904.31</v>
      </c>
    </row>
    <row r="29" spans="1:59" hidden="1" x14ac:dyDescent="0.25">
      <c r="A29" t="s">
        <v>115</v>
      </c>
      <c r="B29">
        <v>160</v>
      </c>
      <c r="C29">
        <v>158.84</v>
      </c>
      <c r="D29">
        <v>158.84</v>
      </c>
      <c r="E29">
        <v>1</v>
      </c>
      <c r="F29">
        <v>3355.4949999999999</v>
      </c>
      <c r="G29">
        <v>1032.46</v>
      </c>
      <c r="H29">
        <v>0</v>
      </c>
      <c r="I29">
        <v>0</v>
      </c>
      <c r="J29">
        <v>0.87114845938375396</v>
      </c>
      <c r="K29">
        <v>3.2154340836012901E-2</v>
      </c>
      <c r="L29">
        <v>0</v>
      </c>
      <c r="M29">
        <v>0</v>
      </c>
      <c r="N29">
        <v>0.79262150591790503</v>
      </c>
      <c r="O29">
        <v>258.11500000000001</v>
      </c>
      <c r="P29">
        <v>152.74</v>
      </c>
      <c r="Q29">
        <v>27.2</v>
      </c>
      <c r="R29">
        <v>0</v>
      </c>
      <c r="S29">
        <v>4826.01</v>
      </c>
      <c r="T29">
        <v>150</v>
      </c>
      <c r="U29">
        <v>1032.46</v>
      </c>
      <c r="V29">
        <v>0</v>
      </c>
      <c r="W29">
        <v>0</v>
      </c>
      <c r="X29">
        <v>43</v>
      </c>
      <c r="Y29">
        <v>0</v>
      </c>
      <c r="Z29">
        <v>10</v>
      </c>
      <c r="AA29" s="2">
        <v>45649</v>
      </c>
      <c r="AB29" t="s">
        <v>1747</v>
      </c>
      <c r="AC29">
        <v>262</v>
      </c>
      <c r="AD29">
        <v>160.67000000000002</v>
      </c>
      <c r="AE29">
        <v>1.83</v>
      </c>
      <c r="AF29">
        <v>39</v>
      </c>
      <c r="AG29">
        <v>223</v>
      </c>
      <c r="AH29">
        <v>125.9</v>
      </c>
      <c r="AI29">
        <v>32.92</v>
      </c>
      <c r="AJ29">
        <v>68.3</v>
      </c>
      <c r="AK29">
        <v>53.64</v>
      </c>
      <c r="AL29">
        <v>4.83</v>
      </c>
      <c r="AM29">
        <v>311</v>
      </c>
      <c r="AN29">
        <v>3</v>
      </c>
      <c r="AO29">
        <v>10</v>
      </c>
      <c r="AP29">
        <v>48.37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150</v>
      </c>
      <c r="BE29">
        <v>0</v>
      </c>
      <c r="BF29">
        <v>158.84</v>
      </c>
      <c r="BG29">
        <v>3051.4300000000003</v>
      </c>
    </row>
    <row r="30" spans="1:59" hidden="1" x14ac:dyDescent="0.25">
      <c r="A30" t="s">
        <v>115</v>
      </c>
      <c r="B30">
        <v>50</v>
      </c>
      <c r="C30">
        <v>49.85</v>
      </c>
      <c r="D30">
        <v>49.85</v>
      </c>
      <c r="E30">
        <v>0.997</v>
      </c>
      <c r="F30">
        <v>1053.0812000000001</v>
      </c>
      <c r="G30">
        <v>324.02500000000003</v>
      </c>
      <c r="H30">
        <v>0</v>
      </c>
      <c r="I30">
        <v>0</v>
      </c>
      <c r="J30">
        <v>0.88888888888888895</v>
      </c>
      <c r="K30">
        <v>6.25E-2</v>
      </c>
      <c r="L30">
        <v>0</v>
      </c>
      <c r="M30">
        <v>0</v>
      </c>
      <c r="N30">
        <v>0.111735205616851</v>
      </c>
      <c r="O30">
        <v>0</v>
      </c>
      <c r="P30">
        <v>13.75</v>
      </c>
      <c r="Q30">
        <v>6</v>
      </c>
      <c r="R30">
        <v>0</v>
      </c>
      <c r="S30">
        <v>1396.8561999999999</v>
      </c>
      <c r="T30">
        <v>50</v>
      </c>
      <c r="U30">
        <v>324.02499999999998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45649</v>
      </c>
      <c r="AB30" t="s">
        <v>1746</v>
      </c>
      <c r="AC30">
        <v>13</v>
      </c>
      <c r="AD30">
        <v>50.02</v>
      </c>
      <c r="AE30">
        <v>0.17</v>
      </c>
      <c r="AF30">
        <v>0</v>
      </c>
      <c r="AG30">
        <v>13</v>
      </c>
      <c r="AH30">
        <v>5.57</v>
      </c>
      <c r="AI30">
        <v>44.28</v>
      </c>
      <c r="AJ30">
        <v>17.440000000000001</v>
      </c>
      <c r="AK30">
        <v>2.2400000000000002</v>
      </c>
      <c r="AL30">
        <v>0.26</v>
      </c>
      <c r="AM30">
        <v>16</v>
      </c>
      <c r="AN30">
        <v>2</v>
      </c>
      <c r="AO30">
        <v>1</v>
      </c>
      <c r="AP30">
        <v>0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49.85</v>
      </c>
      <c r="BG30">
        <v>138.04</v>
      </c>
    </row>
    <row r="31" spans="1:59" hidden="1" x14ac:dyDescent="0.25">
      <c r="A31" t="s">
        <v>115</v>
      </c>
      <c r="B31">
        <v>100</v>
      </c>
      <c r="C31">
        <v>101.98</v>
      </c>
      <c r="D31">
        <v>100</v>
      </c>
      <c r="E31">
        <v>1</v>
      </c>
      <c r="F31">
        <v>2112.5</v>
      </c>
      <c r="G31">
        <v>650</v>
      </c>
      <c r="H31">
        <v>0</v>
      </c>
      <c r="I31">
        <v>0</v>
      </c>
      <c r="J31">
        <v>0.99502487562189101</v>
      </c>
      <c r="K31">
        <v>7.0000000000000007E-2</v>
      </c>
      <c r="L31">
        <v>0</v>
      </c>
      <c r="M31">
        <v>0</v>
      </c>
      <c r="N31">
        <v>0.74593057462247503</v>
      </c>
      <c r="O31">
        <v>162.5</v>
      </c>
      <c r="P31">
        <v>141.54</v>
      </c>
      <c r="Q31">
        <v>5.4</v>
      </c>
      <c r="R31">
        <v>0</v>
      </c>
      <c r="S31">
        <v>3071.94</v>
      </c>
      <c r="T31">
        <v>100</v>
      </c>
      <c r="U31">
        <v>650</v>
      </c>
      <c r="V31">
        <v>0</v>
      </c>
      <c r="W31">
        <v>0</v>
      </c>
      <c r="X31">
        <v>0</v>
      </c>
      <c r="Y31">
        <v>0</v>
      </c>
      <c r="Z31">
        <v>0</v>
      </c>
      <c r="AA31" s="2">
        <v>45649</v>
      </c>
      <c r="AB31" t="s">
        <v>1787</v>
      </c>
      <c r="AC31">
        <v>161</v>
      </c>
      <c r="AD31">
        <v>102.21000000000001</v>
      </c>
      <c r="AE31">
        <v>0.23</v>
      </c>
      <c r="AF31">
        <v>22</v>
      </c>
      <c r="AG31">
        <v>139</v>
      </c>
      <c r="AH31">
        <v>76.069999999999993</v>
      </c>
      <c r="AI31">
        <v>25.91</v>
      </c>
      <c r="AJ31">
        <v>40.479999999999997</v>
      </c>
      <c r="AK31">
        <v>28.950000000000003</v>
      </c>
      <c r="AL31">
        <v>3.1500000000000004</v>
      </c>
      <c r="AM31">
        <v>200</v>
      </c>
      <c r="AN31">
        <v>1</v>
      </c>
      <c r="AO31">
        <v>14</v>
      </c>
      <c r="AP31">
        <v>50.370000000000005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100</v>
      </c>
      <c r="BE31">
        <v>0</v>
      </c>
      <c r="BF31">
        <v>100</v>
      </c>
      <c r="BG31">
        <v>1761.09</v>
      </c>
    </row>
    <row r="32" spans="1:59" hidden="1" x14ac:dyDescent="0.25">
      <c r="A32" t="s">
        <v>115</v>
      </c>
      <c r="B32">
        <v>53</v>
      </c>
      <c r="C32">
        <v>53.41</v>
      </c>
      <c r="D32">
        <v>53</v>
      </c>
      <c r="E32">
        <v>1</v>
      </c>
      <c r="F32">
        <v>1119.625</v>
      </c>
      <c r="G32">
        <v>344.5</v>
      </c>
      <c r="H32">
        <v>0</v>
      </c>
      <c r="I32">
        <v>0</v>
      </c>
      <c r="J32">
        <v>1</v>
      </c>
      <c r="K32">
        <v>0</v>
      </c>
      <c r="L32">
        <v>172.25</v>
      </c>
      <c r="M32">
        <v>0</v>
      </c>
      <c r="N32">
        <v>0.69799662984459798</v>
      </c>
      <c r="O32">
        <v>0</v>
      </c>
      <c r="P32">
        <v>55.81</v>
      </c>
      <c r="Q32">
        <v>0</v>
      </c>
      <c r="R32">
        <v>0</v>
      </c>
      <c r="S32">
        <v>1692.1849999999999</v>
      </c>
      <c r="T32">
        <v>50</v>
      </c>
      <c r="U32">
        <v>344.5</v>
      </c>
      <c r="V32">
        <v>53</v>
      </c>
      <c r="W32">
        <v>0</v>
      </c>
      <c r="X32">
        <v>0</v>
      </c>
      <c r="Y32">
        <v>172.25</v>
      </c>
      <c r="Z32">
        <v>3</v>
      </c>
      <c r="AA32" s="2">
        <v>45649</v>
      </c>
      <c r="AB32" t="s">
        <v>1751</v>
      </c>
      <c r="AC32">
        <v>54</v>
      </c>
      <c r="AD32">
        <v>53.41</v>
      </c>
      <c r="AE32">
        <v>0</v>
      </c>
      <c r="AF32">
        <v>14</v>
      </c>
      <c r="AG32">
        <v>40</v>
      </c>
      <c r="AH32">
        <v>37.28</v>
      </c>
      <c r="AI32">
        <v>16.14</v>
      </c>
      <c r="AJ32">
        <v>38.31</v>
      </c>
      <c r="AK32">
        <v>26.83</v>
      </c>
      <c r="AL32">
        <v>1.01</v>
      </c>
      <c r="AM32">
        <v>63</v>
      </c>
      <c r="AN32">
        <v>0</v>
      </c>
      <c r="AO32">
        <v>0</v>
      </c>
      <c r="AP32">
        <v>53.41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730.3</v>
      </c>
    </row>
    <row r="33" spans="1:59" hidden="1" x14ac:dyDescent="0.25">
      <c r="A33" t="s">
        <v>115</v>
      </c>
      <c r="B33">
        <v>50</v>
      </c>
      <c r="C33">
        <v>50.03</v>
      </c>
      <c r="D33">
        <v>50</v>
      </c>
      <c r="E33">
        <v>1</v>
      </c>
      <c r="F33">
        <v>1056.25</v>
      </c>
      <c r="G33">
        <v>325</v>
      </c>
      <c r="H33">
        <v>0</v>
      </c>
      <c r="I33">
        <v>0</v>
      </c>
      <c r="J33">
        <v>1</v>
      </c>
      <c r="K33">
        <v>4.47761194029851E-2</v>
      </c>
      <c r="L33">
        <v>0</v>
      </c>
      <c r="M33">
        <v>81.25</v>
      </c>
      <c r="N33">
        <v>0.58344993004197498</v>
      </c>
      <c r="O33">
        <v>0</v>
      </c>
      <c r="P33">
        <v>45.02</v>
      </c>
      <c r="Q33">
        <v>0</v>
      </c>
      <c r="R33">
        <v>0</v>
      </c>
      <c r="S33">
        <v>1507.52</v>
      </c>
      <c r="T33">
        <v>50</v>
      </c>
      <c r="U33">
        <v>325</v>
      </c>
      <c r="V33">
        <v>0</v>
      </c>
      <c r="W33">
        <v>50</v>
      </c>
      <c r="X33">
        <v>0</v>
      </c>
      <c r="Y33">
        <v>81.25</v>
      </c>
      <c r="Z33">
        <v>0</v>
      </c>
      <c r="AA33" s="2">
        <v>45649</v>
      </c>
      <c r="AB33" t="s">
        <v>1815</v>
      </c>
      <c r="AC33">
        <v>54</v>
      </c>
      <c r="AD33">
        <v>50.03</v>
      </c>
      <c r="AE33">
        <v>0</v>
      </c>
      <c r="AF33">
        <v>19</v>
      </c>
      <c r="AG33">
        <v>35</v>
      </c>
      <c r="AH33">
        <v>29.19</v>
      </c>
      <c r="AI33">
        <v>20.84</v>
      </c>
      <c r="AJ33">
        <v>37.49</v>
      </c>
      <c r="AK33">
        <v>24.53</v>
      </c>
      <c r="AL33">
        <v>1.08</v>
      </c>
      <c r="AM33">
        <v>67</v>
      </c>
      <c r="AN33">
        <v>0</v>
      </c>
      <c r="AO33">
        <v>3</v>
      </c>
      <c r="AP33">
        <v>0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631.01</v>
      </c>
    </row>
    <row r="34" spans="1:59" hidden="1" x14ac:dyDescent="0.25">
      <c r="A34" t="s">
        <v>115</v>
      </c>
      <c r="B34">
        <v>510</v>
      </c>
      <c r="C34">
        <v>509.03000000000003</v>
      </c>
      <c r="D34">
        <v>509.03000000000003</v>
      </c>
      <c r="E34">
        <v>0.99809803921568596</v>
      </c>
      <c r="F34">
        <v>10912.0761</v>
      </c>
      <c r="G34">
        <v>3357.5618800000002</v>
      </c>
      <c r="H34">
        <v>0</v>
      </c>
      <c r="I34">
        <v>0</v>
      </c>
      <c r="J34">
        <v>0.98223801065719396</v>
      </c>
      <c r="K34">
        <v>1.5370705244123E-2</v>
      </c>
      <c r="L34">
        <v>1678.7809</v>
      </c>
      <c r="M34">
        <v>0</v>
      </c>
      <c r="N34">
        <v>0.93279374496591505</v>
      </c>
      <c r="O34">
        <v>839.39049999999997</v>
      </c>
      <c r="P34">
        <v>758.28</v>
      </c>
      <c r="Q34">
        <v>68.7</v>
      </c>
      <c r="R34">
        <v>0</v>
      </c>
      <c r="S34">
        <v>17614.789400000001</v>
      </c>
      <c r="T34">
        <v>510</v>
      </c>
      <c r="U34">
        <v>3357.5619000000002</v>
      </c>
      <c r="V34">
        <v>509.03000000000003</v>
      </c>
      <c r="W34">
        <v>0</v>
      </c>
      <c r="X34">
        <v>6</v>
      </c>
      <c r="Y34">
        <v>1678.7809</v>
      </c>
      <c r="Z34">
        <v>0</v>
      </c>
      <c r="AA34" s="2">
        <v>45649</v>
      </c>
      <c r="AB34" t="s">
        <v>1600</v>
      </c>
      <c r="AC34">
        <v>955</v>
      </c>
      <c r="AD34">
        <v>517.31000000000006</v>
      </c>
      <c r="AE34">
        <v>8.2800000000000011</v>
      </c>
      <c r="AF34">
        <v>177</v>
      </c>
      <c r="AG34">
        <v>778</v>
      </c>
      <c r="AH34">
        <v>474.81999999999994</v>
      </c>
      <c r="AI34">
        <v>34.19</v>
      </c>
      <c r="AJ34">
        <v>247.41</v>
      </c>
      <c r="AK34">
        <v>223.01999999999998</v>
      </c>
      <c r="AL34">
        <v>20.37</v>
      </c>
      <c r="AM34">
        <v>1106</v>
      </c>
      <c r="AN34">
        <v>14</v>
      </c>
      <c r="AO34">
        <v>17</v>
      </c>
      <c r="AP34">
        <v>509.03000000000003</v>
      </c>
      <c r="AQ34">
        <v>0.1</v>
      </c>
      <c r="AR34">
        <v>0.05</v>
      </c>
      <c r="AS34">
        <v>0.7</v>
      </c>
      <c r="AT34">
        <v>32.979999999999997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510</v>
      </c>
      <c r="BE34">
        <v>0</v>
      </c>
      <c r="BF34">
        <v>0</v>
      </c>
      <c r="BG34">
        <v>11166.119999999999</v>
      </c>
    </row>
    <row r="35" spans="1:59" hidden="1" x14ac:dyDescent="0.25">
      <c r="A35" t="s">
        <v>115</v>
      </c>
      <c r="B35">
        <v>70</v>
      </c>
      <c r="C35">
        <v>69.92</v>
      </c>
      <c r="D35">
        <v>69.92</v>
      </c>
      <c r="E35">
        <v>1</v>
      </c>
      <c r="F35">
        <v>1477.06</v>
      </c>
      <c r="G35">
        <v>454.48</v>
      </c>
      <c r="H35">
        <v>0</v>
      </c>
      <c r="I35">
        <v>0</v>
      </c>
      <c r="J35">
        <v>1</v>
      </c>
      <c r="K35">
        <v>1.1111111111111099E-2</v>
      </c>
      <c r="L35">
        <v>227.24</v>
      </c>
      <c r="M35">
        <v>0</v>
      </c>
      <c r="N35">
        <v>0.59253432494279201</v>
      </c>
      <c r="O35">
        <v>0</v>
      </c>
      <c r="P35">
        <v>71.69</v>
      </c>
      <c r="Q35">
        <v>6</v>
      </c>
      <c r="R35">
        <v>0</v>
      </c>
      <c r="S35">
        <v>2236.4699999999998</v>
      </c>
      <c r="T35">
        <v>50</v>
      </c>
      <c r="U35">
        <v>454.48</v>
      </c>
      <c r="V35">
        <v>69.92</v>
      </c>
      <c r="W35">
        <v>0</v>
      </c>
      <c r="X35">
        <v>0</v>
      </c>
      <c r="Y35">
        <v>227.24</v>
      </c>
      <c r="Z35">
        <v>20</v>
      </c>
      <c r="AA35" s="2">
        <v>45649</v>
      </c>
      <c r="AB35" t="s">
        <v>1742</v>
      </c>
      <c r="AC35">
        <v>80</v>
      </c>
      <c r="AD35">
        <v>70.08</v>
      </c>
      <c r="AE35">
        <v>0.16</v>
      </c>
      <c r="AF35">
        <v>14</v>
      </c>
      <c r="AG35">
        <v>66</v>
      </c>
      <c r="AH35">
        <v>41.43</v>
      </c>
      <c r="AI35">
        <v>28.49</v>
      </c>
      <c r="AJ35">
        <v>38.35</v>
      </c>
      <c r="AK35">
        <v>24.44</v>
      </c>
      <c r="AL35">
        <v>1.1399999999999999</v>
      </c>
      <c r="AM35">
        <v>90</v>
      </c>
      <c r="AN35">
        <v>0</v>
      </c>
      <c r="AO35">
        <v>1</v>
      </c>
      <c r="AP35">
        <v>69.92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892.86</v>
      </c>
    </row>
    <row r="36" spans="1:59" hidden="1" x14ac:dyDescent="0.25">
      <c r="A36" t="s">
        <v>115</v>
      </c>
      <c r="B36">
        <v>50</v>
      </c>
      <c r="C36">
        <v>50.06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7.1428571428571397E-2</v>
      </c>
      <c r="L36">
        <v>0</v>
      </c>
      <c r="M36">
        <v>0</v>
      </c>
      <c r="N36">
        <v>0.66939672393128202</v>
      </c>
      <c r="O36">
        <v>0</v>
      </c>
      <c r="P36">
        <v>60.36</v>
      </c>
      <c r="Q36">
        <v>3.8</v>
      </c>
      <c r="R36">
        <v>0</v>
      </c>
      <c r="S36">
        <v>1445.41</v>
      </c>
      <c r="T36">
        <v>50</v>
      </c>
      <c r="U36">
        <v>325</v>
      </c>
      <c r="V36">
        <v>0</v>
      </c>
      <c r="W36">
        <v>0</v>
      </c>
      <c r="X36">
        <v>0</v>
      </c>
      <c r="Y36">
        <v>0</v>
      </c>
      <c r="Z36">
        <v>0</v>
      </c>
      <c r="AA36" s="2">
        <v>45649</v>
      </c>
      <c r="AB36" t="s">
        <v>1699</v>
      </c>
      <c r="AC36">
        <v>70</v>
      </c>
      <c r="AD36">
        <v>50.07</v>
      </c>
      <c r="AE36">
        <v>0.01</v>
      </c>
      <c r="AF36">
        <v>10</v>
      </c>
      <c r="AG36">
        <v>60</v>
      </c>
      <c r="AH36">
        <v>33.51</v>
      </c>
      <c r="AI36">
        <v>16.54</v>
      </c>
      <c r="AJ36">
        <v>15.75</v>
      </c>
      <c r="AK36">
        <v>11.36</v>
      </c>
      <c r="AL36">
        <v>1.4</v>
      </c>
      <c r="AM36">
        <v>84</v>
      </c>
      <c r="AN36">
        <v>0</v>
      </c>
      <c r="AO36">
        <v>6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50</v>
      </c>
      <c r="BG36">
        <v>816.34</v>
      </c>
    </row>
    <row r="37" spans="1:59" hidden="1" x14ac:dyDescent="0.25">
      <c r="A37" t="s">
        <v>115</v>
      </c>
      <c r="B37">
        <v>825</v>
      </c>
      <c r="C37">
        <v>824.95</v>
      </c>
      <c r="D37">
        <v>824.95</v>
      </c>
      <c r="E37">
        <v>1</v>
      </c>
      <c r="F37">
        <v>18499.503799999999</v>
      </c>
      <c r="G37">
        <v>5692.1550000000007</v>
      </c>
      <c r="H37">
        <v>0</v>
      </c>
      <c r="I37">
        <v>0</v>
      </c>
      <c r="J37">
        <v>0.92080253431890202</v>
      </c>
      <c r="K37">
        <v>4.7591743119266103E-2</v>
      </c>
      <c r="L37">
        <v>0</v>
      </c>
      <c r="M37">
        <v>1423.0388</v>
      </c>
      <c r="N37">
        <v>0.90229710891569204</v>
      </c>
      <c r="O37">
        <v>1423.0388</v>
      </c>
      <c r="P37">
        <v>1061.71</v>
      </c>
      <c r="Q37">
        <v>160.5</v>
      </c>
      <c r="R37">
        <v>0</v>
      </c>
      <c r="S37">
        <v>28259.9463</v>
      </c>
      <c r="T37">
        <v>800</v>
      </c>
      <c r="U37">
        <v>5692.1549999999997</v>
      </c>
      <c r="V37">
        <v>0</v>
      </c>
      <c r="W37">
        <v>824.95</v>
      </c>
      <c r="X37">
        <v>64</v>
      </c>
      <c r="Y37">
        <v>1423.0388</v>
      </c>
      <c r="Z37">
        <v>25</v>
      </c>
      <c r="AA37" s="2">
        <v>45649</v>
      </c>
      <c r="AB37" t="s">
        <v>1599</v>
      </c>
      <c r="AC37">
        <v>1436</v>
      </c>
      <c r="AD37">
        <v>831.04</v>
      </c>
      <c r="AE37">
        <v>6.089999999999999</v>
      </c>
      <c r="AF37">
        <v>242</v>
      </c>
      <c r="AG37">
        <v>1194</v>
      </c>
      <c r="AH37">
        <v>744.35</v>
      </c>
      <c r="AI37">
        <v>80.550000000000011</v>
      </c>
      <c r="AJ37">
        <v>292.80999999999995</v>
      </c>
      <c r="AK37">
        <v>260.54999999999995</v>
      </c>
      <c r="AL37">
        <v>49.13</v>
      </c>
      <c r="AM37">
        <v>1744</v>
      </c>
      <c r="AN37">
        <v>86</v>
      </c>
      <c r="AO37">
        <v>83</v>
      </c>
      <c r="AP37">
        <v>360.81000000000006</v>
      </c>
      <c r="AQ37">
        <v>0.1</v>
      </c>
      <c r="AR37">
        <v>0.05</v>
      </c>
      <c r="AS37">
        <v>0.7</v>
      </c>
      <c r="AT37">
        <v>34.5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800</v>
      </c>
      <c r="BE37">
        <v>0</v>
      </c>
      <c r="BF37">
        <v>0</v>
      </c>
      <c r="BG37">
        <v>17204.329999999998</v>
      </c>
    </row>
    <row r="38" spans="1:59" hidden="1" x14ac:dyDescent="0.25">
      <c r="A38" t="s">
        <v>115</v>
      </c>
      <c r="B38">
        <v>50</v>
      </c>
      <c r="C38">
        <v>50.05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1</v>
      </c>
      <c r="K38">
        <v>0</v>
      </c>
      <c r="L38">
        <v>162.5</v>
      </c>
      <c r="M38">
        <v>0</v>
      </c>
      <c r="N38">
        <v>0.72107892107892102</v>
      </c>
      <c r="O38">
        <v>81.25</v>
      </c>
      <c r="P38">
        <v>66</v>
      </c>
      <c r="Q38">
        <v>0</v>
      </c>
      <c r="R38">
        <v>0</v>
      </c>
      <c r="S38">
        <v>1691</v>
      </c>
      <c r="T38">
        <v>50</v>
      </c>
      <c r="U38">
        <v>325</v>
      </c>
      <c r="V38">
        <v>50</v>
      </c>
      <c r="W38">
        <v>0</v>
      </c>
      <c r="X38">
        <v>0</v>
      </c>
      <c r="Y38">
        <v>162.5</v>
      </c>
      <c r="Z38">
        <v>0</v>
      </c>
      <c r="AA38" s="2">
        <v>45649</v>
      </c>
      <c r="AB38" t="s">
        <v>1750</v>
      </c>
      <c r="AC38">
        <v>71</v>
      </c>
      <c r="AD38">
        <v>50.05</v>
      </c>
      <c r="AE38">
        <v>0</v>
      </c>
      <c r="AF38">
        <v>13</v>
      </c>
      <c r="AG38">
        <v>58</v>
      </c>
      <c r="AH38">
        <v>36.090000000000003</v>
      </c>
      <c r="AI38">
        <v>13.95</v>
      </c>
      <c r="AJ38">
        <v>18.87</v>
      </c>
      <c r="AK38">
        <v>15.3</v>
      </c>
      <c r="AL38">
        <v>1.42</v>
      </c>
      <c r="AM38">
        <v>76</v>
      </c>
      <c r="AN38">
        <v>0</v>
      </c>
      <c r="AO38">
        <v>0</v>
      </c>
      <c r="AP38">
        <v>50.05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781.02</v>
      </c>
    </row>
    <row r="39" spans="1:59" hidden="1" x14ac:dyDescent="0.25">
      <c r="A39" t="s">
        <v>115</v>
      </c>
      <c r="B39">
        <v>105</v>
      </c>
      <c r="C39">
        <v>101.62</v>
      </c>
      <c r="D39">
        <v>101.62</v>
      </c>
      <c r="E39">
        <v>1</v>
      </c>
      <c r="F39">
        <v>2146.7224999999999</v>
      </c>
      <c r="G39">
        <v>660.53</v>
      </c>
      <c r="H39">
        <v>0</v>
      </c>
      <c r="I39">
        <v>0</v>
      </c>
      <c r="J39">
        <v>1</v>
      </c>
      <c r="K39">
        <v>6.1349693251533796E-3</v>
      </c>
      <c r="L39">
        <v>330.26499999999999</v>
      </c>
      <c r="M39">
        <v>0</v>
      </c>
      <c r="N39">
        <v>0.64150757724857299</v>
      </c>
      <c r="O39">
        <v>0</v>
      </c>
      <c r="P39">
        <v>123.94</v>
      </c>
      <c r="Q39">
        <v>7.1</v>
      </c>
      <c r="R39">
        <v>0</v>
      </c>
      <c r="S39">
        <v>3268.5574999999999</v>
      </c>
      <c r="T39">
        <v>100</v>
      </c>
      <c r="U39">
        <v>660.53</v>
      </c>
      <c r="V39">
        <v>101.62</v>
      </c>
      <c r="W39">
        <v>0</v>
      </c>
      <c r="X39">
        <v>0</v>
      </c>
      <c r="Y39">
        <v>330.26499999999999</v>
      </c>
      <c r="Z39">
        <v>5</v>
      </c>
      <c r="AA39" s="2">
        <v>45649</v>
      </c>
      <c r="AB39" t="s">
        <v>1814</v>
      </c>
      <c r="AC39">
        <v>143</v>
      </c>
      <c r="AD39">
        <v>101.69999999999999</v>
      </c>
      <c r="AE39">
        <v>0.08</v>
      </c>
      <c r="AF39">
        <v>24</v>
      </c>
      <c r="AG39">
        <v>119</v>
      </c>
      <c r="AH39">
        <v>65.19</v>
      </c>
      <c r="AI39">
        <v>36.42</v>
      </c>
      <c r="AJ39">
        <v>43.03</v>
      </c>
      <c r="AK39">
        <v>29.6</v>
      </c>
      <c r="AL39">
        <v>2.8099999999999996</v>
      </c>
      <c r="AM39">
        <v>163</v>
      </c>
      <c r="AN39">
        <v>0</v>
      </c>
      <c r="AO39">
        <v>1</v>
      </c>
      <c r="AP39">
        <v>101.62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100</v>
      </c>
      <c r="BE39">
        <v>0</v>
      </c>
      <c r="BF39">
        <v>0</v>
      </c>
      <c r="BG39">
        <v>1509.05</v>
      </c>
    </row>
    <row r="40" spans="1:59" hidden="1" x14ac:dyDescent="0.25">
      <c r="A40" t="s">
        <v>115</v>
      </c>
      <c r="B40">
        <v>50</v>
      </c>
      <c r="C40">
        <v>44.510000000000005</v>
      </c>
      <c r="D40">
        <v>44.510000000000005</v>
      </c>
      <c r="E40">
        <v>0.89019999999999999</v>
      </c>
      <c r="F40">
        <v>0</v>
      </c>
      <c r="G40">
        <v>0</v>
      </c>
      <c r="H40">
        <v>0</v>
      </c>
      <c r="I40">
        <v>0</v>
      </c>
      <c r="J40">
        <v>0.98387096774193605</v>
      </c>
      <c r="K40">
        <v>0</v>
      </c>
      <c r="L40">
        <v>0</v>
      </c>
      <c r="M40">
        <v>0</v>
      </c>
      <c r="N40">
        <v>0.83419456301954598</v>
      </c>
      <c r="O40">
        <v>0</v>
      </c>
      <c r="P40">
        <v>124.74</v>
      </c>
      <c r="Q40">
        <v>6</v>
      </c>
      <c r="R40">
        <v>1084.3499999999999</v>
      </c>
      <c r="S40">
        <v>1215.0899999999999</v>
      </c>
      <c r="T40">
        <v>50</v>
      </c>
      <c r="U40">
        <v>0</v>
      </c>
      <c r="V40">
        <v>44.510000000000005</v>
      </c>
      <c r="W40">
        <v>0</v>
      </c>
      <c r="X40">
        <v>1</v>
      </c>
      <c r="Y40">
        <v>0</v>
      </c>
      <c r="Z40">
        <v>0</v>
      </c>
      <c r="AA40" s="2">
        <v>45649</v>
      </c>
      <c r="AB40" t="s">
        <v>1667</v>
      </c>
      <c r="AC40">
        <v>70</v>
      </c>
      <c r="AD40">
        <v>48.92</v>
      </c>
      <c r="AE40">
        <v>4.41</v>
      </c>
      <c r="AF40">
        <v>17</v>
      </c>
      <c r="AG40">
        <v>53</v>
      </c>
      <c r="AH40">
        <v>37.130000000000003</v>
      </c>
      <c r="AI40">
        <v>7.37</v>
      </c>
      <c r="AJ40">
        <v>20.76</v>
      </c>
      <c r="AK40">
        <v>14.29</v>
      </c>
      <c r="AL40">
        <v>1.43</v>
      </c>
      <c r="AM40">
        <v>61</v>
      </c>
      <c r="AN40">
        <v>0</v>
      </c>
      <c r="AO40">
        <v>0</v>
      </c>
      <c r="AP40">
        <v>44.510000000000005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50</v>
      </c>
      <c r="BE40">
        <v>0</v>
      </c>
      <c r="BF40">
        <v>0</v>
      </c>
      <c r="BG40">
        <v>1084.3499999999999</v>
      </c>
    </row>
    <row r="41" spans="1:59" hidden="1" x14ac:dyDescent="0.25">
      <c r="A41" t="s">
        <v>115</v>
      </c>
      <c r="B41">
        <v>55</v>
      </c>
      <c r="C41">
        <v>53.23</v>
      </c>
      <c r="D41">
        <v>53.23</v>
      </c>
      <c r="E41">
        <v>1</v>
      </c>
      <c r="F41">
        <v>1124.4838</v>
      </c>
      <c r="G41">
        <v>345.995</v>
      </c>
      <c r="H41">
        <v>0</v>
      </c>
      <c r="I41">
        <v>0</v>
      </c>
      <c r="J41">
        <v>0.97916666666666596</v>
      </c>
      <c r="K41">
        <v>1.0638297872340399E-2</v>
      </c>
      <c r="L41">
        <v>172.9975</v>
      </c>
      <c r="M41">
        <v>0</v>
      </c>
      <c r="N41">
        <v>0.713319556640992</v>
      </c>
      <c r="O41">
        <v>86.498800000000003</v>
      </c>
      <c r="P41">
        <v>84.74</v>
      </c>
      <c r="Q41">
        <v>6</v>
      </c>
      <c r="R41">
        <v>0</v>
      </c>
      <c r="S41">
        <v>1820.7149999999999</v>
      </c>
      <c r="T41">
        <v>50</v>
      </c>
      <c r="U41">
        <v>345.995</v>
      </c>
      <c r="V41">
        <v>53.23</v>
      </c>
      <c r="W41">
        <v>0</v>
      </c>
      <c r="X41">
        <v>2</v>
      </c>
      <c r="Y41">
        <v>172.9975</v>
      </c>
      <c r="Z41">
        <v>5</v>
      </c>
      <c r="AA41" s="2">
        <v>45649</v>
      </c>
      <c r="AB41" t="s">
        <v>1812</v>
      </c>
      <c r="AC41">
        <v>79</v>
      </c>
      <c r="AD41">
        <v>53.51</v>
      </c>
      <c r="AE41">
        <v>0.28000000000000003</v>
      </c>
      <c r="AF41">
        <v>6</v>
      </c>
      <c r="AG41">
        <v>73</v>
      </c>
      <c r="AH41">
        <v>37.97</v>
      </c>
      <c r="AI41">
        <v>15.26</v>
      </c>
      <c r="AJ41">
        <v>9.24</v>
      </c>
      <c r="AK41">
        <v>6.51</v>
      </c>
      <c r="AL41">
        <v>1.48</v>
      </c>
      <c r="AM41">
        <v>94</v>
      </c>
      <c r="AN41">
        <v>0</v>
      </c>
      <c r="AO41">
        <v>1</v>
      </c>
      <c r="AP41">
        <v>53.23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0</v>
      </c>
      <c r="BG41">
        <v>874.32</v>
      </c>
    </row>
    <row r="42" spans="1:59" hidden="1" x14ac:dyDescent="0.25">
      <c r="A42" t="s">
        <v>115</v>
      </c>
      <c r="B42">
        <v>61</v>
      </c>
      <c r="C42">
        <v>61.13</v>
      </c>
      <c r="D42">
        <v>61</v>
      </c>
      <c r="E42">
        <v>1</v>
      </c>
      <c r="F42">
        <v>1288.625</v>
      </c>
      <c r="G42">
        <v>396.5</v>
      </c>
      <c r="H42">
        <v>0</v>
      </c>
      <c r="I42">
        <v>0</v>
      </c>
      <c r="J42">
        <v>0.98888888888888904</v>
      </c>
      <c r="K42">
        <v>0</v>
      </c>
      <c r="L42">
        <v>198.25</v>
      </c>
      <c r="M42">
        <v>0</v>
      </c>
      <c r="N42">
        <v>0.68984132177326996</v>
      </c>
      <c r="O42">
        <v>0</v>
      </c>
      <c r="P42">
        <v>74.39</v>
      </c>
      <c r="Q42">
        <v>0</v>
      </c>
      <c r="R42">
        <v>0</v>
      </c>
      <c r="S42">
        <v>1957.7650000000001</v>
      </c>
      <c r="T42">
        <v>50</v>
      </c>
      <c r="U42">
        <v>396.5</v>
      </c>
      <c r="V42">
        <v>61</v>
      </c>
      <c r="W42">
        <v>0</v>
      </c>
      <c r="X42">
        <v>0</v>
      </c>
      <c r="Y42">
        <v>198.25</v>
      </c>
      <c r="Z42">
        <v>11</v>
      </c>
      <c r="AA42" s="2">
        <v>45649</v>
      </c>
      <c r="AB42" t="s">
        <v>1748</v>
      </c>
      <c r="AC42">
        <v>86</v>
      </c>
      <c r="AD42">
        <v>61.13</v>
      </c>
      <c r="AE42">
        <v>0</v>
      </c>
      <c r="AF42">
        <v>9</v>
      </c>
      <c r="AG42">
        <v>77</v>
      </c>
      <c r="AH42">
        <v>42.17</v>
      </c>
      <c r="AI42">
        <v>18.96</v>
      </c>
      <c r="AJ42">
        <v>19.79</v>
      </c>
      <c r="AK42">
        <v>13.77</v>
      </c>
      <c r="AL42">
        <v>1.41</v>
      </c>
      <c r="AM42">
        <v>89</v>
      </c>
      <c r="AN42">
        <v>1</v>
      </c>
      <c r="AO42">
        <v>0</v>
      </c>
      <c r="AP42">
        <v>61.13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50</v>
      </c>
      <c r="BE42">
        <v>0</v>
      </c>
      <c r="BF42">
        <v>0</v>
      </c>
      <c r="BG42">
        <v>1029.2</v>
      </c>
    </row>
    <row r="43" spans="1:59" hidden="1" x14ac:dyDescent="0.25">
      <c r="A43" t="s">
        <v>115</v>
      </c>
      <c r="B43">
        <v>461</v>
      </c>
      <c r="C43">
        <v>461.48999999999995</v>
      </c>
      <c r="D43">
        <v>461</v>
      </c>
      <c r="E43">
        <v>1</v>
      </c>
      <c r="F43">
        <v>9738.625</v>
      </c>
      <c r="G43">
        <v>2996.5</v>
      </c>
      <c r="H43">
        <v>0</v>
      </c>
      <c r="I43">
        <v>0</v>
      </c>
      <c r="J43">
        <v>0.90297542043984502</v>
      </c>
      <c r="K43">
        <v>3.1518624641833803E-2</v>
      </c>
      <c r="L43">
        <v>0</v>
      </c>
      <c r="M43">
        <v>0</v>
      </c>
      <c r="N43">
        <v>0.70996121259398903</v>
      </c>
      <c r="O43">
        <v>749.125</v>
      </c>
      <c r="P43">
        <v>586.95000000000005</v>
      </c>
      <c r="Q43">
        <v>54.8</v>
      </c>
      <c r="R43">
        <v>0</v>
      </c>
      <c r="S43">
        <v>14126</v>
      </c>
      <c r="T43">
        <v>425</v>
      </c>
      <c r="U43">
        <v>2996.5</v>
      </c>
      <c r="V43">
        <v>0</v>
      </c>
      <c r="W43">
        <v>0</v>
      </c>
      <c r="X43">
        <v>69</v>
      </c>
      <c r="Y43">
        <v>0</v>
      </c>
      <c r="Z43">
        <v>36</v>
      </c>
      <c r="AA43" s="2">
        <v>45649</v>
      </c>
      <c r="AB43" t="s">
        <v>1670</v>
      </c>
      <c r="AC43">
        <v>616</v>
      </c>
      <c r="AD43">
        <v>471.84999999999997</v>
      </c>
      <c r="AE43">
        <v>10.36</v>
      </c>
      <c r="AF43">
        <v>125</v>
      </c>
      <c r="AG43">
        <v>491</v>
      </c>
      <c r="AH43">
        <v>327.64</v>
      </c>
      <c r="AI43">
        <v>133.85</v>
      </c>
      <c r="AJ43">
        <v>220.32</v>
      </c>
      <c r="AK43">
        <v>169.54999999999998</v>
      </c>
      <c r="AL43">
        <v>11.86</v>
      </c>
      <c r="AM43">
        <v>698</v>
      </c>
      <c r="AN43">
        <v>6</v>
      </c>
      <c r="AO43">
        <v>22</v>
      </c>
      <c r="AP43">
        <v>219.47000000000003</v>
      </c>
      <c r="AQ43">
        <v>0.1</v>
      </c>
      <c r="AR43">
        <v>0.05</v>
      </c>
      <c r="AS43">
        <v>0.7</v>
      </c>
      <c r="AT43">
        <v>32.5</v>
      </c>
      <c r="AU43">
        <v>0</v>
      </c>
      <c r="AV43">
        <v>0.65</v>
      </c>
      <c r="AW43">
        <v>0.98</v>
      </c>
      <c r="AX43">
        <v>0.96</v>
      </c>
      <c r="AY43">
        <v>0.94</v>
      </c>
      <c r="AZ43">
        <v>0.2</v>
      </c>
      <c r="BA43">
        <v>0.1</v>
      </c>
      <c r="BB43">
        <v>0.05</v>
      </c>
      <c r="BC43">
        <v>0.05</v>
      </c>
      <c r="BD43">
        <v>425</v>
      </c>
      <c r="BE43">
        <v>0</v>
      </c>
      <c r="BF43">
        <v>461</v>
      </c>
      <c r="BG43">
        <v>7339.3200000000006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2"/>
  <sheetViews>
    <sheetView workbookViewId="0">
      <selection activeCell="E2" sqref="E2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  <row r="2" spans="1:7" x14ac:dyDescent="0.25">
      <c r="C2" t="s">
        <v>2145</v>
      </c>
      <c r="E2">
        <v>0.02</v>
      </c>
      <c r="F2">
        <v>0</v>
      </c>
      <c r="G2" t="s">
        <v>114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v>9709.6200000000008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v>309</v>
      </c>
      <c r="Y4" s="9" t="s">
        <v>49</v>
      </c>
      <c r="Z4" s="10">
        <v>927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173</v>
      </c>
      <c r="D6" s="4">
        <v>173.22</v>
      </c>
      <c r="E6" s="4">
        <v>173</v>
      </c>
      <c r="F6" s="58">
        <v>1</v>
      </c>
      <c r="G6" s="66">
        <v>3654.63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281.13</v>
      </c>
      <c r="O6" s="77">
        <v>0.84984412885348104</v>
      </c>
      <c r="P6" s="8">
        <v>281.13</v>
      </c>
      <c r="Q6" s="8">
        <v>144.33000000000001</v>
      </c>
      <c r="R6" s="8">
        <v>15.9</v>
      </c>
      <c r="S6" s="8">
        <v>0</v>
      </c>
      <c r="T6" s="8">
        <v>5501.61</v>
      </c>
      <c r="U6" s="6"/>
      <c r="V6" s="46" t="s">
        <v>55</v>
      </c>
      <c r="W6" s="47">
        <v>309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160</v>
      </c>
      <c r="D7" s="4">
        <v>158.84</v>
      </c>
      <c r="E7" s="4">
        <v>158.84</v>
      </c>
      <c r="F7" s="58">
        <v>1</v>
      </c>
      <c r="G7" s="66">
        <v>3355.5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258.12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v>927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333</v>
      </c>
      <c r="D8" s="21">
        <v>332.06</v>
      </c>
      <c r="E8" s="21">
        <v>331.84000000000003</v>
      </c>
      <c r="F8" s="67"/>
      <c r="G8" s="76">
        <v>7010.12</v>
      </c>
      <c r="H8" s="22">
        <v>2156.96</v>
      </c>
      <c r="I8" s="22">
        <v>0</v>
      </c>
      <c r="J8" s="22">
        <v>0</v>
      </c>
      <c r="K8" s="21"/>
      <c r="L8" s="78"/>
      <c r="M8" s="22">
        <v>0</v>
      </c>
      <c r="N8" s="22">
        <v>281.13</v>
      </c>
      <c r="O8" s="78"/>
      <c r="P8" s="22">
        <v>539.24</v>
      </c>
      <c r="Q8" s="22">
        <v>297.07</v>
      </c>
      <c r="R8" s="22">
        <v>43.1</v>
      </c>
      <c r="S8" s="22">
        <v>0</v>
      </c>
      <c r="T8" s="22">
        <v>10327.620000000001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45642</v>
      </c>
      <c r="C12" s="6" t="s">
        <v>2047</v>
      </c>
      <c r="D12" s="6" t="s">
        <v>2048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">
        <v>2047</v>
      </c>
      <c r="D13" s="6" t="s">
        <v>2048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">
        <v>2059</v>
      </c>
      <c r="D14" s="6" t="s">
        <v>2060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">
        <v>2059</v>
      </c>
      <c r="D15" s="6" t="s">
        <v>2060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">
        <v>1933</v>
      </c>
      <c r="D16" s="6" t="s">
        <v>1931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">
        <v>1933</v>
      </c>
      <c r="D17" s="6" t="s">
        <v>1931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3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H20" s="80"/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2110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2071</v>
      </c>
      <c r="B24">
        <v>12200</v>
      </c>
      <c r="C24" t="s">
        <v>2111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1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2112</v>
      </c>
      <c r="C95" t="s">
        <v>21</v>
      </c>
      <c r="D95" t="s">
        <v>22</v>
      </c>
      <c r="E95" t="s">
        <v>2110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2113</v>
      </c>
      <c r="C127" t="s">
        <v>21</v>
      </c>
      <c r="D127" t="s">
        <v>22</v>
      </c>
      <c r="E127" t="s">
        <v>2110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2018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1962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1963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1964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1965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1961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1966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1967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1968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1969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1970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1971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1972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1973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1974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1999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2000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2019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2020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2021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2030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2031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2032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2033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2062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2063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2064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2065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2066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2067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2068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2069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2070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2071</v>
      </c>
      <c r="B186" t="s">
        <v>2071</v>
      </c>
      <c r="C186" t="s">
        <v>21</v>
      </c>
      <c r="D186" t="s">
        <v>22</v>
      </c>
      <c r="E186" t="s">
        <v>2111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2072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2073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2074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2075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2076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2077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2078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2114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2115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2116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2117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2118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2119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2146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2147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C:\Users\USER\Desktop\DIV12\RAW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256EB5-9A20-477D-8D59-157D4903B530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3.xml><?xml version="1.0" encoding="utf-8"?>
<ds:datastoreItem xmlns:ds="http://schemas.openxmlformats.org/officeDocument/2006/customXml" ds:itemID="{437B226D-CA15-4C32-8734-BE0F1E29FFB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B78D2B0-78B5-44F7-BAAA-6CB2A71961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2025-02-28T02:53:31Z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