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DIV12_Analysis\"/>
    </mc:Choice>
  </mc:AlternateContent>
  <xr:revisionPtr revIDLastSave="0" documentId="13_ncr:1_{FE80F52B-0513-45FD-B46B-02329DA59584}" xr6:coauthVersionLast="47" xr6:coauthVersionMax="47" xr10:uidLastSave="{00000000-0000-0000-0000-000000000000}"/>
  <bookViews>
    <workbookView xWindow="-120" yWindow="-120" windowWidth="29040" windowHeight="15840" firstSheet="2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nm._FilterDatabase" localSheetId="9" hidden="1">Sheet1!$R$3:$R$44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Div2PartnerList!$A$1:$T$209</definedName>
    <definedName name="ExternalData_1" localSheetId="7" hidden="1">FirstReport!$A$1:$R$1144</definedName>
    <definedName name="ExternalData_1" localSheetId="10" hidden="1">SumVDPMVReport!$A$1:$BG$40</definedName>
    <definedName name="ExternalData_1" localSheetId="11" hidden="1">TollsChecks!$A$1:$F$2</definedName>
    <definedName name="ExternalData_2" localSheetId="3" hidden="1">'Deduction and other Revenue'!$A$1:$Q$56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VDPMVReport!$A$1:$AH$172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42" i="21" l="1"/>
  <c r="S41" i="21"/>
  <c r="S40" i="21"/>
  <c r="S39" i="21"/>
  <c r="S38" i="21"/>
  <c r="S37" i="21"/>
  <c r="S36" i="21"/>
  <c r="S35" i="21"/>
  <c r="S34" i="21"/>
  <c r="S33" i="21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Y36" i="21"/>
  <c r="Y35" i="21"/>
  <c r="Y34" i="21"/>
  <c r="Y33" i="21"/>
  <c r="Y32" i="21"/>
  <c r="Y31" i="21"/>
  <c r="Y30" i="21"/>
  <c r="L45" i="21" l="1"/>
  <c r="R42" i="21"/>
  <c r="R41" i="21"/>
  <c r="R40" i="21"/>
  <c r="R39" i="21"/>
  <c r="R38" i="21"/>
  <c r="R37" i="21"/>
  <c r="R36" i="21"/>
  <c r="R35" i="21"/>
  <c r="R34" i="21"/>
  <c r="R33" i="21"/>
  <c r="R32" i="21"/>
  <c r="R31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AA38" i="21" l="1"/>
  <c r="AA37" i="21"/>
  <c r="AA42" i="21"/>
  <c r="AA41" i="21"/>
  <c r="AA40" i="21"/>
  <c r="AA39" i="21"/>
  <c r="AA36" i="21"/>
  <c r="AA35" i="21"/>
  <c r="AA34" i="21"/>
  <c r="AA33" i="21"/>
  <c r="AA32" i="21"/>
  <c r="AA31" i="21"/>
  <c r="AA30" i="21"/>
  <c r="AA29" i="21"/>
  <c r="Y29" i="21"/>
  <c r="AA28" i="21"/>
  <c r="Y28" i="21"/>
  <c r="AA27" i="21"/>
  <c r="Y27" i="21"/>
  <c r="AA26" i="21"/>
  <c r="Y26" i="21"/>
  <c r="AA25" i="21"/>
  <c r="Y25" i="21"/>
  <c r="AA24" i="21"/>
  <c r="Y24" i="21"/>
  <c r="AA23" i="21"/>
  <c r="Y23" i="21"/>
  <c r="AA22" i="21"/>
  <c r="Y22" i="21"/>
  <c r="AA21" i="21"/>
  <c r="Y21" i="21"/>
  <c r="AA20" i="21"/>
  <c r="Y20" i="21"/>
  <c r="AA19" i="21"/>
  <c r="Y19" i="21"/>
  <c r="AA18" i="21"/>
  <c r="Y18" i="21"/>
  <c r="AA17" i="21"/>
  <c r="Y17" i="21"/>
  <c r="AA16" i="21"/>
  <c r="Y16" i="21"/>
  <c r="AA15" i="21"/>
  <c r="AA14" i="21"/>
  <c r="AA13" i="21"/>
  <c r="AA12" i="21"/>
  <c r="AA11" i="21"/>
  <c r="AA10" i="21"/>
  <c r="AA9" i="21"/>
  <c r="AA8" i="21"/>
  <c r="AA7" i="21"/>
  <c r="AA6" i="21"/>
  <c r="AA5" i="21"/>
  <c r="AA4" i="21"/>
  <c r="Q15" i="21"/>
  <c r="Q16" i="21"/>
  <c r="Q17" i="21"/>
  <c r="Q18" i="21"/>
  <c r="Q19" i="21"/>
  <c r="Q20" i="21"/>
  <c r="Q21" i="21"/>
  <c r="Q22" i="21"/>
  <c r="Q23" i="21"/>
  <c r="Q24" i="21"/>
  <c r="Q25" i="21"/>
  <c r="Q26" i="21"/>
  <c r="Q27" i="21"/>
  <c r="Q30" i="21"/>
  <c r="Q31" i="21"/>
  <c r="Q32" i="21"/>
  <c r="Q33" i="21"/>
  <c r="Q34" i="21"/>
  <c r="Q35" i="21"/>
  <c r="Q36" i="21"/>
  <c r="Q37" i="21"/>
  <c r="Q38" i="21"/>
  <c r="Q40" i="21"/>
  <c r="Q41" i="21"/>
  <c r="Q42" i="21"/>
  <c r="Y15" i="21" l="1"/>
  <c r="Y14" i="21"/>
  <c r="Y13" i="21"/>
  <c r="Y12" i="21"/>
  <c r="Y11" i="21"/>
  <c r="Y10" i="21"/>
  <c r="Y9" i="21"/>
  <c r="Y8" i="21"/>
  <c r="Y7" i="21"/>
  <c r="Y6" i="21"/>
  <c r="Y5" i="21"/>
  <c r="Y4" i="21"/>
  <c r="Q13" i="21" l="1"/>
  <c r="Q12" i="21"/>
  <c r="Q10" i="21"/>
  <c r="Q9" i="21"/>
  <c r="Q8" i="21"/>
  <c r="Q7" i="21"/>
  <c r="Q6" i="21"/>
  <c r="E43" i="21" l="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<sst xmlns="http://schemas.openxmlformats.org/spreadsheetml/2006/main" count="11102" uniqueCount="2176">
  <si>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</si>
  <si>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</si>
  <si>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</si>
  <si>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</si>
  <si>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</si>
  <si>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</si>
  <si>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</si>
  <si>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</si>
  <si>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</si>
  <si>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</si>
  <si>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</si>
  <si>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</si>
  <si>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</si>
  <si>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</si>
  <si>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</si>
  <si>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</si>
  <si>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</si>
  <si>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</si>
  <si>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</si>
  <si>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</si>
  <si>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</si>
  <si>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</si>
  <si>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</si>
  <si>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</si>
  <si>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</si>
  <si>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</si>
  <si>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</si>
  <si>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</si>
  <si>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</si>
  <si>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</si>
  <si>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</si>
  <si>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</si>
  <si>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</si>
  <si>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</si>
  <si>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</si>
  <si>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</si>
  <si>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</si>
  <si>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</si>
  <si>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</si>
  <si>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</si>
  <si>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</si>
  <si>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</si>
  <si>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</si>
  <si>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</si>
  <si>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</si>
  <si>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</si>
  <si>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</si>
  <si>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</si>
  <si>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</si>
  <si>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</si>
  <si>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</si>
  <si>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</si>
  <si>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</si>
  <si>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</si>
  <si>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</si>
  <si>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</si>
  <si>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</si>
  <si>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</si>
  <si>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</si>
  <si>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</si>
  <si>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</si>
  <si>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</si>
  <si>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</si>
  <si>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</si>
  <si>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</si>
  <si>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</si>
  <si>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</si>
  <si>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</si>
  <si>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</si>
  <si>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</si>
  <si>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</si>
  <si>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</si>
  <si>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</si>
  <si>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</si>
  <si>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</si>
  <si>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</si>
  <si>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</si>
  <si>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</si>
  <si>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</si>
  <si>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</si>
  <si>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</si>
  <si>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</si>
  <si>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</si>
  <si>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</si>
  <si>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</si>
  <si>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</si>
  <si>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</si>
  <si>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</si>
  <si>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</si>
  <si>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</si>
  <si>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</si>
  <si>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</si>
  <si>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</si>
  <si>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</si>
  <si>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</si>
  <si>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</si>
  <si>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</si>
  <si>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</si>
  <si>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</si>
  <si>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</si>
  <si>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</si>
  <si>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</si>
  <si>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</si>
  <si>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</si>
  <si>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</si>
  <si>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</si>
  <si>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</si>
  <si>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</si>
  <si>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</si>
  <si>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</si>
  <si>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</si>
  <si>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</si>
  <si>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</si>
  <si>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</si>
  <si>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</si>
  <si>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</si>
  <si>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</si>
  <si>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</si>
  <si>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</si>
  <si>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</si>
  <si>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</si>
  <si>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</si>
  <si>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</si>
  <si>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</si>
  <si>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</si>
  <si>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</si>
  <si>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</si>
  <si>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</si>
  <si>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</si>
  <si>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</si>
  <si>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</si>
  <si>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</si>
  <si>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</si>
  <si>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</si>
  <si>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</si>
  <si>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</si>
  <si>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</si>
  <si>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</si>
  <si>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</si>
  <si>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</si>
  <si>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</si>
  <si>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</si>
  <si>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</si>
  <si>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</si>
  <si>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</si>
  <si>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</si>
  <si>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</si>
  <si>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</si>
  <si>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</si>
  <si>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</si>
  <si>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</si>
  <si>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</si>
  <si>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</si>
  <si>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</si>
  <si>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</si>
  <si>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</si>
  <si>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</si>
  <si>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</si>
  <si>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</si>
  <si>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</si>
  <si>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</si>
  <si>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</si>
  <si>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</si>
  <si>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</si>
  <si>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</si>
  <si>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</si>
  <si>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</si>
  <si>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</si>
  <si>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</si>
  <si>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</si>
  <si>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</si>
  <si>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</si>
  <si>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</si>
  <si>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</si>
  <si>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</si>
  <si>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</si>
  <si>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</si>
  <si>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</si>
  <si>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</si>
  <si>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</si>
  <si>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</si>
  <si>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</si>
  <si>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</si>
  <si>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</si>
  <si>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</si>
  <si>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</si>
  <si>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</si>
  <si>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</si>
  <si>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</si>
  <si>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</si>
  <si>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</si>
  <si>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</si>
  <si>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</si>
  <si>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</si>
  <si>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</si>
  <si>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</si>
  <si>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</si>
  <si>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</si>
  <si>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</si>
  <si>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</si>
  <si>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</si>
  <si>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</si>
  <si>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</si>
  <si>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</si>
  <si>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</si>
  <si>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</si>
  <si>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</si>
  <si>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</si>
  <si>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</si>
  <si>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</si>
  <si>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</si>
  <si>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</si>
  <si>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</si>
  <si>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</si>
  <si>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</si>
  <si>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</si>
  <si>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</si>
  <si>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</si>
  <si>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</si>
  <si>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</si>
  <si>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</si>
  <si>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</si>
  <si>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</si>
  <si>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</si>
  <si>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</si>
  <si>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</si>
  <si>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</si>
  <si>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</si>
  <si>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</si>
  <si>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</si>
  <si>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</si>
  <si>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</si>
  <si>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</si>
  <si>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</si>
  <si>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</si>
  <si>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</si>
  <si>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</si>
  <si>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</si>
  <si>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</si>
  <si>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</si>
  <si>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</si>
  <si>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</si>
  <si>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</si>
  <si>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</si>
  <si>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</si>
  <si>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</si>
  <si>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</si>
  <si>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</si>
  <si>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</si>
  <si>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</si>
  <si>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</si>
  <si>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</si>
  <si>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</si>
  <si>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</si>
  <si>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</si>
  <si>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</si>
  <si>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</si>
  <si>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</si>
  <si>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</si>
  <si>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</si>
  <si>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</si>
  <si>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</si>
  <si>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</si>
  <si>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</si>
  <si>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</si>
  <si>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</si>
  <si>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</si>
  <si>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</si>
  <si>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</si>
  <si>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</si>
  <si>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</si>
  <si>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</si>
  <si>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</si>
  <si>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</si>
  <si>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</si>
  <si>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</si>
  <si>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</si>
  <si>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</si>
  <si>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</si>
  <si>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</si>
  <si>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</si>
  <si>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</si>
  <si>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</si>
  <si>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</si>
  <si>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</si>
  <si>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</si>
  <si>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</si>
  <si>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</si>
  <si>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</si>
  <si>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</si>
  <si>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</si>
  <si>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</si>
  <si>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</si>
  <si>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</si>
  <si>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</si>
  <si>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</si>
  <si>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</si>
  <si>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</si>
  <si>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</si>
  <si>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</si>
  <si>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</si>
  <si>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</si>
  <si>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</si>
  <si>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</si>
  <si>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</si>
  <si>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</si>
  <si>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</si>
  <si>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</si>
  <si>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</si>
  <si>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</si>
  <si>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</si>
  <si>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</si>
  <si>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</si>
  <si>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</si>
  <si>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</si>
  <si>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</si>
  <si>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</si>
  <si>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</si>
  <si>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</si>
  <si>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</si>
  <si>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</si>
  <si>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</si>
  <si>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</si>
  <si>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</si>
  <si>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</si>
  <si>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</si>
  <si>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</si>
  <si>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</si>
  <si>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</si>
  <si>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</si>
  <si>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</si>
  <si>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</si>
  <si>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</si>
  <si>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</si>
  <si>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</si>
  <si>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</si>
  <si>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</si>
  <si>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</si>
  <si>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</si>
  <si>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</si>
  <si>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</si>
  <si>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</si>
  <si>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</si>
  <si>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</si>
  <si>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</si>
  <si>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</si>
  <si>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</si>
  <si>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</si>
  <si>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</si>
  <si>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</si>
  <si>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</si>
  <si>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</si>
  <si>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</si>
  <si>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</si>
  <si>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</si>
  <si>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</si>
  <si>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</si>
  <si>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</si>
  <si>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</si>
  <si>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</si>
  <si>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</si>
  <si>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</si>
  <si>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</si>
  <si>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</si>
  <si>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</si>
  <si>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</si>
  <si>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</si>
  <si>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</si>
  <si>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</si>
  <si>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</si>
  <si>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</si>
  <si>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</si>
  <si>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</si>
  <si>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</si>
  <si>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</si>
  <si>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</si>
  <si>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</si>
  <si>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</si>
  <si>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</si>
  <si>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</si>
  <si>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</si>
  <si>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</si>
  <si>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</si>
  <si>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</si>
  <si>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</si>
  <si>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</si>
  <si>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</si>
  <si>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</si>
  <si>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</si>
  <si>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</si>
  <si>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</si>
  <si>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</si>
  <si>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</si>
  <si>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</si>
  <si>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</si>
  <si>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</si>
  <si>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</si>
  <si>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</si>
  <si>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</si>
  <si>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</si>
  <si>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</si>
  <si>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</si>
  <si>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</si>
  <si>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</si>
  <si>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</si>
  <si>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</si>
  <si>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</si>
  <si>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</si>
  <si>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</si>
  <si>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</si>
  <si>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</si>
  <si>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</si>
  <si>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</si>
  <si>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</si>
  <si>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</si>
  <si>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</si>
  <si>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</si>
  <si>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</si>
  <si>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</si>
  <si>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</si>
  <si>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</si>
  <si>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</si>
  <si>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</si>
  <si>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</si>
  <si>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</si>
  <si>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</si>
  <si>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</si>
  <si>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</si>
  <si>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</si>
  <si>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</si>
  <si>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</si>
  <si>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</si>
  <si>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</si>
  <si>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</si>
  <si>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</si>
  <si>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</si>
  <si>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</si>
  <si>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</si>
  <si>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</si>
  <si>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</si>
  <si>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</si>
  <si>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</si>
  <si>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</si>
  <si>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</si>
  <si>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</si>
  <si>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</si>
  <si>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</si>
  <si>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</si>
  <si>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</si>
  <si>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</si>
  <si>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</si>
  <si>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</si>
  <si>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</si>
  <si>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</si>
  <si>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</si>
  <si>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</si>
  <si>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</si>
  <si>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</si>
  <si>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</si>
  <si>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</si>
  <si>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</si>
  <si>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</si>
  <si>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</si>
  <si>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</si>
  <si>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</si>
  <si>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</si>
  <si>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</si>
  <si>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</si>
  <si>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</si>
  <si>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</si>
  <si>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</si>
  <si>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</si>
  <si>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</si>
  <si>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</si>
  <si>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</si>
  <si>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</si>
  <si>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</si>
  <si>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</si>
  <si>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</si>
  <si>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</si>
  <si>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</si>
  <si>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</si>
  <si>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</si>
  <si>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</si>
  <si>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</si>
  <si>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</si>
  <si>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</si>
  <si>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</si>
  <si>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</si>
  <si>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</si>
  <si>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</si>
  <si>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</si>
  <si>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</si>
  <si>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</si>
  <si>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</si>
  <si>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</si>
  <si>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</si>
  <si>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</si>
  <si>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</si>
  <si>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</si>
  <si>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</si>
  <si>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</si>
  <si>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</si>
  <si>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</si>
  <si>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</si>
  <si>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</si>
  <si>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</si>
  <si>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</si>
  <si>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</si>
  <si>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</si>
  <si>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</si>
  <si>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</si>
  <si>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</si>
  <si>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</si>
  <si>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</si>
  <si>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</si>
  <si>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</si>
  <si>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</si>
  <si>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</si>
  <si>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</si>
  <si>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</si>
  <si>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</si>
  <si>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</si>
  <si>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</si>
  <si>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</si>
  <si>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</si>
  <si>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</si>
  <si>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</si>
  <si>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</si>
  <si>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</si>
  <si>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</si>
  <si>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</si>
  <si>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</si>
  <si>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</si>
  <si>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</si>
  <si>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</si>
  <si>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</si>
  <si>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</si>
  <si>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</si>
  <si>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</si>
  <si>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</si>
  <si>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</si>
  <si>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</si>
  <si>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</si>
  <si>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</si>
  <si>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</si>
  <si>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</si>
  <si>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</si>
  <si>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</si>
  <si>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</si>
  <si>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</si>
  <si>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</si>
  <si>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</si>
  <si>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</si>
  <si>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</si>
  <si>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</si>
  <si>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</si>
  <si>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</si>
  <si>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</si>
  <si>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</si>
  <si>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</si>
  <si>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</si>
  <si>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</si>
  <si>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</si>
  <si>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</si>
  <si>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</si>
  <si>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</si>
  <si>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</si>
  <si>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</si>
  <si>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</si>
  <si>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</si>
  <si>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</si>
  <si>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</si>
  <si>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</si>
  <si>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</si>
  <si>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</si>
  <si>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</si>
  <si>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</si>
  <si>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</si>
  <si>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</si>
  <si>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</si>
  <si>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</si>
  <si>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</si>
  <si>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</si>
  <si>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</si>
  <si>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</si>
  <si>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</si>
  <si>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</si>
  <si>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</si>
  <si>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</si>
  <si>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</si>
  <si>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</si>
  <si>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</si>
  <si>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</si>
  <si>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</si>
  <si>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</si>
  <si>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</si>
  <si>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</si>
  <si>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</si>
  <si>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</si>
  <si>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</si>
  <si>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</si>
  <si>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</si>
  <si>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</si>
  <si>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</si>
  <si>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</si>
  <si>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</si>
  <si>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</si>
  <si>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</si>
  <si>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</si>
  <si>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</si>
  <si>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</si>
  <si>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</si>
  <si>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</si>
  <si>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</si>
  <si>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</si>
  <si>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</si>
  <si>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</si>
  <si>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</si>
  <si>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</si>
  <si>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</si>
  <si>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</si>
  <si>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</si>
  <si>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</si>
  <si>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</si>
  <si>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</si>
  <si>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</si>
  <si>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</si>
  <si>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</si>
  <si>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</si>
  <si>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</si>
  <si>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</si>
  <si>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</si>
  <si>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</si>
  <si>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</si>
  <si>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</si>
  <si>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</si>
  <si>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</si>
  <si>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</si>
  <si>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</si>
  <si>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</si>
  <si>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</si>
  <si>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</si>
  <si>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</si>
  <si>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</si>
  <si>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</si>
  <si>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</si>
  <si>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</si>
  <si>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</si>
  <si>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</si>
  <si>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</si>
  <si>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</si>
  <si>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</si>
  <si>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</si>
  <si>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</si>
  <si>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</si>
  <si>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</si>
  <si>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</si>
  <si>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</si>
  <si>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</si>
  <si>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</si>
  <si>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</si>
  <si>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</si>
  <si>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</si>
  <si>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</si>
  <si>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</si>
  <si>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</si>
  <si>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</si>
  <si>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</si>
  <si>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</si>
  <si>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</si>
  <si>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</si>
  <si>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</si>
  <si>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</si>
  <si>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</si>
  <si>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</si>
  <si>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</si>
  <si>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</si>
  <si>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</si>
  <si>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</si>
  <si>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</si>
  <si>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</si>
  <si>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</si>
  <si>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</si>
  <si>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</si>
  <si>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</si>
  <si>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</si>
  <si>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</si>
  <si>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</si>
  <si>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</si>
  <si>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</si>
  <si>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</si>
  <si>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</si>
  <si>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</si>
  <si>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</si>
  <si>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</si>
  <si>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</si>
  <si>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</si>
  <si>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</si>
  <si>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</si>
  <si>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</si>
  <si>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</si>
  <si>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</si>
  <si>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</si>
  <si>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</si>
  <si>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</si>
  <si>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</si>
  <si>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</si>
  <si>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</si>
  <si>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</si>
  <si>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</si>
  <si>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</si>
  <si>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</si>
  <si>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</si>
  <si>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</si>
  <si>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</si>
  <si>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</si>
  <si>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</si>
  <si>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</si>
  <si>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</si>
  <si>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</si>
  <si>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</si>
  <si>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</si>
  <si>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</si>
  <si>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</si>
  <si>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</si>
  <si>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</si>
  <si>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</si>
  <si>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</si>
  <si>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</si>
  <si>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</si>
  <si>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</si>
  <si>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</si>
  <si>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</si>
  <si>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</si>
  <si>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</si>
  <si>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</si>
  <si>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</si>
  <si>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</si>
  <si>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</si>
  <si>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</si>
  <si>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</si>
  <si>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</si>
  <si>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</si>
  <si>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</si>
  <si>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</si>
  <si>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</si>
  <si>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</si>
  <si>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</si>
  <si>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</si>
  <si>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</si>
  <si>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</si>
  <si>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</si>
  <si>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</si>
  <si>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</si>
  <si>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</si>
  <si>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</si>
  <si>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</si>
  <si>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</si>
  <si>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</si>
  <si>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</si>
  <si>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</si>
  <si>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</si>
  <si>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</si>
  <si>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</si>
  <si>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</si>
  <si>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</si>
  <si>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</si>
  <si>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</si>
  <si>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</si>
  <si>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</si>
  <si>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</si>
  <si>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</si>
  <si>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</si>
  <si>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</si>
  <si>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</si>
  <si>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</si>
  <si>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</si>
  <si>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</si>
  <si>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</si>
  <si>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</si>
  <si>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</si>
  <si>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</si>
  <si>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</si>
  <si>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</si>
  <si>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</si>
  <si>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</si>
  <si>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</si>
  <si>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</si>
  <si>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</si>
  <si>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</si>
  <si>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</si>
  <si>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</si>
  <si>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</si>
  <si>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</si>
  <si>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</si>
  <si>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</si>
  <si>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</si>
  <si>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</si>
  <si>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</si>
  <si>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</si>
  <si>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</si>
  <si>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</si>
  <si>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</si>
  <si>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</si>
  <si>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</si>
  <si>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</si>
  <si>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</si>
  <si>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</si>
  <si>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</si>
  <si>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</si>
  <si>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</si>
  <si>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</si>
  <si>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</si>
  <si>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</si>
  <si>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</si>
  <si>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</si>
  <si>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</si>
  <si>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</si>
  <si>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</si>
  <si>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</si>
  <si>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</si>
  <si>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</si>
  <si>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</si>
  <si>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</si>
  <si>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</si>
  <si>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</si>
  <si>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</si>
  <si>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</si>
  <si>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</si>
  <si>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</si>
  <si>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</si>
  <si>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</si>
  <si>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</si>
  <si>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</si>
  <si>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</si>
  <si>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</si>
  <si>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</si>
  <si>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</si>
  <si>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</si>
  <si>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</si>
  <si>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</si>
  <si>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</si>
  <si>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</si>
  <si>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</si>
  <si>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</si>
  <si>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</si>
  <si>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</si>
  <si>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</si>
  <si>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</si>
  <si>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</si>
  <si>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</si>
  <si>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</si>
  <si>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</si>
  <si>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</si>
  <si>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</si>
  <si>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</si>
  <si>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</si>
  <si>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</si>
  <si>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</si>
  <si>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</si>
  <si>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</si>
  <si>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</si>
  <si>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</si>
  <si>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</si>
  <si>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</si>
  <si>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</si>
  <si>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</si>
  <si>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</si>
  <si>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</si>
  <si>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</si>
  <si>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</si>
  <si>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</si>
  <si>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</si>
  <si>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</si>
  <si>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</si>
  <si>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</si>
  <si>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</si>
  <si>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</si>
  <si>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</si>
  <si>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</si>
  <si>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</si>
  <si>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</si>
  <si>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</si>
  <si>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</si>
  <si>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</si>
  <si>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</si>
  <si>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</si>
  <si>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</si>
  <si>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</si>
  <si>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</si>
  <si>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</si>
  <si>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</si>
  <si>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</si>
  <si>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</si>
  <si>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</si>
  <si>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</si>
  <si>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</si>
  <si>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</si>
  <si>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</si>
  <si>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</si>
  <si>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</si>
  <si>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</si>
  <si>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</si>
  <si>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</si>
  <si>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</si>
  <si>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</si>
  <si>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</si>
  <si>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</si>
  <si>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</si>
  <si>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</si>
  <si>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</si>
  <si>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</si>
  <si>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</si>
  <si>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</si>
  <si>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</si>
  <si>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</si>
  <si>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</si>
  <si>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</si>
  <si>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</si>
  <si>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</si>
  <si>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</si>
  <si>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</si>
  <si>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</si>
  <si>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</si>
  <si>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</si>
  <si>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</si>
  <si>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</si>
  <si>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</si>
  <si>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</si>
  <si>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</si>
  <si>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</si>
  <si>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</si>
  <si>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</si>
  <si>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</si>
  <si>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</si>
  <si>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</si>
  <si>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</si>
  <si>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</si>
  <si>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</si>
  <si>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</si>
  <si>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</si>
  <si>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</si>
  <si>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</si>
  <si>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</si>
  <si>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</si>
  <si>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</si>
  <si>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</si>
  <si>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</si>
  <si>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</si>
  <si>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</si>
  <si>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</si>
  <si>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</si>
  <si>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</si>
  <si>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</si>
  <si>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</si>
  <si>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</si>
  <si>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</si>
  <si>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</si>
  <si>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</si>
  <si>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</si>
  <si>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</si>
  <si>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</si>
  <si>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</si>
  <si>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</si>
  <si>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</si>
  <si>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</si>
  <si>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</si>
  <si>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</si>
  <si>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</si>
  <si>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</si>
  <si>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</si>
  <si>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</si>
  <si>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</si>
  <si>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</si>
  <si>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</si>
  <si>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</si>
  <si>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</si>
  <si>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</si>
  <si>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</si>
  <si>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</si>
  <si>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</si>
  <si>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</si>
  <si>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</si>
  <si>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</si>
  <si>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</si>
  <si>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</si>
  <si>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</si>
  <si>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</si>
  <si>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</si>
  <si>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</si>
  <si>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</si>
  <si>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</si>
  <si>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</si>
  <si>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</si>
  <si>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</si>
  <si>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</si>
  <si>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</si>
  <si>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</si>
  <si>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</si>
  <si>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</si>
  <si>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</si>
  <si>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</si>
  <si>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</si>
  <si>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</si>
  <si>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</si>
  <si>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</si>
  <si>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</si>
  <si>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</si>
  <si>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</si>
  <si>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</si>
  <si>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</si>
  <si>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</si>
  <si>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</si>
  <si>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</si>
  <si>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</si>
  <si>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</si>
  <si>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</si>
  <si>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</si>
  <si>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</si>
  <si>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</si>
  <si>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</si>
  <si>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</si>
  <si>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</si>
  <si>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</si>
  <si>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</si>
  <si>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</si>
  <si>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</si>
  <si>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</si>
  <si>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</si>
  <si>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</si>
  <si>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</si>
  <si>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</si>
  <si>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</si>
  <si>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</si>
  <si>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</si>
  <si>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</si>
  <si>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</si>
  <si>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</si>
  <si>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</si>
  <si>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</si>
  <si>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</si>
  <si>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</si>
  <si>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</si>
  <si>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</si>
  <si>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</si>
  <si>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</si>
  <si>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</si>
  <si>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</si>
  <si>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</si>
  <si>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</si>
  <si>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</si>
  <si>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</si>
  <si>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</si>
  <si>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</si>
  <si>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</si>
  <si>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</si>
  <si>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</si>
  <si>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</si>
  <si>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</si>
  <si>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</si>
  <si>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</si>
  <si>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</si>
  <si>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</si>
  <si>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</si>
  <si>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</si>
  <si>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</si>
  <si>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</si>
  <si>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</si>
  <si>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</si>
  <si>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</si>
  <si>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</si>
  <si>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</si>
  <si>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</si>
  <si>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</si>
  <si>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</si>
  <si>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</si>
  <si>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</si>
  <si>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</si>
  <si>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</si>
  <si>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</si>
  <si>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</si>
  <si>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</si>
  <si>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</si>
  <si>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</si>
  <si>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</si>
  <si>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</si>
  <si>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</si>
  <si>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</si>
  <si>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</si>
  <si>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</si>
  <si>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</si>
  <si>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</si>
  <si>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</si>
  <si>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</si>
  <si>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</si>
  <si>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</si>
  <si>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</si>
  <si>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</si>
  <si>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</si>
  <si>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</si>
  <si>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</si>
  <si>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</si>
  <si>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</si>
  <si>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</si>
  <si>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</si>
  <si>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</si>
  <si>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</si>
  <si>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</si>
  <si>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</si>
  <si>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</si>
  <si>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</si>
  <si>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</si>
  <si>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</si>
  <si>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</si>
  <si>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</si>
  <si>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</si>
  <si>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</si>
  <si>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</si>
  <si>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</si>
  <si>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</si>
  <si>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</si>
  <si>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</si>
  <si>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</si>
  <si>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</si>
  <si>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</si>
  <si>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</si>
  <si>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</si>
  <si>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</si>
  <si>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</si>
  <si>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</si>
  <si>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</si>
  <si>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</si>
  <si>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</si>
  <si>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</si>
  <si>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</si>
  <si>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</si>
  <si>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</si>
  <si>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</si>
  <si>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</si>
  <si>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</si>
  <si>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</si>
  <si>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</si>
  <si>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</si>
  <si>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</si>
  <si>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</si>
  <si>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</si>
  <si>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</si>
  <si>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</si>
  <si>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</si>
  <si>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</si>
  <si>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</si>
  <si>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</si>
  <si>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</si>
  <si>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</si>
  <si>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</si>
  <si>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</si>
  <si>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</si>
  <si>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</si>
  <si>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</si>
  <si>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</si>
  <si>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</si>
  <si>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</si>
  <si>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</si>
  <si>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</si>
  <si>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</si>
  <si>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</si>
  <si>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</si>
  <si>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</si>
  <si>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</si>
  <si>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</si>
  <si>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</si>
  <si>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</si>
  <si>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</si>
  <si>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</si>
  <si>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</si>
  <si>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</si>
  <si>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</si>
  <si>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</si>
  <si>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</si>
  <si>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</si>
  <si>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</si>
  <si>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</si>
  <si>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</si>
  <si>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</si>
  <si>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</si>
  <si>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</si>
  <si>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</si>
  <si>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</si>
  <si>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</si>
  <si>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</si>
  <si>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</si>
  <si>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</si>
  <si>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</si>
  <si>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</si>
  <si>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</si>
  <si>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</si>
  <si>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</si>
  <si>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</si>
  <si>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</si>
  <si>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</si>
  <si>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</si>
  <si>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</si>
  <si>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</si>
  <si>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</si>
  <si>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</si>
  <si>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</si>
  <si>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</si>
  <si>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</si>
  <si>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</si>
  <si>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</si>
  <si>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</si>
  <si>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</si>
  <si>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</si>
  <si>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</si>
  <si>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</si>
  <si>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</si>
  <si>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</si>
  <si>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</si>
  <si>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</si>
  <si>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</si>
  <si>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</si>
  <si>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</si>
  <si>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</si>
  <si>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</si>
  <si>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</si>
  <si>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</si>
  <si>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</si>
  <si>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</si>
  <si>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</si>
  <si>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</si>
  <si>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</si>
  <si>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</si>
  <si>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</si>
  <si>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</si>
  <si>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</si>
  <si>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</si>
  <si>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</si>
  <si>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</si>
  <si>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</si>
  <si>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</si>
  <si>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</si>
  <si>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</si>
  <si>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</si>
  <si>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</si>
  <si>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</si>
  <si>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</si>
  <si>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</si>
  <si>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</si>
  <si>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</si>
  <si>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</si>
  <si>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</si>
  <si>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</si>
  <si>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</si>
  <si>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</si>
  <si>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</si>
  <si>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</si>
  <si>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</si>
  <si>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</si>
  <si>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</si>
  <si>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</si>
  <si>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</si>
  <si>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</si>
  <si>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</si>
  <si>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</si>
  <si>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</si>
  <si>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</si>
  <si>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</si>
  <si>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</si>
  <si>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</si>
  <si>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</si>
  <si>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</si>
  <si>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</si>
  <si>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</si>
  <si>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</si>
  <si>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</si>
  <si>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</si>
  <si>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</si>
  <si>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</si>
  <si>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</si>
  <si>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</si>
  <si>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</si>
  <si>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</si>
  <si>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</si>
  <si>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</si>
  <si>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</si>
  <si>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</si>
  <si>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</si>
  <si>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</si>
  <si>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</si>
  <si>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</si>
  <si>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</si>
  <si>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</si>
  <si>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</si>
  <si>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</si>
  <si>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</si>
  <si>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</si>
  <si>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</si>
  <si>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</si>
  <si>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</si>
  <si>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</si>
  <si>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</si>
  <si>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</si>
  <si>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</si>
  <si>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</si>
  <si>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</si>
  <si>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</si>
  <si>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</si>
  <si>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</si>
  <si>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</si>
  <si>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</si>
  <si>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</si>
  <si>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</si>
  <si>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</si>
  <si>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</si>
  <si>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</si>
  <si>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</si>
  <si>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</si>
  <si>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</si>
  <si>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</si>
  <si>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</si>
  <si>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</si>
  <si>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</si>
  <si>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</si>
  <si>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</si>
  <si>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</si>
  <si>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</si>
  <si>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</si>
  <si>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</si>
  <si>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</si>
  <si>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</si>
  <si>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</si>
  <si>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</si>
  <si>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</si>
  <si>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</si>
  <si>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</si>
  <si>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</si>
  <si>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</si>
  <si>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</si>
  <si>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</si>
  <si>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</si>
  <si>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</si>
  <si>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</si>
  <si>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</si>
  <si>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</si>
  <si>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</si>
  <si>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</si>
  <si>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</si>
  <si>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</si>
  <si>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</si>
  <si>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</si>
  <si>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</si>
  <si>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</si>
  <si>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</si>
  <si>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</si>
  <si>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</si>
  <si>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</si>
  <si>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</si>
  <si>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</si>
  <si>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</si>
  <si>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</si>
  <si>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</si>
  <si>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</si>
  <si>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</si>
  <si>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</si>
  <si>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</si>
  <si>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</si>
  <si>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</si>
  <si>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</si>
  <si>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</si>
  <si>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</si>
  <si>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</si>
  <si>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</si>
  <si>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</si>
  <si>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</si>
  <si>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</si>
  <si>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</si>
  <si>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</si>
  <si>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</si>
  <si>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</si>
  <si>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</si>
  <si>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</si>
  <si>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</si>
  <si>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</si>
  <si>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</si>
  <si>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</si>
  <si>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</si>
  <si>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</si>
  <si>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</si>
  <si>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</si>
  <si>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</si>
  <si>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</si>
  <si>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</si>
  <si>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</si>
  <si>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</si>
  <si>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</si>
  <si>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</si>
  <si>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</si>
  <si>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</si>
  <si>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</si>
  <si>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</si>
  <si>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</si>
  <si>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</si>
  <si>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</si>
  <si>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</si>
  <si>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</si>
  <si>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</si>
  <si>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</si>
  <si>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</si>
  <si>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</si>
  <si>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</si>
  <si>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</si>
  <si>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</si>
  <si>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</si>
  <si>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</si>
  <si>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</si>
  <si>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</si>
  <si>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</si>
  <si>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</si>
  <si>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</si>
  <si>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</si>
  <si>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</si>
  <si>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</si>
  <si>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</si>
  <si>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</si>
  <si>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</si>
  <si>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</si>
  <si>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</si>
  <si>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</si>
  <si>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</si>
  <si>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</si>
  <si>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</si>
  <si>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</si>
  <si>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</si>
  <si>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</si>
  <si>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</si>
  <si>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</si>
  <si>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</si>
  <si>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</si>
  <si>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</si>
  <si>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</si>
  <si>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</si>
  <si>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</si>
  <si>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</si>
  <si>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</si>
  <si>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</si>
  <si>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</si>
  <si>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</si>
  <si>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</si>
  <si>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</si>
  <si>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</si>
  <si>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</si>
  <si>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</si>
  <si>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</si>
  <si>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</si>
  <si>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</si>
  <si>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</si>
  <si>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</si>
  <si>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</si>
  <si>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</si>
  <si>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</si>
  <si>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</si>
  <si>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</si>
  <si>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</si>
  <si>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</si>
  <si>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</si>
  <si>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</si>
  <si>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</si>
  <si>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</si>
  <si>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</si>
  <si>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</si>
  <si>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</si>
  <si>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</si>
  <si>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</si>
  <si>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</si>
  <si>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</si>
  <si>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</si>
  <si>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</si>
  <si>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</si>
  <si>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</si>
  <si>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</si>
  <si>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</si>
  <si>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</si>
  <si>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</si>
  <si>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</si>
  <si>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</si>
  <si>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</si>
  <si>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</si>
  <si>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</si>
  <si>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</si>
  <si>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</si>
  <si>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</si>
  <si>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</si>
  <si>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</si>
  <si>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</si>
  <si>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</si>
  <si>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</si>
  <si>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</si>
  <si>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</si>
  <si>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</si>
  <si>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</si>
  <si>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</si>
  <si>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</si>
  <si>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</si>
  <si>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</si>
  <si>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</si>
  <si>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</si>
  <si>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</si>
  <si>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</si>
  <si>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</si>
  <si>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</si>
  <si>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</si>
  <si>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</si>
  <si>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</si>
  <si>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</si>
  <si>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</si>
  <si>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</si>
  <si>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</si>
  <si>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</si>
  <si>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</si>
  <si>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</si>
  <si>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</si>
  <si>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</si>
  <si>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</si>
  <si>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</si>
  <si>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</si>
  <si>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</si>
  <si>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</si>
  <si>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</si>
  <si>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</si>
  <si>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</si>
  <si>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</si>
  <si>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</si>
  <si>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</si>
  <si>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</si>
  <si>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</si>
  <si>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</si>
  <si>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</si>
  <si>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</si>
  <si>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</si>
  <si>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</si>
  <si>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</si>
  <si>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</si>
  <si>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</si>
  <si>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</si>
  <si>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</si>
  <si>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</si>
  <si>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</si>
  <si>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</si>
  <si>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</si>
  <si>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</si>
  <si>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</si>
  <si>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</si>
  <si>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</si>
  <si>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</si>
  <si>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</si>
  <si>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</si>
  <si>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</si>
  <si>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</si>
  <si>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</si>
  <si>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</si>
  <si>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</si>
  <si>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</si>
  <si>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</si>
  <si>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</si>
  <si>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</si>
  <si>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</si>
  <si>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</si>
  <si>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</si>
  <si>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</si>
  <si>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</si>
  <si>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</si>
  <si>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</si>
  <si>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</si>
  <si>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</si>
  <si>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</si>
  <si>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</si>
  <si>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</si>
  <si>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</si>
  <si>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</si>
  <si>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</si>
  <si>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</si>
  <si>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</si>
  <si>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</si>
  <si>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</si>
  <si>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</si>
  <si>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</si>
  <si>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</si>
  <si>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</si>
  <si>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</si>
  <si>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</si>
  <si>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</si>
  <si>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</si>
  <si>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</si>
  <si>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</si>
  <si>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</si>
  <si>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</si>
  <si>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</si>
  <si>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</si>
  <si>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</si>
  <si>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</si>
  <si>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</si>
  <si>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</si>
  <si>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</si>
  <si>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</si>
  <si>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</si>
  <si>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</si>
  <si>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</si>
  <si>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</si>
  <si>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</si>
  <si>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</si>
  <si>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</si>
  <si>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</si>
  <si>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</si>
  <si>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</si>
  <si>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</si>
  <si>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</si>
  <si>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</si>
  <si>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</si>
  <si>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</si>
  <si>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</si>
  <si>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</si>
  <si>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</si>
  <si>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</si>
  <si>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</si>
  <si>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</si>
  <si>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</si>
  <si>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</si>
  <si>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</si>
  <si>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</si>
  <si>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</si>
  <si>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</si>
  <si>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</si>
  <si>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</si>
  <si>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</si>
  <si>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</si>
  <si>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</si>
  <si>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</si>
  <si>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</si>
  <si>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</si>
  <si>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</si>
  <si>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</si>
  <si>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</si>
  <si>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</si>
  <si>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</si>
  <si>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</si>
  <si>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</si>
  <si>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</si>
  <si>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</si>
  <si>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</si>
  <si>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</si>
  <si>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</si>
  <si>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</si>
  <si>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</si>
  <si>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</si>
  <si>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</si>
  <si>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</si>
  <si>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</si>
  <si>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</si>
  <si>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</si>
  <si>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</si>
  <si>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</si>
  <si>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</si>
  <si>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</si>
  <si>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</si>
  <si>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</si>
  <si>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</si>
  <si>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</si>
  <si>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</si>
  <si>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</si>
  <si>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</si>
  <si>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</si>
  <si>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</si>
  <si>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</si>
  <si>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</si>
  <si>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</si>
  <si>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</si>
  <si>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</si>
  <si>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</si>
  <si>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</si>
  <si>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</si>
  <si>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</si>
  <si>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</si>
  <si>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</si>
  <si>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</si>
  <si>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</si>
  <si>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</si>
  <si>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</si>
  <si>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</si>
  <si>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</si>
  <si>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</si>
  <si>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</si>
  <si>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</si>
  <si>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</si>
  <si>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</si>
  <si>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</si>
  <si>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</si>
  <si>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</si>
  <si>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</si>
  <si>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</si>
  <si>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</si>
  <si>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</si>
  <si>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</si>
  <si>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</si>
  <si>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</si>
  <si>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</si>
  <si>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</si>
  <si>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</si>
  <si>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</si>
  <si>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</si>
  <si>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</si>
  <si>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</si>
  <si>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</si>
  <si>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</si>
  <si>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</si>
  <si>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</si>
  <si>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</si>
  <si>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</si>
  <si>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</si>
  <si>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</si>
  <si>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</si>
  <si>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</si>
  <si>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</si>
  <si>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</si>
  <si>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</si>
  <si>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</si>
  <si>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</si>
  <si>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</si>
  <si>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</si>
  <si>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</si>
  <si>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</si>
  <si>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</si>
  <si>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</si>
  <si>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</si>
  <si>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</si>
  <si>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</si>
  <si>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</si>
  <si>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</si>
  <si>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</si>
  <si>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</si>
  <si>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</si>
  <si>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</si>
  <si>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</si>
  <si>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</si>
  <si>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</si>
  <si>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</si>
  <si>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</si>
  <si>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</si>
  <si>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</si>
  <si>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</si>
  <si>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</si>
  <si>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</si>
  <si>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</si>
  <si>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</si>
  <si>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</si>
  <si>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</si>
  <si>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</si>
  <si>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</si>
  <si>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</si>
  <si>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</si>
  <si>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</si>
  <si>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</si>
  <si>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</si>
  <si>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</si>
  <si>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</si>
  <si>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</si>
  <si>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</si>
  <si>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</si>
  <si>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</si>
  <si>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</si>
  <si>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</si>
  <si>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</si>
  <si>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</si>
  <si>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</si>
  <si>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</si>
  <si>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</si>
  <si>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</si>
  <si>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</si>
  <si>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</si>
  <si>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</si>
  <si>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</si>
  <si>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</si>
  <si>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</si>
  <si>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</si>
  <si>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</si>
  <si>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</si>
  <si>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</si>
  <si>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</si>
  <si>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</si>
  <si>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</si>
  <si>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</si>
  <si>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</si>
  <si>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</si>
  <si>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</si>
  <si>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</si>
  <si>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</si>
  <si>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</si>
  <si>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</si>
  <si>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</si>
  <si>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</si>
  <si>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</si>
  <si>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</si>
  <si>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</si>
  <si>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</si>
  <si>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</si>
  <si>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</si>
  <si>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</si>
  <si>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</si>
  <si>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</si>
  <si>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</si>
  <si>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</si>
  <si>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</si>
  <si>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</si>
  <si>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</si>
  <si>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</si>
  <si>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</si>
  <si>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</si>
  <si>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</si>
  <si>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</si>
  <si>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</si>
  <si>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</si>
  <si>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</si>
  <si>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</si>
  <si>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</si>
  <si>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</si>
  <si>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</si>
  <si>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</si>
  <si>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</si>
  <si>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</si>
  <si>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</si>
  <si>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</si>
  <si>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</si>
  <si>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</si>
  <si>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</si>
  <si>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</si>
  <si>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</si>
  <si>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</si>
  <si>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</si>
  <si>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</si>
  <si>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</si>
  <si>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</si>
  <si>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</si>
  <si>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</si>
  <si>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</si>
  <si>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</si>
  <si>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</si>
  <si>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</si>
  <si>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</si>
  <si>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</si>
  <si>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</si>
  <si>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</si>
  <si>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</si>
  <si>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</si>
  <si>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</si>
  <si>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</si>
  <si>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</si>
  <si>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SMITH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</si>
  <si>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</si>
  <si>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</si>
  <si>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</si>
  <si>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</si>
  <si>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</si>
  <si>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</si>
  <si>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</si>
  <si>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</si>
  <si>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</si>
  <si>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</si>
  <si>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</si>
  <si>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</si>
  <si>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</si>
  <si>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</si>
  <si>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</si>
  <si>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</si>
  <si>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</si>
  <si>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</si>
  <si>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</si>
  <si>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</si>
  <si>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</si>
  <si>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</si>
  <si>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</si>
  <si>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</si>
  <si>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</si>
  <si>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</si>
  <si>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</si>
  <si>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</si>
  <si>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</si>
  <si>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</si>
  <si>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</si>
  <si>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</si>
  <si>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</si>
  <si>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</si>
  <si>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</si>
  <si>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</si>
  <si>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</si>
  <si>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</si>
  <si>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</si>
  <si>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</si>
  <si>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</si>
  <si>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</si>
  <si>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</si>
  <si>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</si>
  <si>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</si>
  <si>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</si>
  <si>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</si>
  <si>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</si>
  <si>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</si>
  <si>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</si>
  <si>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</si>
  <si>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</si>
  <si>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</si>
  <si>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</si>
  <si>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</si>
  <si>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</si>
  <si>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</si>
  <si>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</si>
  <si>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</si>
  <si>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</si>
  <si>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</si>
  <si>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</si>
  <si>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</si>
  <si>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</si>
  <si>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</si>
  <si>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</si>
  <si>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</si>
  <si>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</si>
  <si>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</si>
  <si>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</si>
  <si>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</si>
  <si>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</si>
  <si>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</si>
  <si>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</si>
  <si>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</si>
  <si>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</si>
  <si>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</si>
  <si>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</si>
  <si>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</si>
  <si>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</si>
  <si>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</si>
  <si>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</si>
  <si>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</si>
  <si>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</si>
  <si>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</si>
  <si>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</si>
  <si>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</si>
  <si>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</si>
  <si>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</si>
  <si>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</si>
  <si>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</si>
  <si>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</si>
  <si>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</si>
  <si>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</si>
  <si>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</si>
  <si>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</si>
  <si>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</si>
  <si>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</si>
  <si>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</si>
  <si>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</si>
  <si>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</si>
  <si>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</si>
  <si>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</si>
  <si>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</si>
  <si>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</si>
  <si>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</si>
  <si>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</si>
  <si>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</si>
  <si>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</si>
  <si>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</si>
  <si>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</si>
  <si>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</si>
  <si>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</si>
  <si>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</si>
  <si>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</si>
  <si>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</si>
  <si>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</si>
  <si>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</si>
  <si>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</si>
  <si>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</si>
  <si>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</si>
  <si>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</si>
  <si>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</si>
  <si>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</si>
  <si>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</si>
  <si>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</si>
  <si>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</si>
  <si>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</si>
  <si>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</si>
  <si>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</si>
  <si>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</si>
  <si>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</si>
  <si>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</si>
  <si>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</si>
  <si>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</si>
  <si>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</si>
  <si>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</si>
  <si>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</si>
  <si>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</si>
  <si>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</si>
  <si>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</si>
  <si>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</si>
  <si>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</si>
  <si>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</si>
  <si>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</si>
  <si>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</si>
  <si>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</si>
  <si>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</si>
  <si>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</si>
  <si>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</si>
  <si>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</si>
  <si>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</si>
  <si>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</si>
  <si>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</si>
  <si>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</si>
  <si>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</si>
  <si>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</si>
  <si>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</si>
  <si>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</si>
  <si>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</si>
  <si>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</si>
  <si>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</si>
  <si>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</si>
  <si>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</si>
  <si>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</si>
  <si>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</si>
  <si>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</si>
  <si>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</si>
  <si>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</si>
  <si>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</si>
  <si>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</si>
  <si>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</si>
  <si>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</si>
  <si>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</si>
  <si>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</si>
  <si>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</si>
  <si>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</si>
  <si>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</si>
  <si>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</si>
  <si>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</si>
  <si>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</si>
  <si>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</si>
  <si>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</si>
  <si>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</si>
  <si>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</si>
  <si>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</si>
  <si>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</si>
  <si>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</si>
  <si>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</si>
  <si>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</si>
  <si>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</si>
  <si>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</si>
  <si>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</si>
  <si>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</si>
  <si>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</si>
  <si>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</si>
  <si>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</si>
  <si>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</si>
  <si>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</si>
  <si>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</si>
  <si>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</si>
  <si>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</si>
  <si>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</si>
  <si>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</si>
  <si>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</si>
  <si>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</si>
  <si>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</si>
  <si>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</si>
  <si>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</si>
  <si>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</si>
  <si>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</si>
  <si>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</si>
  <si>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</si>
  <si>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</si>
  <si>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</si>
  <si>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</si>
  <si>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</si>
  <si>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</si>
  <si>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</si>
  <si>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</si>
  <si>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</si>
  <si>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</si>
  <si>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</si>
  <si>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</si>
  <si>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</si>
  <si>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</si>
  <si>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</si>
  <si>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</si>
  <si>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</si>
  <si>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</si>
  <si>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</si>
  <si>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</si>
  <si>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</si>
  <si>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</si>
  <si>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</si>
  <si>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</si>
  <si>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</si>
  <si>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</si>
  <si>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</si>
  <si>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</si>
  <si>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</si>
  <si>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</si>
  <si>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</si>
  <si>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</si>
  <si>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</si>
  <si>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</si>
  <si>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</si>
  <si>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</si>
  <si>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</si>
  <si>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</si>
  <si>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</si>
  <si>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</si>
  <si>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EDDY GUZMAN NIEVES</t>
  </si>
  <si>
    <t>FARIS ALLALOUCHE</t>
  </si>
  <si>
    <t>DEMETRIUS</t>
  </si>
  <si>
    <t>NICKERSON</t>
  </si>
  <si>
    <t>084177de-a5cc-49bf-b1c7-917d71258640</t>
  </si>
  <si>
    <t>EDDY</t>
  </si>
  <si>
    <t>GUZMAN NIEVES</t>
  </si>
  <si>
    <t>45162ef8-7f97-4ba1-8370-275dd2130f11</t>
  </si>
  <si>
    <t>FARIS</t>
  </si>
  <si>
    <t>ALLALOUCHE</t>
  </si>
  <si>
    <t>63141f65-49cf-432b-b204-2bbd100d08f4</t>
  </si>
  <si>
    <t>ABDELRAHMAN GAFER</t>
  </si>
  <si>
    <t>ROBERT DAVIS</t>
  </si>
  <si>
    <t>RAMI AHMAD</t>
  </si>
  <si>
    <t>OLUWAYEMISI ORESANWO</t>
  </si>
  <si>
    <t>KHALIAH DUKES</t>
  </si>
  <si>
    <t>ROBERT</t>
  </si>
  <si>
    <t>DAVIS</t>
  </si>
  <si>
    <t>516e4e8e-7d72-4ad0-afc0-db0b1f5e2b21</t>
  </si>
  <si>
    <t>RAMI</t>
  </si>
  <si>
    <t>AHMAD</t>
  </si>
  <si>
    <t>d83ca27d-d6b8-46c4-bc5a-50a64c68dcd5</t>
  </si>
  <si>
    <t>OLUWAYEMISI</t>
  </si>
  <si>
    <t>ORESANWO</t>
  </si>
  <si>
    <t>e55be6f6-ea44-4082-9171-e4b9e543f025</t>
  </si>
  <si>
    <t>KHALIAH</t>
  </si>
  <si>
    <t>DUKES</t>
  </si>
  <si>
    <t>f2a05772-5214-443f-960b-fbb57370c1e1</t>
  </si>
  <si>
    <t>Required Hours</t>
  </si>
  <si>
    <t>Allowed Hours</t>
  </si>
  <si>
    <t>Payable Hours</t>
  </si>
  <si>
    <t>Extra hours</t>
  </si>
  <si>
    <t>Brookes Transportation, LLC</t>
  </si>
  <si>
    <t>Jara Trans LLC</t>
  </si>
  <si>
    <t>Joud LLC</t>
  </si>
  <si>
    <t>Melinio Transit</t>
  </si>
  <si>
    <t>MOAAZKO Transit LLC</t>
  </si>
  <si>
    <t>Nubiantod LLC</t>
  </si>
  <si>
    <t>Orion Transit, LLC</t>
  </si>
  <si>
    <t>Punctual Service LLC</t>
  </si>
  <si>
    <t>Quaker State Trans LLC</t>
  </si>
  <si>
    <t>Safe Drive Trans LLC</t>
  </si>
  <si>
    <t>Quick Stars LLC</t>
  </si>
  <si>
    <t>Shams Transportation LLC</t>
  </si>
  <si>
    <t>White Nile Transit</t>
  </si>
  <si>
    <t>Zahia LLC</t>
  </si>
  <si>
    <t>Approved Extra</t>
  </si>
  <si>
    <t>Percentage</t>
  </si>
  <si>
    <t>DARRELL</t>
  </si>
  <si>
    <t>BURSE</t>
  </si>
  <si>
    <t>680082d8-9ebe-4509-a02a-b3fd3299e2fe</t>
  </si>
  <si>
    <t>SALIH</t>
  </si>
  <si>
    <t>94b9f362-a937-4262-b1ff-542fb05d5c12</t>
  </si>
  <si>
    <t>SAMI</t>
  </si>
  <si>
    <t>5dfd9cd2-8836-4916-9538-186a11559f01</t>
  </si>
  <si>
    <t>ALONDA BYARD</t>
  </si>
  <si>
    <t>TAIYANA LEE</t>
  </si>
  <si>
    <t>TANAYA BRADFORD</t>
  </si>
  <si>
    <t>TAIYANA</t>
  </si>
  <si>
    <t>LEE</t>
  </si>
  <si>
    <t>3142281c-13a6-4d54-8068-829679928a2c</t>
  </si>
  <si>
    <t>TANAYA</t>
  </si>
  <si>
    <t>BRADFORD</t>
  </si>
  <si>
    <t>ee241427-f9cf-4985-bcf5-b4656dd5b3d0</t>
  </si>
  <si>
    <t>ALONDA</t>
  </si>
  <si>
    <t>BYARD</t>
  </si>
  <si>
    <t>0dbf46d9-4308-40f9-9eaf-94b54de0e59d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</si>
</sst>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26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168" fontId="0" fillId="0" borderId="25" xfId="11" applyNumberFormat="1" applyFont="1" applyFill="1" applyBorder="1" applyAlignment="1">
      <alignment horizontal="center"/>
    </xf>
    <xf numFmtId="9" fontId="0" fillId="0" borderId="0" xfId="10" applyFont="1" applyFill="1"/>
    <xf numFmtId="0" fontId="0" fillId="0" borderId="23" xfId="0" applyBorder="1"/>
    <xf numFmtId="0" fontId="0" fillId="0" borderId="24" xfId="0" applyBorder="1"/>
    <xf numFmtId="0" fontId="0" fillId="0" borderId="24" xfId="0" applyBorder="1" applyAlignment="1">
      <alignment horizontal="center"/>
    </xf>
    <xf numFmtId="1" fontId="0" fillId="0" borderId="0" xfId="0" applyNumberFormat="1"/>
    <xf numFmtId="168" fontId="0" fillId="2" borderId="25" xfId="11" applyNumberFormat="1" applyFont="1" applyFill="1" applyBorder="1" applyAlignment="1">
      <alignment horizontal="center"/>
    </xf>
    <xf numFmtId="0" fontId="0" fillId="11" borderId="23" xfId="0" applyFill="1" applyBorder="1"/>
    <xf numFmtId="0" fontId="0" fillId="11" borderId="24" xfId="0" applyFill="1" applyBorder="1"/>
    <xf numFmtId="0" fontId="0" fillId="11" borderId="24" xfId="0" applyFill="1" applyBorder="1" applyAlignment="1">
      <alignment horizontal="center"/>
    </xf>
    <xf numFmtId="168" fontId="0" fillId="11" borderId="25" xfId="11" applyNumberFormat="1" applyFont="1" applyFill="1" applyBorder="1" applyAlignment="1">
      <alignment horizontal="center"/>
    </xf>
    <xf numFmtId="9" fontId="0" fillId="11" borderId="0" xfId="10" applyFont="1" applyFill="1"/>
    <xf numFmtId="0" fontId="0" fillId="11" borderId="26" xfId="0" applyFill="1" applyBorder="1"/>
    <xf numFmtId="0" fontId="0" fillId="11" borderId="27" xfId="0" applyFill="1" applyBorder="1"/>
    <xf numFmtId="0" fontId="0" fillId="11" borderId="27" xfId="0" applyFill="1" applyBorder="1" applyAlignment="1">
      <alignment horizontal="center"/>
    </xf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9" formatCode="m/d/yyyy"/>
    </dxf>
    <dxf>
      <numFmt numFmtId="169" formatCode="m/d/yyyy"/>
    </dxf>
    <dxf>
      <numFmt numFmtId="169" formatCode="m/d/yyyy"/>
    </dxf>
    <dxf>
      <numFmt numFmtId="168" formatCode="_(* #,##0_);_(* \(#,##0\);_(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</dxf>
    <dxf>
      <border>
        <bottom style="hair">
          <color auto="1"/>
        </bottom>
      </border>
    </dxf>
    <dxf>
      <alignment horizontal="general" vertical="bottom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numFmt numFmtId="169" formatCode="m/d/yyyy"/>
    </dxf>
    <dxf>
      <numFmt numFmtId="0" formatCode="General"/>
    </dxf>
    <dxf>
      <numFmt numFmtId="0" formatCode="General"/>
    </dxf>
    <dxf>
      <numFmt numFmtId="169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99.659107638887" createdVersion="8" refreshedVersion="8" minRefreshableVersion="3" recordCount="39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minValue="21.26" maxValue="811"/>
    </cacheField>
    <cacheField name="Online Hours" numFmtId="0">
      <sharedItems containsSemiMixedTypes="0" containsString="0" containsNumber="1" minValue="7.3900000000000006" maxValue="811.25000000000011"/>
    </cacheField>
    <cacheField name="Payable Online Hours" numFmtId="0">
      <sharedItems containsSemiMixedTypes="0" containsString="0" containsNumber="1" minValue="7.3900000000000006" maxValue="811"/>
    </cacheField>
    <cacheField name="% of Hours to Required" numFmtId="0">
      <sharedItems containsSemiMixedTypes="0" containsString="0" containsNumber="1" minValue="0.14779999999999999" maxValue="1"/>
    </cacheField>
    <cacheField name="Core Hours Rev" numFmtId="0">
      <sharedItems containsSemiMixedTypes="0" containsString="0" containsNumber="1" minValue="0" maxValue="18186.674999999999"/>
    </cacheField>
    <cacheField name="CHI Tier 1 Rev" numFmtId="0">
      <sharedItems containsSemiMixedTypes="0" containsString="0" containsNumber="1" minValue="0" maxValue="5595.9000000000005"/>
    </cacheField>
    <cacheField name="CHI Tier 2 Rev" numFmtId="0">
      <sharedItems containsSemiMixedTypes="0" containsString="0" containsNumber="1" minValue="0" maxValue="2702.661000000001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0327868852458995" maxValue="1"/>
    </cacheField>
    <cacheField name="Cancellation Rate" numFmtId="0">
      <sharedItems containsSemiMixedTypes="0" containsString="0" containsNumber="1" minValue="0" maxValue="5.5072463768115899E-2"/>
    </cacheField>
    <cacheField name="Tier 1 ARDCRI KPI Rev" numFmtId="0">
      <sharedItems containsSemiMixedTypes="0" containsString="0" containsNumber="1" minValue="0" maxValue="1803.4123999999999"/>
    </cacheField>
    <cacheField name="Tier 2 ARDCRI KPI Rev" numFmtId="0">
      <sharedItems containsSemiMixedTypes="0" containsString="0" containsNumber="1" minValue="0" maxValue="609.375"/>
    </cacheField>
    <cacheField name="Utilization%" numFmtId="0">
      <sharedItems containsSemiMixedTypes="0" containsString="0" containsNumber="1" minValue="0.49010101010100998" maxValue="0.94395203336809197"/>
    </cacheField>
    <cacheField name="Utilization Rev" numFmtId="0">
      <sharedItems containsSemiMixedTypes="0" containsString="0" containsNumber="1" minValue="0" maxValue="1398.9749999999999"/>
    </cacheField>
    <cacheField name="Driver Tips" numFmtId="0">
      <sharedItems containsSemiMixedTypes="0" containsString="0" containsNumber="1" minValue="9" maxValue="1041.19"/>
    </cacheField>
    <cacheField name="Tolls" numFmtId="0">
      <sharedItems containsSemiMixedTypes="0" containsString="0" containsNumber="1" minValue="0" maxValue="110.49"/>
    </cacheField>
    <cacheField name="CHI Non-KPI" numFmtId="0">
      <sharedItems containsSemiMixedTypes="0" containsString="0" containsNumber="1" minValue="0" maxValue="1154.9000000000001"/>
    </cacheField>
    <cacheField name="Total Rev" numFmtId="0">
      <sharedItems containsSemiMixedTypes="0" containsString="0" containsNumber="1" minValue="168.86" maxValue="26326.2"/>
    </cacheField>
    <cacheField name="Required" numFmtId="0">
      <sharedItems containsSemiMixedTypes="0" containsString="0" containsNumber="1" minValue="21.26" maxValue="800"/>
    </cacheField>
    <cacheField name="CHI Rev" numFmtId="0">
      <sharedItems containsSemiMixedTypes="0" containsString="0" containsNumber="1" minValue="0" maxValue="5595.9"/>
    </cacheField>
    <cacheField name="Tier 1 ARDCRI KPI" numFmtId="0">
      <sharedItems containsSemiMixedTypes="0" containsString="0" containsNumber="1" minValue="0" maxValue="546.81999999999994"/>
    </cacheField>
    <cacheField name="Tier 2 ARDCRI KPI" numFmtId="0">
      <sharedItems containsSemiMixedTypes="0" containsString="0" containsNumber="1" minValue="0" maxValue="375"/>
    </cacheField>
    <cacheField name="Total Expired Offers" numFmtId="0">
      <sharedItems containsSemiMixedTypes="0" containsString="0" containsNumber="1" containsInteger="1" minValue="0" maxValue="137"/>
    </cacheField>
    <cacheField name="Total ARDCRI KPI Rev" numFmtId="0">
      <sharedItems containsSemiMixedTypes="0" containsString="0" containsNumber="1" minValue="0" maxValue="1803.4123999999999"/>
    </cacheField>
    <cacheField name="Approved Extra Hours" numFmtId="0">
      <sharedItems containsSemiMixedTypes="0" containsString="0" containsNumber="1" containsInteger="1" minValue="0" maxValue="60"/>
    </cacheField>
    <cacheField name="Week" numFmtId="14">
      <sharedItems containsSemiMixedTypes="0" containsNonDate="0" containsDate="1" containsString="0" minDate="2025-01-13T00:00:00" maxDate="2025-01-21T00:00:00"/>
    </cacheField>
    <cacheField name="PARTNER NAME" numFmtId="0">
      <sharedItems count="23">
        <s v="ORION TRANSIT, LLC"/>
        <s v="SHAMS TRANSPORTATION LLC"/>
        <s v="MOAAZKO TRANSIT LLC"/>
        <s v="ZAHIA LLC"/>
        <s v="JOUD LLC"/>
        <s v="PUNCTUAL SERVICE LLC"/>
        <s v="GIANNA TRANSPORT LLC"/>
        <s v="JARA TRANS LLC"/>
        <s v="QUICK STARS LLC"/>
        <s v="NUBIANTOD LLC"/>
        <s v="SAFE DRIVE TRANS LLC"/>
        <s v="ASKR AUTO INC"/>
        <s v="UMDOR LIMO SERVICES LLC"/>
        <s v="BROOKES TRANSPORTATION, LLC"/>
        <s v="ABU ANNE LLC"/>
        <s v="MELINIO TRANSIT"/>
        <s v="ABOU RANI TRANSIT LLC"/>
        <s v="TIBSHA TRANSPORTATION"/>
        <s v="QUAKER STATE TRANS LLC"/>
        <s v="WHITE NILE TRANSIT"/>
        <s v="SABAH SBH LLC" u="1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7" maxValue="1329"/>
    </cacheField>
    <cacheField name="Total Supply Hours" numFmtId="0">
      <sharedItems containsSemiMixedTypes="0" containsString="0" containsNumber="1" minValue="7.4" maxValue="820.00000000000023"/>
    </cacheField>
    <cacheField name="Paused Hours" numFmtId="0">
      <sharedItems containsSemiMixedTypes="0" containsString="0" containsNumber="1" minValue="0" maxValue="15.859999999999998"/>
    </cacheField>
    <cacheField name="WAV Trips" numFmtId="0">
      <sharedItems containsSemiMixedTypes="0" containsString="0" containsNumber="1" containsInteger="1" minValue="2" maxValue="283"/>
    </cacheField>
    <cacheField name="Non WAV Trips" numFmtId="0">
      <sharedItems containsSemiMixedTypes="0" containsString="0" containsNumber="1" containsInteger="1" minValue="5" maxValue="1088"/>
    </cacheField>
    <cacheField name="Utilized Hours" numFmtId="0">
      <sharedItems containsSemiMixedTypes="0" containsString="0" containsNumber="1" minValue="5.72" maxValue="749.65000000000009"/>
    </cacheField>
    <cacheField name="Open Hours" numFmtId="0">
      <sharedItems containsSemiMixedTypes="0" containsString="0" containsNumber="1" minValue="1.68" maxValue="79.609999999999985"/>
    </cacheField>
    <cacheField name="Core Total Supply Hours" numFmtId="0">
      <sharedItems containsSemiMixedTypes="0" containsString="0" containsNumber="1" minValue="4.95" maxValue="317.23"/>
    </cacheField>
    <cacheField name="Core Utilized Hours" numFmtId="0">
      <sharedItems containsSemiMixedTypes="0" containsString="0" containsNumber="1" minValue="3.38" maxValue="297.47999999999996"/>
    </cacheField>
    <cacheField name="Trips Per Hours" numFmtId="0">
      <sharedItems containsSemiMixedTypes="0" containsString="0" containsNumber="1" minValue="0.87" maxValue="44.94"/>
    </cacheField>
    <cacheField name="Total Accepts" numFmtId="0">
      <sharedItems containsSemiMixedTypes="0" containsString="0" containsNumber="1" containsInteger="1" minValue="10" maxValue="1725"/>
    </cacheField>
    <cacheField name="Total Rejects" numFmtId="0">
      <sharedItems containsSemiMixedTypes="0" containsString="0" containsNumber="1" containsInteger="1" minValue="0" maxValue="120"/>
    </cacheField>
    <cacheField name="Total Cancels" numFmtId="0">
      <sharedItems containsSemiMixedTypes="0" containsString="0" containsNumber="1" containsInteger="1" minValue="0" maxValue="95"/>
    </cacheField>
    <cacheField name="KPI Hours" numFmtId="0">
      <sharedItems containsSemiMixedTypes="0" containsString="0" containsNumber="1" minValue="0" maxValue="503.81000000000012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21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811"/>
    </cacheField>
    <cacheField name="Driver Earnings Excl Tips" numFmtId="0">
      <sharedItems containsSemiMixedTypes="0" containsString="0" containsNumber="1" minValue="150.94999999999999" maxValue="15255.75000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600"/>
    <n v="594.35000000000014"/>
    <n v="594.35000000000014"/>
    <n v="1"/>
    <n v="12748.807500000001"/>
    <n v="3922.7100000000014"/>
    <n v="0"/>
    <n v="0"/>
    <n v="0.88914728682170596"/>
    <n v="2.2667829119441998E-2"/>
    <n v="0"/>
    <n v="0"/>
    <n v="0.87355935055102196"/>
    <n v="980.67750000000001"/>
    <n v="645.97"/>
    <n v="59.78"/>
    <n v="0"/>
    <n v="18357.945"/>
    <n v="540"/>
    <n v="3922.71"/>
    <n v="0"/>
    <n v="0"/>
    <n v="137"/>
    <n v="0"/>
    <n v="60"/>
    <d v="2025-01-13T00:00:00"/>
    <x v="0"/>
    <n v="960"/>
    <n v="600.74000000000012"/>
    <n v="6.39"/>
    <n v="243"/>
    <n v="717"/>
    <n v="519.20000000000005"/>
    <n v="75.13"/>
    <n v="304.44999999999993"/>
    <n v="264.88"/>
    <n v="27.159999999999997"/>
    <n v="1147"/>
    <n v="6"/>
    <n v="26"/>
    <n v="398.87"/>
    <n v="0.1"/>
    <n v="0.05"/>
    <n v="0.7"/>
    <n v="33"/>
    <n v="0"/>
    <n v="0.65"/>
    <n v="0.98"/>
    <n v="0.96"/>
    <n v="0.94"/>
    <n v="0.2"/>
    <n v="0.1"/>
    <n v="0.05"/>
    <n v="0.05"/>
    <n v="540"/>
    <n v="0"/>
    <n v="594.35000000000014"/>
    <n v="10439.019999999999"/>
  </r>
  <r>
    <x v="0"/>
    <n v="110"/>
    <n v="103.82"/>
    <n v="103.82"/>
    <n v="1"/>
    <n v="2193.1975000000002"/>
    <n v="674.82999999999993"/>
    <n v="0"/>
    <n v="0"/>
    <n v="0.99450549450549397"/>
    <n v="1.6574585635359101E-2"/>
    <n v="337.41500000000002"/>
    <n v="0"/>
    <n v="0.78241186669235196"/>
    <n v="168.70750000000001"/>
    <n v="144.25"/>
    <n v="3.77"/>
    <n v="0"/>
    <n v="3522.17"/>
    <n v="100"/>
    <n v="674.83"/>
    <n v="103.82"/>
    <n v="0"/>
    <n v="1"/>
    <n v="337.41500000000002"/>
    <n v="10"/>
    <d v="2025-01-13T00:00:00"/>
    <x v="1"/>
    <n v="158"/>
    <n v="103.95"/>
    <n v="0.13"/>
    <n v="36"/>
    <n v="122"/>
    <n v="81.23"/>
    <n v="22.59"/>
    <n v="37.35"/>
    <n v="31.35"/>
    <n v="3.04"/>
    <n v="181"/>
    <n v="0"/>
    <n v="3"/>
    <n v="103.82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613.9299999999998"/>
  </r>
  <r>
    <x v="0"/>
    <n v="60"/>
    <n v="60.03"/>
    <n v="60"/>
    <n v="1"/>
    <n v="1267.5"/>
    <n v="390"/>
    <n v="0"/>
    <n v="0"/>
    <n v="0.987341772151899"/>
    <n v="1.2820512820512799E-2"/>
    <n v="195"/>
    <n v="0"/>
    <n v="0.60053306679993301"/>
    <n v="0"/>
    <n v="44.1"/>
    <n v="0"/>
    <n v="0"/>
    <n v="1896.6"/>
    <n v="50"/>
    <n v="390"/>
    <n v="60"/>
    <n v="0"/>
    <n v="1"/>
    <n v="195"/>
    <n v="10"/>
    <d v="2025-01-13T00:00:00"/>
    <x v="2"/>
    <n v="66"/>
    <n v="60.03"/>
    <n v="0"/>
    <n v="11"/>
    <n v="55"/>
    <n v="36.049999999999997"/>
    <n v="23.97"/>
    <n v="17.48"/>
    <n v="14.91"/>
    <n v="1.1000000000000001"/>
    <n v="78"/>
    <n v="0"/>
    <n v="1"/>
    <n v="60.0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2.62"/>
  </r>
  <r>
    <x v="0"/>
    <n v="375"/>
    <n v="392.34000000000003"/>
    <n v="375"/>
    <n v="1"/>
    <n v="7921.875"/>
    <n v="2437.5"/>
    <n v="0"/>
    <n v="0"/>
    <n v="0.94198895027624296"/>
    <n v="2.9325513196480898E-2"/>
    <n v="0"/>
    <n v="609.375"/>
    <n v="0.816154355915787"/>
    <n v="609.375"/>
    <n v="335.9"/>
    <n v="30.44"/>
    <n v="0"/>
    <n v="11944.465"/>
    <n v="375"/>
    <n v="2437.5"/>
    <n v="0"/>
    <n v="375"/>
    <n v="33"/>
    <n v="609.375"/>
    <n v="0"/>
    <d v="2025-01-13T00:00:00"/>
    <x v="3"/>
    <n v="544"/>
    <n v="393.03000000000003"/>
    <n v="0.69000000000000006"/>
    <n v="143"/>
    <n v="401"/>
    <n v="320.21000000000004"/>
    <n v="72.13"/>
    <n v="165.17"/>
    <n v="149.58999999999997"/>
    <n v="11.139999999999999"/>
    <n v="682"/>
    <n v="9"/>
    <n v="20"/>
    <n v="164.11"/>
    <n v="0.1"/>
    <n v="0.05"/>
    <n v="0.7"/>
    <n v="32.5"/>
    <n v="0"/>
    <n v="0.65"/>
    <n v="0.98"/>
    <n v="0.96"/>
    <n v="0.94"/>
    <n v="0.2"/>
    <n v="0.1"/>
    <n v="0.05"/>
    <n v="0.05"/>
    <n v="375"/>
    <n v="0"/>
    <n v="0"/>
    <n v="5685.97"/>
  </r>
  <r>
    <x v="0"/>
    <n v="50"/>
    <n v="50.06"/>
    <n v="50"/>
    <n v="1"/>
    <n v="1056.25"/>
    <n v="325"/>
    <n v="0"/>
    <n v="0"/>
    <n v="1"/>
    <n v="0"/>
    <n v="162.5"/>
    <n v="0"/>
    <n v="0.70715141829804196"/>
    <n v="81.25"/>
    <n v="64.739999999999995"/>
    <n v="0"/>
    <n v="0"/>
    <n v="1689.74"/>
    <n v="50"/>
    <n v="325"/>
    <n v="50"/>
    <n v="0"/>
    <n v="0"/>
    <n v="162.5"/>
    <n v="0"/>
    <d v="2025-01-13T00:00:00"/>
    <x v="4"/>
    <n v="73"/>
    <n v="50.06"/>
    <n v="0"/>
    <n v="10"/>
    <n v="63"/>
    <n v="35.4"/>
    <n v="14.65"/>
    <n v="19.46"/>
    <n v="13.17"/>
    <n v="1.46"/>
    <n v="79"/>
    <n v="0"/>
    <n v="0"/>
    <n v="50.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6.65"/>
  </r>
  <r>
    <x v="0"/>
    <n v="50"/>
    <n v="36.82"/>
    <n v="36.82"/>
    <n v="0.73640000000000005"/>
    <n v="0"/>
    <n v="0"/>
    <n v="0"/>
    <n v="0"/>
    <n v="0.80327868852458995"/>
    <n v="0"/>
    <n v="0"/>
    <n v="0"/>
    <n v="0.679793590439978"/>
    <n v="0"/>
    <n v="28.57"/>
    <n v="6.81"/>
    <n v="569.22"/>
    <n v="604.6"/>
    <n v="50"/>
    <n v="0"/>
    <n v="0"/>
    <n v="0"/>
    <n v="1"/>
    <n v="0"/>
    <n v="0"/>
    <d v="2025-01-13T00:00:00"/>
    <x v="5"/>
    <n v="47"/>
    <n v="36.82"/>
    <n v="0"/>
    <n v="5"/>
    <n v="42"/>
    <n v="25.03"/>
    <n v="11.79"/>
    <n v="22.1"/>
    <n v="16.010000000000002"/>
    <n v="1.28"/>
    <n v="49"/>
    <n v="1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36.82"/>
    <n v="569.22"/>
  </r>
  <r>
    <x v="0"/>
    <n v="50"/>
    <n v="38.36"/>
    <n v="38.36"/>
    <n v="0.76719999999999999"/>
    <n v="0"/>
    <n v="0"/>
    <n v="0"/>
    <n v="0"/>
    <n v="0.94545454545454599"/>
    <n v="0"/>
    <n v="0"/>
    <n v="0"/>
    <n v="0.94395203336809197"/>
    <n v="0"/>
    <n v="27.29"/>
    <n v="6"/>
    <n v="785.62"/>
    <n v="818.91"/>
    <n v="50"/>
    <n v="0"/>
    <n v="0"/>
    <n v="38.36"/>
    <n v="3"/>
    <n v="0"/>
    <n v="0"/>
    <d v="2025-01-13T00:00:00"/>
    <x v="6"/>
    <n v="58"/>
    <n v="41.12"/>
    <n v="2.76"/>
    <n v="26"/>
    <n v="32"/>
    <n v="36.21"/>
    <n v="2.15"/>
    <n v="28.1"/>
    <n v="24.78"/>
    <n v="1.41"/>
    <n v="52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5.62"/>
  </r>
  <r>
    <x v="0"/>
    <n v="50"/>
    <n v="50.82"/>
    <n v="50"/>
    <n v="1"/>
    <n v="1056.25"/>
    <n v="325"/>
    <n v="0"/>
    <n v="0"/>
    <n v="1"/>
    <n v="1.20481927710843E-2"/>
    <n v="162.5"/>
    <n v="0"/>
    <n v="0.64167650531286902"/>
    <n v="0"/>
    <n v="27.25"/>
    <n v="4"/>
    <n v="0"/>
    <n v="1575"/>
    <n v="50"/>
    <n v="325"/>
    <n v="50"/>
    <n v="0"/>
    <n v="0"/>
    <n v="162.5"/>
    <n v="0"/>
    <d v="2025-01-13T00:00:00"/>
    <x v="7"/>
    <n v="67"/>
    <n v="51"/>
    <n v="0.18"/>
    <n v="3"/>
    <n v="64"/>
    <n v="32.61"/>
    <n v="18.2"/>
    <n v="4.95"/>
    <n v="3.38"/>
    <n v="1.31"/>
    <n v="83"/>
    <n v="0"/>
    <n v="1"/>
    <n v="50.8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73.4"/>
  </r>
  <r>
    <x v="0"/>
    <n v="55"/>
    <n v="49.5"/>
    <n v="49.5"/>
    <n v="0.99"/>
    <n v="1045.6875"/>
    <n v="321.75"/>
    <n v="0"/>
    <n v="0"/>
    <n v="0.96153846153846201"/>
    <n v="0"/>
    <n v="160.875"/>
    <n v="0"/>
    <n v="0.49010101010100998"/>
    <n v="0"/>
    <n v="28"/>
    <n v="8.67"/>
    <n v="0"/>
    <n v="1564.9825000000001"/>
    <n v="50"/>
    <n v="321.75"/>
    <n v="49.5"/>
    <n v="0"/>
    <n v="0"/>
    <n v="160.875"/>
    <n v="5"/>
    <d v="2025-01-13T00:00:00"/>
    <x v="8"/>
    <n v="43"/>
    <n v="49.57"/>
    <n v="7.0000000000000007E-2"/>
    <n v="3"/>
    <n v="40"/>
    <n v="24.26"/>
    <n v="25.24"/>
    <n v="9.1300000000000008"/>
    <n v="7.32"/>
    <n v="0.87"/>
    <n v="50"/>
    <n v="2"/>
    <n v="0"/>
    <n v="49.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444.9"/>
  </r>
  <r>
    <x v="0"/>
    <n v="50"/>
    <n v="52.14"/>
    <n v="50"/>
    <n v="1"/>
    <n v="1056.25"/>
    <n v="325"/>
    <n v="0"/>
    <n v="0"/>
    <n v="0.98571428571428599"/>
    <n v="0"/>
    <n v="162.5"/>
    <n v="0"/>
    <n v="0.74434215573456097"/>
    <n v="81.25"/>
    <n v="39"/>
    <n v="0"/>
    <n v="0"/>
    <n v="1664"/>
    <n v="50"/>
    <n v="325"/>
    <n v="50"/>
    <n v="0"/>
    <n v="1"/>
    <n v="162.5"/>
    <n v="0"/>
    <d v="2025-01-13T00:00:00"/>
    <x v="9"/>
    <n v="60"/>
    <n v="52.14"/>
    <n v="0"/>
    <n v="25"/>
    <n v="35"/>
    <n v="38.81"/>
    <n v="13.33"/>
    <n v="34.61"/>
    <n v="26.67"/>
    <n v="1.1499999999999999"/>
    <n v="69"/>
    <n v="0"/>
    <n v="0"/>
    <n v="52.1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70.93"/>
  </r>
  <r>
    <x v="0"/>
    <n v="61"/>
    <n v="61.1"/>
    <n v="61"/>
    <n v="1"/>
    <n v="1288.625"/>
    <n v="396.5"/>
    <n v="0"/>
    <n v="0"/>
    <n v="0.98823529411764699"/>
    <n v="2.3809523809523801E-2"/>
    <n v="198.25"/>
    <n v="0"/>
    <n v="0.73338788870703797"/>
    <n v="99.125"/>
    <n v="23"/>
    <n v="0"/>
    <n v="0"/>
    <n v="2005.5"/>
    <n v="50"/>
    <n v="396.5"/>
    <n v="61"/>
    <n v="0"/>
    <n v="0"/>
    <n v="198.25"/>
    <n v="11"/>
    <d v="2025-01-13T00:00:00"/>
    <x v="10"/>
    <n v="84"/>
    <n v="61.1"/>
    <n v="0"/>
    <n v="14"/>
    <n v="70"/>
    <n v="44.81"/>
    <n v="16.29"/>
    <n v="20.5"/>
    <n v="17.98"/>
    <n v="1.37"/>
    <n v="84"/>
    <n v="1"/>
    <n v="2"/>
    <n v="61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19.64"/>
  </r>
  <r>
    <x v="0"/>
    <n v="85"/>
    <n v="78.38"/>
    <n v="78.38"/>
    <n v="0.92211764705882404"/>
    <n v="0"/>
    <n v="0"/>
    <n v="0"/>
    <n v="0"/>
    <n v="0.90769230769230802"/>
    <n v="0"/>
    <n v="0"/>
    <n v="0"/>
    <n v="0.69022709874968102"/>
    <n v="0"/>
    <n v="39"/>
    <n v="0"/>
    <n v="1154.9000000000001"/>
    <n v="1193.9000000000001"/>
    <n v="85"/>
    <n v="0"/>
    <n v="0"/>
    <n v="0"/>
    <n v="5"/>
    <n v="0"/>
    <n v="0"/>
    <d v="2025-01-13T00:00:00"/>
    <x v="11"/>
    <n v="107"/>
    <n v="78.849999999999994"/>
    <n v="0.47"/>
    <n v="24"/>
    <n v="83"/>
    <n v="54.099999999999994"/>
    <n v="24.259999999999998"/>
    <n v="35.869999999999997"/>
    <n v="28.72"/>
    <n v="3.88"/>
    <n v="118"/>
    <n v="7"/>
    <n v="0"/>
    <n v="28.459999999999997"/>
    <n v="0.1"/>
    <n v="0.05"/>
    <n v="0.7"/>
    <n v="32.5"/>
    <n v="0"/>
    <n v="0.65"/>
    <n v="0.98"/>
    <n v="0.96"/>
    <n v="0.94"/>
    <n v="0.2"/>
    <n v="0.1"/>
    <n v="0.05"/>
    <n v="0.05"/>
    <n v="85"/>
    <n v="0"/>
    <n v="78.38"/>
    <n v="1154.9000000000001"/>
  </r>
  <r>
    <x v="0"/>
    <n v="65"/>
    <n v="65.210000000000008"/>
    <n v="65"/>
    <n v="1"/>
    <n v="1373.125"/>
    <n v="422.5"/>
    <n v="0"/>
    <n v="0"/>
    <n v="0.99180327868852403"/>
    <n v="1.6528925619834701E-2"/>
    <n v="211.25"/>
    <n v="0"/>
    <n v="0.74988498696518902"/>
    <n v="105.625"/>
    <n v="72.77"/>
    <n v="0"/>
    <n v="0"/>
    <n v="2185.27"/>
    <n v="50"/>
    <n v="422.5"/>
    <n v="65"/>
    <n v="0"/>
    <n v="1"/>
    <n v="211.25"/>
    <n v="15"/>
    <d v="2025-01-13T00:00:00"/>
    <x v="12"/>
    <n v="110"/>
    <n v="67.28"/>
    <n v="2.0699999999999998"/>
    <n v="8"/>
    <n v="102"/>
    <n v="48.9"/>
    <n v="16.32"/>
    <n v="11.78"/>
    <n v="8.11"/>
    <n v="1.63"/>
    <n v="121"/>
    <n v="0"/>
    <n v="2"/>
    <n v="65.210000000000008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218.01"/>
  </r>
  <r>
    <x v="0"/>
    <n v="800"/>
    <n v="783.38000000000022"/>
    <n v="783.38000000000022"/>
    <n v="0.97922500000000001"/>
    <n v="17567.2965"/>
    <n v="0"/>
    <n v="2702.661000000001"/>
    <n v="0"/>
    <n v="0.91126837234621605"/>
    <n v="4.12186379928315E-2"/>
    <n v="0"/>
    <n v="0"/>
    <n v="0.89832520615793099"/>
    <n v="1351.3305"/>
    <n v="866.58"/>
    <n v="110.49"/>
    <n v="0"/>
    <n v="22598.358"/>
    <n v="800"/>
    <n v="2702.6610000000001"/>
    <n v="0"/>
    <n v="0"/>
    <n v="43"/>
    <n v="0"/>
    <n v="0"/>
    <d v="2025-01-13T00:00:00"/>
    <x v="13"/>
    <n v="1329"/>
    <n v="799.24000000000012"/>
    <n v="15.859999999999998"/>
    <n v="283"/>
    <n v="1046"/>
    <n v="703.73"/>
    <n v="79.609999999999985"/>
    <n v="282.45000000000005"/>
    <n v="258.94"/>
    <n v="44.94"/>
    <n v="1674"/>
    <n v="120"/>
    <n v="69"/>
    <n v="327.99"/>
    <n v="0.1"/>
    <n v="0.05"/>
    <n v="0.7"/>
    <n v="34.5"/>
    <n v="0"/>
    <n v="0.65"/>
    <n v="0.98"/>
    <n v="0.96"/>
    <n v="0.94"/>
    <n v="0.2"/>
    <n v="0.1"/>
    <n v="0.05"/>
    <n v="0.05"/>
    <n v="800"/>
    <n v="0"/>
    <n v="783.38000000000022"/>
    <n v="14277.550000000001"/>
  </r>
  <r>
    <x v="0"/>
    <n v="50"/>
    <n v="50.15"/>
    <n v="50"/>
    <n v="1"/>
    <n v="1056.25"/>
    <n v="325"/>
    <n v="0"/>
    <n v="0"/>
    <n v="0.96226415094339601"/>
    <n v="3.9215686274509803E-2"/>
    <n v="162.5"/>
    <n v="0"/>
    <n v="0.49232303090727803"/>
    <n v="0"/>
    <n v="99"/>
    <n v="0"/>
    <n v="0"/>
    <n v="1642.75"/>
    <n v="50"/>
    <n v="325"/>
    <n v="50"/>
    <n v="0"/>
    <n v="1"/>
    <n v="162.5"/>
    <n v="0"/>
    <d v="2025-01-13T00:00:00"/>
    <x v="14"/>
    <n v="46"/>
    <n v="50.16"/>
    <n v="0.01"/>
    <n v="15"/>
    <n v="31"/>
    <n v="24.69"/>
    <n v="25.46"/>
    <n v="37.21"/>
    <n v="21.37"/>
    <n v="0.92"/>
    <n v="51"/>
    <n v="1"/>
    <n v="2"/>
    <n v="50.1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04.29"/>
  </r>
  <r>
    <x v="0"/>
    <n v="550"/>
    <n v="538.77"/>
    <n v="538.77"/>
    <n v="0.99772222222222195"/>
    <n v="11549.612499999999"/>
    <n v="3553.7269200000001"/>
    <n v="0"/>
    <n v="0"/>
    <n v="0.98003629764065403"/>
    <n v="2.03703703703704E-2"/>
    <n v="1776.8634999999999"/>
    <n v="0"/>
    <n v="0.92300981866102405"/>
    <n v="888.43169999999998"/>
    <n v="633.66999999999996"/>
    <n v="89.6"/>
    <n v="0"/>
    <n v="18491.904600000002"/>
    <n v="540"/>
    <n v="3553.7269000000001"/>
    <n v="538.77"/>
    <n v="0"/>
    <n v="10"/>
    <n v="1776.8634999999999"/>
    <n v="10"/>
    <d v="2025-01-13T00:00:00"/>
    <x v="15"/>
    <n v="920"/>
    <n v="543.75"/>
    <n v="4.9799999999999995"/>
    <n v="271"/>
    <n v="649"/>
    <n v="497.28999999999991"/>
    <n v="41.480000000000004"/>
    <n v="263.26"/>
    <n v="250.96999999999997"/>
    <n v="18.73"/>
    <n v="1080"/>
    <n v="12"/>
    <n v="22"/>
    <n v="390.54999999999995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0111.209999999999"/>
  </r>
  <r>
    <x v="0"/>
    <n v="50"/>
    <n v="50.72"/>
    <n v="50"/>
    <n v="1"/>
    <n v="1056.25"/>
    <n v="325"/>
    <n v="0"/>
    <n v="0"/>
    <n v="0.92771084337349397"/>
    <n v="1.2987012987013E-2"/>
    <n v="0"/>
    <n v="81.25"/>
    <n v="0.90516561514195604"/>
    <n v="81.25"/>
    <n v="69.400000000000006"/>
    <n v="0"/>
    <n v="0"/>
    <n v="1613.15"/>
    <n v="50"/>
    <n v="325"/>
    <n v="0"/>
    <n v="50"/>
    <n v="6"/>
    <n v="81.25"/>
    <n v="0"/>
    <d v="2025-01-13T00:00:00"/>
    <x v="16"/>
    <n v="62"/>
    <n v="50.72"/>
    <n v="0"/>
    <n v="36"/>
    <n v="26"/>
    <n v="45.91"/>
    <n v="4.82"/>
    <n v="45.74"/>
    <n v="41.37"/>
    <n v="1.22"/>
    <n v="77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8.99"/>
  </r>
  <r>
    <x v="0"/>
    <n v="21.26"/>
    <n v="21.26"/>
    <n v="21.26"/>
    <n v="1"/>
    <n v="449.11750000000001"/>
    <n v="138.19"/>
    <n v="0"/>
    <n v="0"/>
    <n v="1"/>
    <n v="2.7777777777777801E-2"/>
    <n v="69.094999999999999"/>
    <n v="0"/>
    <n v="0.72389463781749797"/>
    <n v="34.547499999999999"/>
    <n v="9"/>
    <n v="0"/>
    <n v="0"/>
    <n v="699.95"/>
    <n v="21.26"/>
    <n v="138.19"/>
    <n v="21.26"/>
    <n v="0"/>
    <n v="0"/>
    <n v="69.094999999999999"/>
    <n v="0"/>
    <d v="2025-01-13T00:00:00"/>
    <x v="17"/>
    <n v="27"/>
    <n v="21.26"/>
    <n v="0"/>
    <n v="5"/>
    <n v="22"/>
    <n v="15.39"/>
    <n v="5.86"/>
    <n v="13.18"/>
    <n v="10.76"/>
    <n v="1.27"/>
    <n v="36"/>
    <n v="0"/>
    <n v="1"/>
    <n v="21.26"/>
    <n v="0.1"/>
    <n v="0.05"/>
    <n v="0.7"/>
    <n v="32.5"/>
    <n v="0"/>
    <n v="0.65"/>
    <n v="0.98"/>
    <n v="0.96"/>
    <n v="0.94"/>
    <n v="0.2"/>
    <n v="0.1"/>
    <n v="0.05"/>
    <n v="0.05"/>
    <n v="21"/>
    <n v="0"/>
    <n v="0"/>
    <n v="282.70999999999998"/>
  </r>
  <r>
    <x v="0"/>
    <n v="200"/>
    <n v="200.78"/>
    <n v="200"/>
    <n v="1"/>
    <n v="4225"/>
    <n v="1300"/>
    <n v="0"/>
    <n v="0"/>
    <n v="0.92727272727272703"/>
    <n v="8.4033613445378096E-3"/>
    <n v="0"/>
    <n v="325"/>
    <n v="0.76601255105090205"/>
    <n v="325"/>
    <n v="124.34"/>
    <n v="14.74"/>
    <n v="0"/>
    <n v="6314.08"/>
    <n v="200"/>
    <n v="1300"/>
    <n v="0"/>
    <n v="200"/>
    <n v="28"/>
    <n v="325"/>
    <n v="0"/>
    <d v="2025-01-13T00:00:00"/>
    <x v="18"/>
    <n v="318"/>
    <n v="201.28"/>
    <n v="0.5"/>
    <n v="70"/>
    <n v="248"/>
    <n v="153.80000000000001"/>
    <n v="46.970000000000006"/>
    <n v="87.73"/>
    <n v="72.759999999999991"/>
    <n v="6.32"/>
    <n v="357"/>
    <n v="0"/>
    <n v="3"/>
    <n v="100.41999999999999"/>
    <n v="0.1"/>
    <n v="0.05"/>
    <n v="0.7"/>
    <n v="32.5"/>
    <n v="0"/>
    <n v="0.65"/>
    <n v="0.98"/>
    <n v="0.96"/>
    <n v="0.94"/>
    <n v="0.2"/>
    <n v="0.1"/>
    <n v="0.05"/>
    <n v="0.05"/>
    <n v="200"/>
    <n v="0"/>
    <n v="0"/>
    <n v="3263.78"/>
  </r>
  <r>
    <x v="1"/>
    <n v="50"/>
    <n v="49.37"/>
    <n v="49.37"/>
    <n v="0.98740000000000006"/>
    <n v="1042.9412"/>
    <n v="320.90499999999997"/>
    <n v="0"/>
    <n v="0"/>
    <n v="0.98387096774193605"/>
    <n v="3.2786885245901599E-2"/>
    <n v="160.45249999999999"/>
    <n v="0"/>
    <n v="0.627911687259469"/>
    <n v="0"/>
    <n v="57.58"/>
    <n v="0"/>
    <n v="0"/>
    <n v="1581.8788"/>
    <n v="50"/>
    <n v="320.90499999999997"/>
    <n v="49.37"/>
    <n v="0"/>
    <n v="0"/>
    <n v="160.45249999999999"/>
    <n v="0"/>
    <d v="2025-01-20T00:00:00"/>
    <x v="8"/>
    <n v="60"/>
    <n v="49.37"/>
    <n v="0"/>
    <n v="3"/>
    <n v="57"/>
    <n v="31"/>
    <n v="18.36"/>
    <n v="9.58"/>
    <n v="8.07"/>
    <n v="1.22"/>
    <n v="61"/>
    <n v="1"/>
    <n v="2"/>
    <n v="49.37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25.1"/>
  </r>
  <r>
    <x v="1"/>
    <n v="40.07"/>
    <n v="40.07"/>
    <n v="40.07"/>
    <n v="1"/>
    <n v="846.47879999999998"/>
    <n v="260.45499999999998"/>
    <n v="0"/>
    <n v="0"/>
    <n v="1"/>
    <n v="0"/>
    <n v="130.22749999999999"/>
    <n v="0"/>
    <n v="0.66683304217619199"/>
    <n v="0"/>
    <n v="42.54"/>
    <n v="0"/>
    <n v="0"/>
    <n v="1279.7012"/>
    <n v="40.07"/>
    <n v="260.45499999999998"/>
    <n v="40.07"/>
    <n v="0"/>
    <n v="0"/>
    <n v="130.22749999999999"/>
    <n v="0"/>
    <d v="2025-01-20T00:00:00"/>
    <x v="17"/>
    <n v="44"/>
    <n v="40.18"/>
    <n v="0.11"/>
    <n v="11"/>
    <n v="33"/>
    <n v="26.72"/>
    <n v="13.34"/>
    <n v="13.95"/>
    <n v="10.36"/>
    <n v="1.1000000000000001"/>
    <n v="49"/>
    <n v="0"/>
    <n v="0"/>
    <n v="40.07"/>
    <n v="0.1"/>
    <n v="0.05"/>
    <n v="0.7"/>
    <n v="32.5"/>
    <n v="0"/>
    <n v="0.65"/>
    <n v="0.98"/>
    <n v="0.96"/>
    <n v="0.94"/>
    <n v="0.2"/>
    <n v="0.1"/>
    <n v="0.05"/>
    <n v="0.05"/>
    <n v="40"/>
    <n v="0"/>
    <n v="0"/>
    <n v="549.86"/>
  </r>
  <r>
    <x v="1"/>
    <n v="50"/>
    <n v="7.3900000000000006"/>
    <n v="7.3900000000000006"/>
    <n v="0.14779999999999999"/>
    <n v="0"/>
    <n v="0"/>
    <n v="0"/>
    <n v="0"/>
    <n v="1"/>
    <n v="0"/>
    <n v="0"/>
    <n v="0"/>
    <n v="0.77401894451962105"/>
    <n v="0"/>
    <n v="16.05"/>
    <n v="1.86"/>
    <n v="150.94999999999999"/>
    <n v="168.86"/>
    <n v="50"/>
    <n v="0"/>
    <n v="7.3900000000000006"/>
    <n v="0"/>
    <n v="0"/>
    <n v="0"/>
    <n v="0"/>
    <d v="2025-01-20T00:00:00"/>
    <x v="5"/>
    <n v="7"/>
    <n v="7.4"/>
    <n v="0.01"/>
    <n v="2"/>
    <n v="5"/>
    <n v="5.72"/>
    <n v="1.68"/>
    <n v="7.4"/>
    <n v="5.72"/>
    <n v="0.95"/>
    <n v="10"/>
    <n v="0"/>
    <n v="0"/>
    <n v="7.390000000000000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50.94999999999999"/>
  </r>
  <r>
    <x v="1"/>
    <n v="85"/>
    <n v="85.66"/>
    <n v="85"/>
    <n v="1"/>
    <n v="1795.625"/>
    <n v="552.5"/>
    <n v="0"/>
    <n v="0"/>
    <n v="0.99371069182389904"/>
    <n v="1.8987341772151899E-2"/>
    <n v="276.25"/>
    <n v="0"/>
    <n v="0.84216670558020101"/>
    <n v="138.125"/>
    <n v="94.14"/>
    <n v="8.8699999999999992"/>
    <n v="0"/>
    <n v="2865.51"/>
    <n v="50"/>
    <n v="552.5"/>
    <n v="85"/>
    <n v="0"/>
    <n v="1"/>
    <n v="276.25"/>
    <n v="35"/>
    <d v="2025-01-20T00:00:00"/>
    <x v="12"/>
    <n v="141"/>
    <n v="85.94"/>
    <n v="0.28000000000000003"/>
    <n v="18"/>
    <n v="123"/>
    <n v="72.14"/>
    <n v="13.51"/>
    <n v="12.85"/>
    <n v="10.3"/>
    <n v="1.64"/>
    <n v="158"/>
    <n v="0"/>
    <n v="3"/>
    <n v="85.6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73.84"/>
  </r>
  <r>
    <x v="1"/>
    <n v="50"/>
    <n v="50.22"/>
    <n v="50"/>
    <n v="1"/>
    <n v="1056.25"/>
    <n v="325"/>
    <n v="0"/>
    <n v="0"/>
    <n v="1"/>
    <n v="1.1494252873563199E-2"/>
    <n v="162.5"/>
    <n v="0"/>
    <n v="0.73436877737952999"/>
    <n v="81.25"/>
    <n v="43.68"/>
    <n v="0"/>
    <n v="0"/>
    <n v="1668.68"/>
    <n v="50"/>
    <n v="325"/>
    <n v="50"/>
    <n v="0"/>
    <n v="0"/>
    <n v="162.5"/>
    <n v="0"/>
    <d v="2025-01-20T00:00:00"/>
    <x v="19"/>
    <n v="77"/>
    <n v="50.35"/>
    <n v="0.13"/>
    <n v="15"/>
    <n v="62"/>
    <n v="36.880000000000003"/>
    <n v="13.34"/>
    <n v="15.57"/>
    <n v="14.1"/>
    <n v="1.53"/>
    <n v="87"/>
    <n v="0"/>
    <n v="1"/>
    <n v="50.2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12.98"/>
  </r>
  <r>
    <x v="1"/>
    <n v="210"/>
    <n v="210.74"/>
    <n v="210"/>
    <n v="1"/>
    <n v="4436.25"/>
    <n v="1365"/>
    <n v="0"/>
    <n v="0"/>
    <n v="0.97368421052631604"/>
    <n v="1.8918918918918899E-2"/>
    <n v="682.5"/>
    <n v="0"/>
    <n v="0.79776027332257804"/>
    <n v="341.25"/>
    <n v="138"/>
    <n v="1.51"/>
    <n v="0"/>
    <n v="6964.51"/>
    <n v="200"/>
    <n v="1365"/>
    <n v="210"/>
    <n v="0"/>
    <n v="5"/>
    <n v="682.5"/>
    <n v="10"/>
    <d v="2025-01-20T00:00:00"/>
    <x v="18"/>
    <n v="329"/>
    <n v="210.83999999999997"/>
    <n v="9.9999999999999992E-2"/>
    <n v="70"/>
    <n v="259"/>
    <n v="168.12"/>
    <n v="42.620000000000005"/>
    <n v="88.889999999999986"/>
    <n v="77.86"/>
    <n v="6.18"/>
    <n v="370"/>
    <n v="5"/>
    <n v="7"/>
    <n v="160.75"/>
    <n v="0.1"/>
    <n v="0.05"/>
    <n v="0.7"/>
    <n v="32.5"/>
    <n v="0"/>
    <n v="0.65"/>
    <n v="0.98"/>
    <n v="0.96"/>
    <n v="0.94"/>
    <n v="0.2"/>
    <n v="0.1"/>
    <n v="0.05"/>
    <n v="0.05"/>
    <n v="200"/>
    <n v="0"/>
    <n v="0"/>
    <n v="3615.18"/>
  </r>
  <r>
    <x v="1"/>
    <n v="50"/>
    <n v="50.29"/>
    <n v="50"/>
    <n v="1"/>
    <n v="1056.25"/>
    <n v="325"/>
    <n v="0"/>
    <n v="0"/>
    <n v="1"/>
    <n v="0"/>
    <n v="162.5"/>
    <n v="0"/>
    <n v="0.72658580234639103"/>
    <n v="81.25"/>
    <n v="81"/>
    <n v="0"/>
    <n v="0"/>
    <n v="1706"/>
    <n v="50"/>
    <n v="325"/>
    <n v="50"/>
    <n v="0"/>
    <n v="0"/>
    <n v="162.5"/>
    <n v="0"/>
    <d v="2025-01-20T00:00:00"/>
    <x v="4"/>
    <n v="62"/>
    <n v="50.29"/>
    <n v="0"/>
    <n v="14"/>
    <n v="48"/>
    <n v="36.54"/>
    <n v="13.74"/>
    <n v="19.75"/>
    <n v="18.989999999999998"/>
    <n v="1.23"/>
    <n v="67"/>
    <n v="0"/>
    <n v="0"/>
    <n v="50.2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71.45"/>
  </r>
  <r>
    <x v="1"/>
    <n v="110"/>
    <n v="107.93"/>
    <n v="107.93"/>
    <n v="1"/>
    <n v="2280.0212000000001"/>
    <n v="701.54500000000007"/>
    <n v="0"/>
    <n v="0"/>
    <n v="0.99069767441860501"/>
    <n v="1.8779342723004699E-2"/>
    <n v="350.77249999999998"/>
    <n v="0"/>
    <n v="0.76494023904382502"/>
    <n v="175.3862"/>
    <n v="145.56"/>
    <n v="9.3000000000000007"/>
    <n v="0"/>
    <n v="3662.585"/>
    <n v="100"/>
    <n v="701.54499999999996"/>
    <n v="107.93"/>
    <n v="0"/>
    <n v="0"/>
    <n v="350.77249999999998"/>
    <n v="10"/>
    <d v="2025-01-20T00:00:00"/>
    <x v="1"/>
    <n v="171"/>
    <n v="107.93"/>
    <n v="0"/>
    <n v="35"/>
    <n v="136"/>
    <n v="82.56"/>
    <n v="25.37"/>
    <n v="43.760000000000005"/>
    <n v="34.79"/>
    <n v="3.17"/>
    <n v="213"/>
    <n v="2"/>
    <n v="4"/>
    <n v="107.93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883.4099999999999"/>
  </r>
  <r>
    <x v="1"/>
    <n v="60"/>
    <n v="55.25"/>
    <n v="55.25"/>
    <n v="1"/>
    <n v="1167.1561999999999"/>
    <n v="359.125"/>
    <n v="0"/>
    <n v="0"/>
    <n v="1"/>
    <n v="1.3333333333333299E-2"/>
    <n v="179.5625"/>
    <n v="0"/>
    <n v="0.71348416289592798"/>
    <n v="89.781199999999998"/>
    <n v="46.77"/>
    <n v="0"/>
    <n v="0"/>
    <n v="1842.395"/>
    <n v="50"/>
    <n v="359.125"/>
    <n v="55.25"/>
    <n v="0"/>
    <n v="0"/>
    <n v="179.5625"/>
    <n v="10"/>
    <d v="2025-01-20T00:00:00"/>
    <x v="2"/>
    <n v="66"/>
    <n v="55.25"/>
    <n v="0"/>
    <n v="18"/>
    <n v="48"/>
    <n v="39.42"/>
    <n v="15.83"/>
    <n v="33.61"/>
    <n v="26.8"/>
    <n v="1.19"/>
    <n v="75"/>
    <n v="0"/>
    <n v="1"/>
    <n v="55.2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9.27"/>
  </r>
  <r>
    <x v="1"/>
    <n v="45.26"/>
    <n v="45.26"/>
    <n v="45.26"/>
    <n v="1"/>
    <n v="956.11749999999995"/>
    <n v="294.19"/>
    <n v="0"/>
    <n v="0"/>
    <n v="1"/>
    <n v="0"/>
    <n v="147.095"/>
    <n v="0"/>
    <n v="0.77596111356606301"/>
    <n v="73.547499999999999"/>
    <n v="111.53"/>
    <n v="12"/>
    <n v="0"/>
    <n v="1594.48"/>
    <n v="45.26"/>
    <n v="294.19"/>
    <n v="45.26"/>
    <n v="0"/>
    <n v="0"/>
    <n v="147.095"/>
    <n v="0"/>
    <d v="2025-01-20T00:00:00"/>
    <x v="6"/>
    <n v="56"/>
    <n v="50.51"/>
    <n v="5.25"/>
    <n v="10"/>
    <n v="46"/>
    <n v="35.119999999999997"/>
    <n v="10.14"/>
    <n v="21.88"/>
    <n v="14.56"/>
    <n v="1.1100000000000001"/>
    <n v="31"/>
    <n v="0"/>
    <n v="0"/>
    <n v="45.26"/>
    <n v="0.1"/>
    <n v="0.05"/>
    <n v="0.7"/>
    <n v="32.5"/>
    <n v="0"/>
    <n v="0.65"/>
    <n v="0.98"/>
    <n v="0.96"/>
    <n v="0.94"/>
    <n v="0.2"/>
    <n v="0.1"/>
    <n v="0.05"/>
    <n v="0.05"/>
    <n v="45"/>
    <n v="0"/>
    <n v="0"/>
    <n v="851.88"/>
  </r>
  <r>
    <x v="1"/>
    <n v="50"/>
    <n v="51.18"/>
    <n v="50"/>
    <n v="1"/>
    <n v="1056.25"/>
    <n v="325"/>
    <n v="0"/>
    <n v="0"/>
    <n v="0.92307692307692302"/>
    <n v="0"/>
    <n v="0"/>
    <n v="81.25"/>
    <n v="0.71355998436889401"/>
    <n v="81.25"/>
    <n v="61.23"/>
    <n v="0"/>
    <n v="0"/>
    <n v="1604.98"/>
    <n v="50"/>
    <n v="325"/>
    <n v="0"/>
    <n v="50"/>
    <n v="8"/>
    <n v="81.25"/>
    <n v="0"/>
    <d v="2025-01-20T00:00:00"/>
    <x v="7"/>
    <n v="83"/>
    <n v="51.33"/>
    <n v="0.15"/>
    <n v="4"/>
    <n v="79"/>
    <n v="36.520000000000003"/>
    <n v="14.66"/>
    <n v="10.97"/>
    <n v="8.14"/>
    <n v="1.62"/>
    <n v="96"/>
    <n v="0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63.4"/>
  </r>
  <r>
    <x v="1"/>
    <n v="61"/>
    <n v="59.97"/>
    <n v="59.97"/>
    <n v="1"/>
    <n v="1266.8661999999999"/>
    <n v="389.80500000000001"/>
    <n v="0"/>
    <n v="0"/>
    <n v="0.98888888888888904"/>
    <n v="1.1235955056179799E-2"/>
    <n v="194.9025"/>
    <n v="0"/>
    <n v="0.76038019009504798"/>
    <n v="97.4512"/>
    <n v="31.56"/>
    <n v="0"/>
    <n v="0"/>
    <n v="1980.585"/>
    <n v="50"/>
    <n v="389.80500000000001"/>
    <n v="59.97"/>
    <n v="0"/>
    <n v="0"/>
    <n v="194.9025"/>
    <n v="11"/>
    <d v="2025-01-20T00:00:00"/>
    <x v="10"/>
    <n v="84"/>
    <n v="60.07"/>
    <n v="0.1"/>
    <n v="12"/>
    <n v="72"/>
    <n v="45.6"/>
    <n v="14.37"/>
    <n v="19.16"/>
    <n v="15.55"/>
    <n v="1.4"/>
    <n v="89"/>
    <n v="1"/>
    <n v="1"/>
    <n v="59.97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30.41"/>
  </r>
  <r>
    <x v="1"/>
    <n v="105"/>
    <n v="104.64"/>
    <n v="104.64"/>
    <n v="1"/>
    <n v="2210.52"/>
    <n v="680.16"/>
    <n v="0"/>
    <n v="0"/>
    <n v="0.85393258426966301"/>
    <n v="1.9736842105263198E-2"/>
    <n v="0"/>
    <n v="0"/>
    <n v="0.71330275229357798"/>
    <n v="170.04"/>
    <n v="72.69"/>
    <n v="15"/>
    <n v="0"/>
    <n v="3148.41"/>
    <n v="100"/>
    <n v="680.16"/>
    <n v="0"/>
    <n v="0"/>
    <n v="1"/>
    <n v="0"/>
    <n v="5"/>
    <d v="2025-01-20T00:00:00"/>
    <x v="11"/>
    <n v="139"/>
    <n v="105.5"/>
    <n v="0.86"/>
    <n v="25"/>
    <n v="114"/>
    <n v="74.64"/>
    <n v="30"/>
    <n v="50.460000000000008"/>
    <n v="34.650000000000006"/>
    <n v="3.9699999999999998"/>
    <n v="152"/>
    <n v="25"/>
    <n v="3"/>
    <n v="6.4"/>
    <n v="0.1"/>
    <n v="0.05"/>
    <n v="0.7"/>
    <n v="32.5"/>
    <n v="0"/>
    <n v="0.65"/>
    <n v="0.98"/>
    <n v="0.96"/>
    <n v="0.94"/>
    <n v="0.2"/>
    <n v="0.1"/>
    <n v="0.05"/>
    <n v="0.05"/>
    <n v="100"/>
    <n v="0"/>
    <n v="104.64"/>
    <n v="1540.26"/>
  </r>
  <r>
    <x v="1"/>
    <n v="811"/>
    <n v="811.25000000000011"/>
    <n v="811"/>
    <n v="1"/>
    <n v="18186.674999999999"/>
    <n v="5595.9000000000005"/>
    <n v="0"/>
    <n v="0"/>
    <n v="0.92941810344827602"/>
    <n v="5.5072463768115899E-2"/>
    <n v="0"/>
    <n v="0"/>
    <n v="0.92406779661017002"/>
    <n v="1398.9749999999999"/>
    <n v="1041.19"/>
    <n v="103.46"/>
    <n v="0"/>
    <n v="26326.2"/>
    <n v="800"/>
    <n v="5595.9"/>
    <n v="0"/>
    <n v="0"/>
    <n v="44"/>
    <n v="0"/>
    <n v="11"/>
    <d v="2025-01-20T00:00:00"/>
    <x v="13"/>
    <n v="1324"/>
    <n v="820.00000000000023"/>
    <n v="8.7499999999999982"/>
    <n v="236"/>
    <n v="1088"/>
    <n v="749.65000000000009"/>
    <n v="61.579999999999991"/>
    <n v="317.23"/>
    <n v="297.47999999999996"/>
    <n v="39.999999999999993"/>
    <n v="1725"/>
    <n v="87"/>
    <n v="95"/>
    <n v="302.79000000000002"/>
    <n v="0.1"/>
    <n v="0.05"/>
    <n v="0.7"/>
    <n v="34.5"/>
    <n v="0"/>
    <n v="0.65"/>
    <n v="0.98"/>
    <n v="0.96"/>
    <n v="0.94"/>
    <n v="0.2"/>
    <n v="0.1"/>
    <n v="0.05"/>
    <n v="0.05"/>
    <n v="800"/>
    <n v="0"/>
    <n v="811"/>
    <n v="15255.750000000004"/>
  </r>
  <r>
    <x v="1"/>
    <n v="550"/>
    <n v="546.81999999999994"/>
    <n v="546.81999999999994"/>
    <n v="1"/>
    <n v="11722.1803"/>
    <n v="3606.8247199999996"/>
    <n v="0"/>
    <n v="0"/>
    <n v="0.99004975124378103"/>
    <n v="2.7638190954773899E-2"/>
    <n v="1803.4123999999999"/>
    <n v="0"/>
    <n v="0.94190044255879402"/>
    <n v="901.70619999999997"/>
    <n v="632.65"/>
    <n v="64.180000000000007"/>
    <n v="0"/>
    <n v="18730.953600000001"/>
    <n v="540"/>
    <n v="3606.8247000000001"/>
    <n v="546.81999999999994"/>
    <n v="0"/>
    <n v="3"/>
    <n v="1803.4123999999999"/>
    <n v="10"/>
    <d v="2025-01-20T00:00:00"/>
    <x v="15"/>
    <n v="985"/>
    <n v="550.44000000000005"/>
    <n v="3.62"/>
    <n v="239"/>
    <n v="746"/>
    <n v="515.04999999999995"/>
    <n v="31.749999999999996"/>
    <n v="284.69"/>
    <n v="273.36"/>
    <n v="19.53"/>
    <n v="1194"/>
    <n v="9"/>
    <n v="33"/>
    <n v="361.68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054.44"/>
  </r>
  <r>
    <x v="1"/>
    <n v="50"/>
    <n v="50.160000000000004"/>
    <n v="50"/>
    <n v="1"/>
    <n v="1056.25"/>
    <n v="325"/>
    <n v="0"/>
    <n v="0"/>
    <n v="1"/>
    <n v="0"/>
    <n v="162.5"/>
    <n v="0"/>
    <n v="0.56339712918660301"/>
    <n v="0"/>
    <n v="21"/>
    <n v="0"/>
    <n v="0"/>
    <n v="1564.75"/>
    <n v="50"/>
    <n v="325"/>
    <n v="50"/>
    <n v="0"/>
    <n v="0"/>
    <n v="162.5"/>
    <n v="0"/>
    <d v="2025-01-20T00:00:00"/>
    <x v="14"/>
    <n v="63"/>
    <n v="50.17"/>
    <n v="0.01"/>
    <n v="14"/>
    <n v="49"/>
    <n v="28.26"/>
    <n v="21.9"/>
    <n v="35.770000000000003"/>
    <n v="24.25"/>
    <n v="1.26"/>
    <n v="58"/>
    <n v="0"/>
    <n v="0"/>
    <n v="50.16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23.91"/>
  </r>
  <r>
    <x v="1"/>
    <n v="50"/>
    <n v="50.76"/>
    <n v="50"/>
    <n v="1"/>
    <n v="1056.25"/>
    <n v="325"/>
    <n v="0"/>
    <n v="0"/>
    <n v="1"/>
    <n v="1.1494252873563199E-2"/>
    <n v="162.5"/>
    <n v="0"/>
    <n v="0.87588652482269502"/>
    <n v="81.25"/>
    <n v="61.27"/>
    <n v="9.0500000000000007"/>
    <n v="0"/>
    <n v="1695.32"/>
    <n v="50"/>
    <n v="325"/>
    <n v="50"/>
    <n v="0"/>
    <n v="0"/>
    <n v="162.5"/>
    <n v="0"/>
    <d v="2025-01-20T00:00:00"/>
    <x v="16"/>
    <n v="74"/>
    <n v="51.03"/>
    <n v="0.27"/>
    <n v="24"/>
    <n v="50"/>
    <n v="44.46"/>
    <n v="6.3"/>
    <n v="41.97"/>
    <n v="37.29"/>
    <n v="1.45"/>
    <n v="87"/>
    <n v="0"/>
    <n v="1"/>
    <n v="50.7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3.72"/>
  </r>
  <r>
    <x v="1"/>
    <n v="570"/>
    <n v="535.58000000000004"/>
    <n v="535.58000000000004"/>
    <n v="0.99181481481481504"/>
    <n v="11488.191000000001"/>
    <n v="3534.8280000000004"/>
    <n v="0"/>
    <n v="0"/>
    <n v="0.982680036463081"/>
    <n v="1.9480519480519501E-2"/>
    <n v="1767.414"/>
    <n v="0"/>
    <n v="0.91730460435415795"/>
    <n v="883.70699999999999"/>
    <n v="765.47"/>
    <n v="76.760000000000005"/>
    <n v="0"/>
    <n v="18516.37"/>
    <n v="540"/>
    <n v="3534.828"/>
    <n v="535.58000000000004"/>
    <n v="0"/>
    <n v="17"/>
    <n v="1767.414"/>
    <n v="30"/>
    <d v="2025-01-20T00:00:00"/>
    <x v="0"/>
    <n v="924"/>
    <n v="542.78"/>
    <n v="7.2"/>
    <n v="175"/>
    <n v="749"/>
    <n v="491.29"/>
    <n v="44.3"/>
    <n v="239.74999999999997"/>
    <n v="218.20000000000002"/>
    <n v="25.58"/>
    <n v="1078"/>
    <n v="2"/>
    <n v="21"/>
    <n v="503.81000000000012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727.379999999997"/>
  </r>
  <r>
    <x v="1"/>
    <n v="50"/>
    <n v="53.12"/>
    <n v="50"/>
    <n v="1"/>
    <n v="1056.25"/>
    <n v="325"/>
    <n v="0"/>
    <n v="0"/>
    <n v="1"/>
    <n v="0"/>
    <n v="162.5"/>
    <n v="0"/>
    <n v="0.75244728915662595"/>
    <n v="81.25"/>
    <n v="21.3"/>
    <n v="9.09"/>
    <n v="0"/>
    <n v="1655.39"/>
    <n v="50"/>
    <n v="325"/>
    <n v="50"/>
    <n v="0"/>
    <n v="0"/>
    <n v="162.5"/>
    <n v="0"/>
    <d v="2025-01-20T00:00:00"/>
    <x v="9"/>
    <n v="55"/>
    <n v="53.25"/>
    <n v="0.13"/>
    <n v="18"/>
    <n v="37"/>
    <n v="39.97"/>
    <n v="13.16"/>
    <n v="33.26"/>
    <n v="24.35"/>
    <n v="1.03"/>
    <n v="74"/>
    <n v="0"/>
    <n v="0"/>
    <n v="53.1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2.02"/>
  </r>
  <r>
    <x v="1"/>
    <n v="400"/>
    <n v="437.48"/>
    <n v="400"/>
    <n v="1"/>
    <n v="8450"/>
    <n v="2600"/>
    <n v="0"/>
    <n v="0"/>
    <n v="0.96526054590570698"/>
    <n v="3.4704370179948603E-2"/>
    <n v="1300"/>
    <n v="0"/>
    <n v="0.82303191003017295"/>
    <n v="650"/>
    <n v="348.74"/>
    <n v="58.91"/>
    <n v="0"/>
    <n v="13407.65"/>
    <n v="375"/>
    <n v="2600"/>
    <n v="400"/>
    <n v="0"/>
    <n v="3"/>
    <n v="1300"/>
    <n v="25"/>
    <d v="2025-01-20T00:00:00"/>
    <x v="3"/>
    <n v="604"/>
    <n v="440.77"/>
    <n v="3.2899999999999996"/>
    <n v="121"/>
    <n v="483"/>
    <n v="360.06"/>
    <n v="77.41"/>
    <n v="180.21999999999997"/>
    <n v="160.34"/>
    <n v="12.729999999999999"/>
    <n v="778"/>
    <n v="25"/>
    <n v="27"/>
    <n v="231.03000000000003"/>
    <n v="0.1"/>
    <n v="0.05"/>
    <n v="0.7"/>
    <n v="32.5"/>
    <n v="0"/>
    <n v="0.65"/>
    <n v="0.98"/>
    <n v="0.96"/>
    <n v="0.94"/>
    <n v="0.2"/>
    <n v="0.1"/>
    <n v="0.05"/>
    <n v="0.05"/>
    <n v="375"/>
    <n v="0"/>
    <n v="0"/>
    <n v="6844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3" firstHeaderRow="0" firstDataRow="1" firstDataCol="2"/>
  <pivotFields count="59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16"/>
        <item x="14"/>
        <item x="11"/>
        <item x="13"/>
        <item x="6"/>
        <item x="7"/>
        <item x="4"/>
        <item x="15"/>
        <item x="2"/>
        <item x="9"/>
        <item x="0"/>
        <item x="5"/>
        <item x="18"/>
        <item x="8"/>
        <item m="1" x="20"/>
        <item x="10"/>
        <item x="1"/>
        <item x="17"/>
        <item x="12"/>
        <item x="19"/>
        <item x="3"/>
        <item m="1" x="22"/>
        <item m="1" x="2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7"/>
    <field x="0"/>
  </rowFields>
  <rowItems count="40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43"/>
    <tableColumn id="2" xr3:uid="{6FEE9A9F-BC73-4834-BF05-8DFF7335ED47}" uniqueName="2" name="Rate.PARTNER NAME" queryTableFieldId="2" dataDxfId="42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41" dataDxfId="40">
  <tableColumns count="7">
    <tableColumn id="1" xr3:uid="{6E8F3551-4DCE-46CE-BD28-51A8302E87CB}" name="Type" dataDxfId="39"/>
    <tableColumn id="2" xr3:uid="{5404B4C5-ECEF-4C1F-8A18-BC9D8BE1C71B}" name="Start" dataDxfId="38"/>
    <tableColumn id="3" xr3:uid="{ED569C2B-A42E-43C5-A2F6-A3987EE52677}" name="End" dataDxfId="37">
      <calculatedColumnFormula>C2+6</calculatedColumnFormula>
    </tableColumn>
    <tableColumn id="8" xr3:uid="{7528310C-79CF-4C2C-A6A6-945EB7C53D6F}" name="Week#" dataDxfId="36"/>
    <tableColumn id="6" xr3:uid="{AE3F7AE3-B9B7-4FBD-BECC-F855DB3120A1}" name="Utilization Target" dataDxfId="35"/>
    <tableColumn id="4" xr3:uid="{76EDF2B3-48C2-41BC-8C8B-1E1DA27282E5}" name="Tier 1 ARDCRI Rate" dataDxfId="34" dataCellStyle="Percent"/>
    <tableColumn id="5" xr3:uid="{623BF9A5-9791-48A7-A063-0FCE89090301}" name="Tier 2 ARDCRI Rate" dataDxfId="33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6" tableType="queryTable" totalsRowShown="0">
  <autoFilter ref="A1:Q56" xr:uid="{425E9FDE-B83D-4045-8FD5-DD203C9CE861}"/>
  <tableColumns count="17">
    <tableColumn id="1" xr3:uid="{E230C15D-1F50-42B6-BAD8-8BBB397BDDF0}" uniqueName="1" name="PARTNER" queryTableFieldId="1" dataDxfId="32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31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30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29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2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2" tableType="queryTable" totalsRowShown="0">
  <autoFilter ref="A1:AH172" xr:uid="{E5D12863-AD84-4A4B-B180-F1201FADB94C}"/>
  <tableColumns count="34">
    <tableColumn id="1" xr3:uid="{2DF377BE-88DC-4F51-A0C3-719C6FB3A4E6}" uniqueName="1" name="Week" queryTableFieldId="1" dataDxfId="27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41BF30B-BC98-487E-A528-51293425A128}" name="Table1" displayName="Table1" ref="J3:Q42" totalsRowShown="0" headerRowDxfId="25" dataDxfId="23" headerRowBorderDxfId="24" tableBorderDxfId="22" totalsRowBorderDxfId="21">
  <autoFilter ref="J3:Q42" xr:uid="{141BF30B-BC98-487E-A528-51293425A128}"/>
  <tableColumns count="8">
    <tableColumn id="1" xr3:uid="{A92E95E5-2110-4A56-B8EA-6A9FF20E725E}" name="PARTNER NAME" dataDxfId="20"/>
    <tableColumn id="2" xr3:uid="{CA09CF10-770C-44BD-9CB8-3756E3EA5E83}" name="WeekN" dataDxfId="19"/>
    <tableColumn id="3" xr3:uid="{EEFE02D3-520F-49FA-AC97-4CCD30C13094}" name="Required Hours" dataDxfId="18"/>
    <tableColumn id="6" xr3:uid="{66804F4A-B9EF-4C52-9102-B61F1C504CB8}" name="Approved Extra" dataDxfId="17"/>
    <tableColumn id="4" xr3:uid="{8FF36CC0-622D-4863-8133-A4C965AE8B99}" name="Allowed Hours" dataDxfId="16">
      <calculatedColumnFormula>+L4+M4</calculatedColumnFormula>
    </tableColumn>
    <tableColumn id="5" xr3:uid="{AEFEC3CD-AB57-4CB3-97A6-D295EBCFA0DA}" name="Online Hours" dataDxfId="15"/>
    <tableColumn id="8" xr3:uid="{A4C56D48-ED98-47AD-9319-C0F19AD0FF98}" name="Payable Hours" dataDxfId="14"/>
    <tableColumn id="9" xr3:uid="{E95A23ED-CD76-4068-8D27-C3C625D9ECA8}" name="Extra hours" dataDxfId="13" dataCellStyle="Comma">
      <calculatedColumnFormula>+O4-P4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0" tableType="queryTable" totalsRowShown="0">
  <autoFilter ref="A1:BG40" xr:uid="{DE01B30A-39AF-4694-BB2D-3D7EA17167B1}">
    <filterColumn colId="0">
      <filters>
        <filter val="Week1"/>
      </filters>
    </filterColumn>
    <filterColumn colId="27">
      <filters>
        <filter val="GIANNA TRANSPORT LLC"/>
        <filter val="PUNCTUAL SERVICE LLC"/>
      </filters>
    </filterColumn>
  </autoFilter>
  <sortState xmlns:xlrd2="http://schemas.microsoft.com/office/spreadsheetml/2017/richdata2" ref="A7:BG8">
    <sortCondition ref="AB1:AB40"/>
  </sortState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insertRow="1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9" tableType="queryTable" totalsRowShown="0">
  <autoFilter ref="A1:T209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0</v>
      </c>
      <c r="D2">
        <v>800</v>
      </c>
    </row>
    <row r="3" spans="1:4" x14ac:dyDescent="0.25">
      <c r="A3" t="s">
        <v>1600</v>
      </c>
      <c r="B3" t="s">
        <v>1600</v>
      </c>
      <c r="C3">
        <v>10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60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0</v>
      </c>
      <c r="D7">
        <v>375</v>
      </c>
    </row>
    <row r="8" spans="1:4" x14ac:dyDescent="0.25">
      <c r="A8" t="s">
        <v>1751</v>
      </c>
      <c r="B8" t="s">
        <v>1751</v>
      </c>
      <c r="C8">
        <v>0</v>
      </c>
      <c r="D8">
        <v>50</v>
      </c>
    </row>
    <row r="9" spans="1:4" x14ac:dyDescent="0.25">
      <c r="A9" t="s">
        <v>1749</v>
      </c>
      <c r="B9" t="s">
        <v>1749</v>
      </c>
      <c r="C9">
        <v>0</v>
      </c>
      <c r="D9">
        <v>50</v>
      </c>
    </row>
    <row r="10" spans="1:4" x14ac:dyDescent="0.25">
      <c r="A10" t="s">
        <v>1750</v>
      </c>
      <c r="B10" t="s">
        <v>1750</v>
      </c>
      <c r="C10">
        <v>0</v>
      </c>
      <c r="D10">
        <v>50</v>
      </c>
    </row>
    <row r="11" spans="1:4" x14ac:dyDescent="0.25">
      <c r="A11" t="s">
        <v>1716</v>
      </c>
      <c r="B11" t="s">
        <v>1716</v>
      </c>
      <c r="C11">
        <v>15</v>
      </c>
      <c r="D11">
        <v>50</v>
      </c>
    </row>
    <row r="12" spans="1:4" x14ac:dyDescent="0.25">
      <c r="A12" t="s">
        <v>1746</v>
      </c>
      <c r="B12" t="s">
        <v>1746</v>
      </c>
      <c r="C12">
        <v>0</v>
      </c>
      <c r="D12">
        <v>50</v>
      </c>
    </row>
    <row r="13" spans="1:4" x14ac:dyDescent="0.25">
      <c r="A13" t="s">
        <v>1699</v>
      </c>
      <c r="B13" t="s">
        <v>1699</v>
      </c>
      <c r="C13">
        <v>0</v>
      </c>
      <c r="D13">
        <v>50</v>
      </c>
    </row>
    <row r="14" spans="1:4" x14ac:dyDescent="0.25">
      <c r="A14" t="s">
        <v>1814</v>
      </c>
      <c r="B14" t="s">
        <v>1814</v>
      </c>
      <c r="C14">
        <v>0</v>
      </c>
      <c r="D14">
        <v>85</v>
      </c>
    </row>
    <row r="15" spans="1:4" x14ac:dyDescent="0.25">
      <c r="A15" t="s">
        <v>1747</v>
      </c>
      <c r="B15" t="s">
        <v>1747</v>
      </c>
      <c r="C15">
        <v>0</v>
      </c>
      <c r="D15">
        <v>200</v>
      </c>
    </row>
    <row r="16" spans="1:4" x14ac:dyDescent="0.25">
      <c r="A16" t="s">
        <v>1787</v>
      </c>
      <c r="B16" t="s">
        <v>1787</v>
      </c>
      <c r="C16">
        <v>10</v>
      </c>
      <c r="D16">
        <v>100</v>
      </c>
    </row>
    <row r="17" spans="1:4" x14ac:dyDescent="0.25">
      <c r="A17" t="s">
        <v>1742</v>
      </c>
      <c r="B17" t="s">
        <v>1742</v>
      </c>
      <c r="C17">
        <v>10</v>
      </c>
      <c r="D17">
        <v>50</v>
      </c>
    </row>
    <row r="18" spans="1:4" x14ac:dyDescent="0.25">
      <c r="A18" t="s">
        <v>1748</v>
      </c>
      <c r="B18" t="s">
        <v>1748</v>
      </c>
      <c r="C18">
        <v>11</v>
      </c>
      <c r="D18">
        <v>50</v>
      </c>
    </row>
    <row r="19" spans="1:4" x14ac:dyDescent="0.25">
      <c r="A19" t="s">
        <v>1788</v>
      </c>
      <c r="B19" t="s">
        <v>1788</v>
      </c>
      <c r="C19">
        <v>0</v>
      </c>
      <c r="D19">
        <v>21.26</v>
      </c>
    </row>
    <row r="20" spans="1:4" x14ac:dyDescent="0.25">
      <c r="A20" t="s">
        <v>1745</v>
      </c>
      <c r="B20" t="s">
        <v>1745</v>
      </c>
      <c r="C20">
        <v>0</v>
      </c>
      <c r="D20">
        <v>50</v>
      </c>
    </row>
    <row r="21" spans="1:4" x14ac:dyDescent="0.25">
      <c r="A21" t="s">
        <v>1815</v>
      </c>
      <c r="B21" t="s">
        <v>1815</v>
      </c>
      <c r="C21">
        <v>0</v>
      </c>
      <c r="D21">
        <v>50</v>
      </c>
    </row>
    <row r="22" spans="1:4" x14ac:dyDescent="0.25">
      <c r="A22" t="s">
        <v>1812</v>
      </c>
      <c r="B22" t="s">
        <v>1812</v>
      </c>
      <c r="C22">
        <v>0</v>
      </c>
      <c r="D22">
        <v>50</v>
      </c>
    </row>
    <row r="23" spans="1:4" x14ac:dyDescent="0.25">
      <c r="A23" t="s">
        <v>1816</v>
      </c>
      <c r="B23" t="s">
        <v>1816</v>
      </c>
      <c r="C23">
        <v>5</v>
      </c>
      <c r="D23">
        <v>50</v>
      </c>
    </row>
    <row r="24" spans="1:4" x14ac:dyDescent="0.25">
      <c r="A24" t="s">
        <v>2048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2008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45670</v>
      </c>
      <c r="D2" s="54">
        <f>C2+6</f>
        <v>45676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45677</v>
      </c>
      <c r="D3" s="54">
        <f>C3+6</f>
        <v>45683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6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167</v>
      </c>
      <c r="D2">
        <v>2</v>
      </c>
      <c r="E2">
        <v>334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321.5</v>
      </c>
      <c r="D3">
        <v>2</v>
      </c>
      <c r="E3">
        <v>643</v>
      </c>
      <c r="F3">
        <v>0</v>
      </c>
      <c r="G3">
        <v>2649.11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2649.11</v>
      </c>
    </row>
    <row r="4" spans="1:17" x14ac:dyDescent="0.25">
      <c r="A4" t="s">
        <v>1599</v>
      </c>
      <c r="B4">
        <v>4531</v>
      </c>
      <c r="C4">
        <v>321.5</v>
      </c>
      <c r="D4">
        <v>2</v>
      </c>
      <c r="E4">
        <v>643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321.5</v>
      </c>
      <c r="D5">
        <v>2</v>
      </c>
      <c r="E5">
        <v>643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321.5</v>
      </c>
      <c r="D6">
        <v>2</v>
      </c>
      <c r="E6">
        <v>643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321.5</v>
      </c>
      <c r="D7">
        <v>2</v>
      </c>
      <c r="E7">
        <v>643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321.5</v>
      </c>
      <c r="D8">
        <v>2</v>
      </c>
      <c r="E8">
        <v>643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321.5</v>
      </c>
      <c r="D9">
        <v>2</v>
      </c>
      <c r="E9">
        <v>643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321.5</v>
      </c>
      <c r="D10">
        <v>2</v>
      </c>
      <c r="E10">
        <v>643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321.5</v>
      </c>
      <c r="D11">
        <v>2</v>
      </c>
      <c r="E11">
        <v>643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321.5</v>
      </c>
      <c r="D12">
        <v>2</v>
      </c>
      <c r="E12">
        <v>643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321.5</v>
      </c>
      <c r="D13">
        <v>2</v>
      </c>
      <c r="E13">
        <v>643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321.5</v>
      </c>
      <c r="D14">
        <v>2</v>
      </c>
      <c r="E14">
        <v>643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321.5</v>
      </c>
      <c r="D15">
        <v>2</v>
      </c>
      <c r="E15">
        <v>643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167</v>
      </c>
      <c r="D16">
        <v>2</v>
      </c>
      <c r="E16">
        <v>334</v>
      </c>
      <c r="F16">
        <v>0</v>
      </c>
      <c r="G16">
        <v>13.41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13.41</v>
      </c>
    </row>
    <row r="17" spans="1:17" x14ac:dyDescent="0.25">
      <c r="A17" t="s">
        <v>1600</v>
      </c>
      <c r="B17">
        <v>4571</v>
      </c>
      <c r="C17">
        <v>321.5</v>
      </c>
      <c r="D17">
        <v>2</v>
      </c>
      <c r="E17">
        <v>643</v>
      </c>
      <c r="F17">
        <v>0</v>
      </c>
      <c r="G17">
        <v>565.23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565.23</v>
      </c>
    </row>
    <row r="18" spans="1:17" x14ac:dyDescent="0.25">
      <c r="A18" t="s">
        <v>1600</v>
      </c>
      <c r="B18">
        <v>4538</v>
      </c>
      <c r="C18">
        <v>321.5</v>
      </c>
      <c r="D18">
        <v>2</v>
      </c>
      <c r="E18">
        <v>643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321.5</v>
      </c>
      <c r="D19">
        <v>2</v>
      </c>
      <c r="E19">
        <v>643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321.5</v>
      </c>
      <c r="D20">
        <v>2</v>
      </c>
      <c r="E20">
        <v>643</v>
      </c>
      <c r="F20">
        <v>0</v>
      </c>
      <c r="G20">
        <v>36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36</v>
      </c>
    </row>
    <row r="21" spans="1:17" x14ac:dyDescent="0.25">
      <c r="A21" t="s">
        <v>1814</v>
      </c>
      <c r="B21">
        <v>4529</v>
      </c>
      <c r="C21">
        <v>321.5</v>
      </c>
      <c r="D21">
        <v>2</v>
      </c>
      <c r="E21">
        <v>643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167</v>
      </c>
      <c r="D22">
        <v>2</v>
      </c>
      <c r="E22">
        <v>334</v>
      </c>
      <c r="F22">
        <v>0</v>
      </c>
      <c r="G22">
        <v>108.1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250</v>
      </c>
      <c r="O22" t="s">
        <v>96</v>
      </c>
      <c r="P22">
        <v>0</v>
      </c>
      <c r="Q22">
        <v>108.1</v>
      </c>
    </row>
    <row r="23" spans="1:17" x14ac:dyDescent="0.25">
      <c r="A23" t="s">
        <v>1750</v>
      </c>
      <c r="B23">
        <v>4548</v>
      </c>
      <c r="C23">
        <v>167</v>
      </c>
      <c r="D23">
        <v>2</v>
      </c>
      <c r="E23">
        <v>334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167</v>
      </c>
      <c r="D24">
        <v>2</v>
      </c>
      <c r="E24">
        <v>334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167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321.5</v>
      </c>
      <c r="D26">
        <v>2</v>
      </c>
      <c r="E26">
        <v>643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321.5</v>
      </c>
      <c r="D27">
        <v>2</v>
      </c>
      <c r="E27">
        <v>643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321.5</v>
      </c>
      <c r="D28">
        <v>2</v>
      </c>
      <c r="E28">
        <v>643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321.5</v>
      </c>
      <c r="D29">
        <v>2</v>
      </c>
      <c r="E29">
        <v>643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167</v>
      </c>
      <c r="D30">
        <v>2</v>
      </c>
      <c r="E30">
        <v>334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167</v>
      </c>
      <c r="D31">
        <v>2</v>
      </c>
      <c r="E31">
        <v>334</v>
      </c>
      <c r="F31">
        <v>0</v>
      </c>
      <c r="G31">
        <v>45.65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45.65</v>
      </c>
    </row>
    <row r="32" spans="1:17" x14ac:dyDescent="0.25">
      <c r="A32" t="s">
        <v>1601</v>
      </c>
      <c r="B32">
        <v>4543</v>
      </c>
      <c r="C32">
        <v>321.5</v>
      </c>
      <c r="D32">
        <v>2</v>
      </c>
      <c r="E32">
        <v>643</v>
      </c>
      <c r="F32">
        <v>0</v>
      </c>
      <c r="G32">
        <v>1038.4100000000001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1038.4100000000001</v>
      </c>
    </row>
    <row r="33" spans="1:17" x14ac:dyDescent="0.25">
      <c r="A33" t="s">
        <v>1601</v>
      </c>
      <c r="B33">
        <v>4544</v>
      </c>
      <c r="C33">
        <v>321.5</v>
      </c>
      <c r="D33">
        <v>2</v>
      </c>
      <c r="E33">
        <v>643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321.5</v>
      </c>
      <c r="D34">
        <v>2</v>
      </c>
      <c r="E34">
        <v>643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321.5</v>
      </c>
      <c r="D35">
        <v>2</v>
      </c>
      <c r="E35">
        <v>643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321.5</v>
      </c>
      <c r="D36">
        <v>2</v>
      </c>
      <c r="E36">
        <v>643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321.5</v>
      </c>
      <c r="D37">
        <v>2</v>
      </c>
      <c r="E37">
        <v>643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321.5</v>
      </c>
      <c r="D38">
        <v>2</v>
      </c>
      <c r="E38">
        <v>643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167</v>
      </c>
      <c r="D39">
        <v>2</v>
      </c>
      <c r="E39">
        <v>334</v>
      </c>
      <c r="F39">
        <v>0</v>
      </c>
      <c r="G39">
        <v>149.25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149.25</v>
      </c>
    </row>
    <row r="40" spans="1:17" x14ac:dyDescent="0.25">
      <c r="A40" t="s">
        <v>1747</v>
      </c>
      <c r="B40">
        <v>4570</v>
      </c>
      <c r="C40">
        <v>321.5</v>
      </c>
      <c r="D40">
        <v>2</v>
      </c>
      <c r="E40">
        <v>643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167</v>
      </c>
      <c r="D41">
        <v>2</v>
      </c>
      <c r="E41">
        <v>334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167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167</v>
      </c>
      <c r="D43">
        <v>2</v>
      </c>
      <c r="E43">
        <v>334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167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167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167</v>
      </c>
      <c r="D46">
        <v>2</v>
      </c>
      <c r="E46">
        <v>334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321.5</v>
      </c>
      <c r="D47">
        <v>2</v>
      </c>
      <c r="E47">
        <v>643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167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167</v>
      </c>
      <c r="D49">
        <v>2</v>
      </c>
      <c r="E49">
        <v>334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167</v>
      </c>
      <c r="D50">
        <v>2</v>
      </c>
      <c r="E50">
        <v>334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167</v>
      </c>
      <c r="D51">
        <v>2</v>
      </c>
      <c r="E51">
        <v>334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321.5</v>
      </c>
      <c r="D52">
        <v>2</v>
      </c>
      <c r="E52">
        <v>643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321.5</v>
      </c>
      <c r="D53">
        <v>2</v>
      </c>
      <c r="E53">
        <v>643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4565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321.5</v>
      </c>
      <c r="D55">
        <v>2</v>
      </c>
      <c r="E55">
        <v>643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  <row r="56" spans="1:17" x14ac:dyDescent="0.25">
      <c r="A56" t="s">
        <v>1670</v>
      </c>
      <c r="B56">
        <v>4527</v>
      </c>
      <c r="C56">
        <v>321.5</v>
      </c>
      <c r="D56">
        <v>2</v>
      </c>
      <c r="E56">
        <v>643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 t="s">
        <v>96</v>
      </c>
      <c r="P56">
        <v>0</v>
      </c>
      <c r="Q5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80" zoomScaleNormal="80" workbookViewId="0">
      <pane ySplit="4" topLeftCell="A13" activePane="bottomLeft" state="frozen"/>
      <selection pane="bottomLeft" activeCell="C36" sqref="C36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2056</v>
      </c>
      <c r="B1" s="26"/>
      <c r="C1" s="26"/>
    </row>
    <row r="2" spans="1:20" ht="18.75" x14ac:dyDescent="0.3">
      <c r="A2" s="25"/>
      <c r="B2" s="26"/>
      <c r="C2" s="26"/>
      <c r="D2" s="109" t="s">
        <v>68</v>
      </c>
      <c r="E2" s="109"/>
      <c r="F2" s="109"/>
      <c r="G2" s="109"/>
      <c r="H2" s="109"/>
      <c r="I2" s="109"/>
      <c r="J2" s="110" t="s">
        <v>69</v>
      </c>
      <c r="K2" s="110"/>
      <c r="L2" s="110"/>
      <c r="M2" s="110"/>
      <c r="N2" s="110"/>
      <c r="O2" s="110"/>
      <c r="P2" s="110"/>
    </row>
    <row r="3" spans="1:20" ht="15.75" x14ac:dyDescent="0.25">
      <c r="A3" s="25"/>
      <c r="B3" s="26"/>
      <c r="C3" s="26"/>
      <c r="D3" s="112" t="s">
        <v>70</v>
      </c>
      <c r="E3" s="112"/>
      <c r="F3" s="112" t="s">
        <v>71</v>
      </c>
      <c r="G3" s="112"/>
      <c r="H3" s="112"/>
      <c r="I3" s="112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111" t="s">
        <v>96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48924.558000000005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8359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2649.11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37916.448000000004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37222.858200000002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4501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565.23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32156.628200000003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36874.315000000002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4501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1038.4100000000001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31334.905000000002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2413.39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334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108.1</v>
      </c>
      <c r="P10" s="36" cm="1">
        <f t="array" ref="P10">SUM(_xlfn._xlws.FILTER(Deduction_and_other_Revenue[Other Deductions],((Deduction_and_other_Revenue[TYPE]=$A$5)*(Deduction_and_other_Revenue[PARTNER]=$A10)),0))</f>
        <v>250</v>
      </c>
      <c r="Q10" s="39">
        <f t="shared" si="0"/>
        <v>1721.29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25352.114999999998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2572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22780.114999999998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3319.3900000000003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334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45.65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2939.7400000000002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3308.4700000000003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334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2974.4700000000003</v>
      </c>
    </row>
    <row r="14" spans="1:20" ht="15" customHeight="1" x14ac:dyDescent="0.25">
      <c r="A14" s="41" t="str">
        <v>JOUD LLC</v>
      </c>
      <c r="B14" s="48">
        <v>12106</v>
      </c>
      <c r="C14" s="27" t="str">
        <v>khlil3001@hotmail.com</v>
      </c>
      <c r="D14" s="36">
        <f>IFERROR(SUMIF(SumVDPMVReport[PARTNER NAME],$A14,SumVDPMVReport[Total Rev]),0)</f>
        <v>3395.74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334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3061.74</v>
      </c>
    </row>
    <row r="15" spans="1:20" ht="15" customHeight="1" x14ac:dyDescent="0.25">
      <c r="A15" s="41" t="str">
        <v>UMDOR LIMO SERVICES LLC</v>
      </c>
      <c r="B15" s="48">
        <v>12114</v>
      </c>
      <c r="C15" s="27" t="str">
        <v>farahatsayed@hotmail.com</v>
      </c>
      <c r="D15" s="36">
        <f>IFERROR(SUMIF(SumVDPMVReport[PARTNER NAME],$A15,SumVDPMVReport[Total Rev]),0)</f>
        <v>5050.7800000000007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334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4716.7800000000007</v>
      </c>
    </row>
    <row r="16" spans="1:20" ht="15" customHeight="1" x14ac:dyDescent="0.25">
      <c r="A16" s="41" t="str">
        <v>PUNCTUAL SERVICE LLC</v>
      </c>
      <c r="B16" s="48">
        <v>12118</v>
      </c>
      <c r="C16" s="27" t="str">
        <v>almothna20@yahoo.com</v>
      </c>
      <c r="D16" s="36">
        <f>IFERROR(SUMIF(SumVDPMVReport[PARTNER NAME],$A16,SumVDPMVReport[Total Rev]),0)</f>
        <v>773.46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334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149.25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290.21000000000004</v>
      </c>
    </row>
    <row r="17" spans="1:17" ht="15" customHeight="1" x14ac:dyDescent="0.25">
      <c r="A17" s="41" t="str">
        <v>SABAH SBH LLC</v>
      </c>
      <c r="B17" s="48">
        <v>12119</v>
      </c>
      <c r="C17" s="27" t="str">
        <v>lmohamedsabah@yahoo.com</v>
      </c>
      <c r="D17" s="36">
        <f>IFERROR(SUMIF(SumVDPMVReport[PARTNER NAME],$A17,SumVDPMVReport[Total Rev]),0)</f>
        <v>0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0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0</v>
      </c>
    </row>
    <row r="18" spans="1:17" ht="15" customHeight="1" x14ac:dyDescent="0.25">
      <c r="A18" s="41" t="str">
        <v>ASKR AUTO INC</v>
      </c>
      <c r="B18" s="48">
        <v>12127</v>
      </c>
      <c r="C18" s="27" t="str">
        <v>shaaeldin@hotmail.com</v>
      </c>
      <c r="D18" s="36">
        <f>IFERROR(SUMIF(SumVDPMVReport[PARTNER NAME],$A18,SumVDPMVReport[Total Rev]),0)</f>
        <v>4342.3099999999995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1286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36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3020.3099999999995</v>
      </c>
    </row>
    <row r="19" spans="1:17" ht="15" customHeight="1" x14ac:dyDescent="0.25">
      <c r="A19" s="41" t="str">
        <v>QUAKER STATE TRANS LLC</v>
      </c>
      <c r="B19" s="48">
        <v>12141</v>
      </c>
      <c r="C19" s="27" t="str">
        <v>atigatig214@gmail.com</v>
      </c>
      <c r="D19" s="36">
        <f>IFERROR(SUMIF(SumVDPMVReport[PARTNER NAME],$A19,SumVDPMVReport[Total Rev]),0)</f>
        <v>13278.59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977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12301.59</v>
      </c>
    </row>
    <row r="20" spans="1:17" ht="15" customHeight="1" x14ac:dyDescent="0.25">
      <c r="A20" s="41" t="str">
        <v>SHAMS TRANSPORTATION LLC</v>
      </c>
      <c r="B20" s="48">
        <v>12145</v>
      </c>
      <c r="C20" s="27" t="str">
        <v>abaalla429@gmail.com</v>
      </c>
      <c r="D20" s="36">
        <f>IFERROR(SUMIF(SumVDPMVReport[PARTNER NAME],$A20,SumVDPMVReport[Total Rev]),0)</f>
        <v>7184.7550000000001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643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6541.7550000000001</v>
      </c>
    </row>
    <row r="21" spans="1:17" ht="15" customHeight="1" x14ac:dyDescent="0.25">
      <c r="A21" s="41" t="str">
        <v>MOAAZKO TRANSIT LLC</v>
      </c>
      <c r="B21" s="48">
        <v>12150</v>
      </c>
      <c r="C21" s="27" t="str">
        <v>moaazkhairy345@gmail.com</v>
      </c>
      <c r="D21" s="36">
        <f>IFERROR(SUMIF(SumVDPMVReport[PARTNER NAME],$A21,SumVDPMVReport[Total Rev]),0)</f>
        <v>3738.9949999999999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0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334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3404.9949999999999</v>
      </c>
    </row>
    <row r="22" spans="1:17" ht="15" customHeight="1" x14ac:dyDescent="0.25">
      <c r="A22" s="41" t="str">
        <v>SAFE DRIVE TRANS LLC</v>
      </c>
      <c r="B22" s="48">
        <v>12154</v>
      </c>
      <c r="C22" s="27" t="str">
        <v>ismailouarzazate1993@gmail.com</v>
      </c>
      <c r="D22" s="36">
        <f>IFERROR(SUMIF(SumVDPMVReport[PARTNER NAME],$A22,SumVDPMVReport[Total Rev]),0)</f>
        <v>3986.085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334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3652.085</v>
      </c>
    </row>
    <row r="23" spans="1:17" ht="14.45" customHeight="1" x14ac:dyDescent="0.25">
      <c r="A23" s="41" t="str">
        <v>TIBSHA TRANSPORTATION</v>
      </c>
      <c r="B23" s="48">
        <v>12155</v>
      </c>
      <c r="C23" s="27" t="str">
        <v>tibsha215@gmail.com</v>
      </c>
      <c r="D23" s="36">
        <f>IFERROR(SUMIF(SumVDPMVReport[PARTNER NAME],$A23,SumVDPMVReport[Total Rev]),0)</f>
        <v>1979.6512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334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1645.6512</v>
      </c>
    </row>
    <row r="24" spans="1:17" ht="15" customHeight="1" x14ac:dyDescent="0.25">
      <c r="A24" s="41" t="str">
        <v>WHITE NILE TRANSIT</v>
      </c>
      <c r="B24" s="48">
        <v>12157</v>
      </c>
      <c r="C24" s="27" t="str">
        <v>musab1988@hotmail.com</v>
      </c>
      <c r="D24" s="36">
        <f>IFERROR(SUMIF(SumVDPMVReport[PARTNER NAME],$A24,SumVDPMVReport[Total Rev]),0)</f>
        <v>1668.68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334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1334.68</v>
      </c>
    </row>
    <row r="25" spans="1:17" ht="15" customHeight="1" x14ac:dyDescent="0.25">
      <c r="A25" s="41" t="str">
        <v>ABU ANNE LLC</v>
      </c>
      <c r="B25" s="48">
        <v>12164</v>
      </c>
      <c r="C25" s="27" t="str">
        <v>hassanarizona@hotmail.com</v>
      </c>
      <c r="D25" s="36">
        <f>IFERROR(SUMIF(SumVDPMVReport[PARTNER NAME],$A25,SumVDPMVReport[Total Rev]),0)</f>
        <v>3207.5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334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13.41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2860.09</v>
      </c>
    </row>
    <row r="26" spans="1:17" ht="15" customHeight="1" x14ac:dyDescent="0.25">
      <c r="A26" s="41" t="str">
        <v>JARA TRANS LLC</v>
      </c>
      <c r="B26" s="48">
        <v>12166</v>
      </c>
      <c r="C26" s="27" t="str">
        <v>jaratrans12@gmail.com</v>
      </c>
      <c r="D26" s="36">
        <f>IFERROR(SUMIF(SumVDPMVReport[PARTNER NAME],$A26,SumVDPMVReport[Total Rev]),0)</f>
        <v>3179.98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334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2845.98</v>
      </c>
    </row>
    <row r="27" spans="1:17" ht="15" customHeight="1" x14ac:dyDescent="0.25">
      <c r="A27" s="41" t="str">
        <v>QUICK STARS LLC</v>
      </c>
      <c r="B27" s="48">
        <v>12168</v>
      </c>
      <c r="C27" s="27" t="str">
        <v>said7kabdi@gmail.com</v>
      </c>
      <c r="D27" s="36">
        <f>IFERROR(SUMIF(SumVDPMVReport[PARTNER NAME],$A27,SumVDPMVReport[Total Rev]),0)</f>
        <v>3146.8613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334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2812.8613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212348.48369999998</v>
      </c>
      <c r="E36" s="42">
        <f t="shared" si="5"/>
        <v>0</v>
      </c>
      <c r="F36" s="42">
        <f t="shared" si="5"/>
        <v>0</v>
      </c>
      <c r="G36" s="42">
        <f t="shared" si="5"/>
        <v>0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27181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4605.16</v>
      </c>
      <c r="P36" s="42">
        <f t="shared" si="5"/>
        <v>250</v>
      </c>
      <c r="Q36" s="42">
        <f t="shared" si="5"/>
        <v>180312.32369999995</v>
      </c>
    </row>
    <row r="38" spans="4:17" ht="15" customHeight="1" x14ac:dyDescent="0.25">
      <c r="K38" s="79"/>
    </row>
    <row r="39" spans="4:17" ht="15" customHeight="1" x14ac:dyDescent="0.25">
      <c r="D39" s="43">
        <f>D36</f>
        <v>212348.48369999998</v>
      </c>
      <c r="E39" s="43">
        <f t="shared" ref="E39:Q39" si="6">E36</f>
        <v>0</v>
      </c>
      <c r="F39" s="43">
        <f t="shared" si="6"/>
        <v>0</v>
      </c>
      <c r="G39" s="43">
        <f t="shared" si="6"/>
        <v>0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27181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4605.16</v>
      </c>
      <c r="P39" s="43">
        <f t="shared" si="6"/>
        <v>250</v>
      </c>
      <c r="Q39" s="43">
        <f t="shared" si="6"/>
        <v>180312.32369999995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2" spans="4:17" ht="15" customHeight="1" x14ac:dyDescent="0.25">
      <c r="D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1/13/25,  1/26/25</v>
      </c>
      <c r="F2" cm="1">
        <f t="array" ref="F2:F24">INDEX(PR!B:B,_xlfn.ANCHORARRAY($C2))</f>
        <v>1202</v>
      </c>
      <c r="H2" cm="1">
        <f t="array" ref="H2:H24">INDEX(PR!D:D,_xlfn.ANCHORARRAY($C2))</f>
        <v>48924.558000000005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8359</v>
      </c>
      <c r="O2" cm="1">
        <f t="array" ref="O2:O24">INDEX(PR!L:L,_xlfn.ANCHORARRAY($C2))+INDEX(PR!M:M,_xlfn.ANCHORARRAY($C2))+INDEX(PR!N:N,_xlfn.ANCHORARRAY($C2))+INDEX(PR!O:O,_xlfn.ANCHORARRAY($C2))</f>
        <v>2649.11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1/13/25,  1/26/25</v>
      </c>
      <c r="F3">
        <v>3114</v>
      </c>
      <c r="H3">
        <v>37222.858200000002</v>
      </c>
      <c r="I3">
        <v>0</v>
      </c>
      <c r="J3">
        <v>0</v>
      </c>
      <c r="K3">
        <v>0</v>
      </c>
      <c r="L3">
        <v>0</v>
      </c>
      <c r="M3">
        <v>0</v>
      </c>
      <c r="N3">
        <v>4501</v>
      </c>
      <c r="O3">
        <v>565.23</v>
      </c>
      <c r="P3">
        <v>0</v>
      </c>
    </row>
    <row r="4" spans="1:18" x14ac:dyDescent="0.25">
      <c r="C4">
        <v>8</v>
      </c>
      <c r="D4" t="str">
        <v>DIV12-PA</v>
      </c>
      <c r="E4" t="str">
        <v>1/13/25,  1/26/25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1/13/25,  1/26/25</v>
      </c>
      <c r="F5">
        <v>9066</v>
      </c>
      <c r="H5">
        <v>36874.315000000002</v>
      </c>
      <c r="I5">
        <v>0</v>
      </c>
      <c r="J5">
        <v>0</v>
      </c>
      <c r="K5">
        <v>0</v>
      </c>
      <c r="L5">
        <v>0</v>
      </c>
      <c r="M5">
        <v>0</v>
      </c>
      <c r="N5">
        <v>4501</v>
      </c>
      <c r="O5">
        <v>1038.4100000000001</v>
      </c>
      <c r="P5">
        <v>0</v>
      </c>
    </row>
    <row r="6" spans="1:18" x14ac:dyDescent="0.25">
      <c r="C6">
        <v>10</v>
      </c>
      <c r="D6" t="str">
        <v>DIV12-PA</v>
      </c>
      <c r="E6" t="str">
        <v>1/13/25,  1/26/25</v>
      </c>
      <c r="F6">
        <v>12060</v>
      </c>
      <c r="H6">
        <v>2413.39</v>
      </c>
      <c r="I6">
        <v>0</v>
      </c>
      <c r="J6">
        <v>0</v>
      </c>
      <c r="K6">
        <v>0</v>
      </c>
      <c r="L6">
        <v>0</v>
      </c>
      <c r="M6">
        <v>0</v>
      </c>
      <c r="N6">
        <v>334</v>
      </c>
      <c r="O6">
        <v>108.1</v>
      </c>
      <c r="P6">
        <v>250</v>
      </c>
    </row>
    <row r="7" spans="1:18" x14ac:dyDescent="0.25">
      <c r="C7">
        <v>11</v>
      </c>
      <c r="D7" t="str">
        <v>DIV12-PA</v>
      </c>
      <c r="E7" t="str">
        <v>1/13/25,  1/26/25</v>
      </c>
      <c r="F7">
        <v>12078</v>
      </c>
      <c r="H7">
        <v>25352.114999999998</v>
      </c>
      <c r="I7">
        <v>0</v>
      </c>
      <c r="J7">
        <v>0</v>
      </c>
      <c r="K7">
        <v>0</v>
      </c>
      <c r="L7">
        <v>0</v>
      </c>
      <c r="M7">
        <v>0</v>
      </c>
      <c r="N7">
        <v>2572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1/13/25,  1/26/25</v>
      </c>
      <c r="F8">
        <v>12081</v>
      </c>
      <c r="H8">
        <v>3319.3900000000003</v>
      </c>
      <c r="I8">
        <v>0</v>
      </c>
      <c r="J8">
        <v>0</v>
      </c>
      <c r="K8">
        <v>0</v>
      </c>
      <c r="L8">
        <v>0</v>
      </c>
      <c r="M8">
        <v>0</v>
      </c>
      <c r="N8">
        <v>334</v>
      </c>
      <c r="O8">
        <v>45.65</v>
      </c>
      <c r="P8">
        <v>0</v>
      </c>
    </row>
    <row r="9" spans="1:18" x14ac:dyDescent="0.25">
      <c r="C9">
        <v>13</v>
      </c>
      <c r="D9" t="str">
        <v>DIV12-PA</v>
      </c>
      <c r="E9" t="str">
        <v>1/13/25,  1/26/25</v>
      </c>
      <c r="F9">
        <v>12088</v>
      </c>
      <c r="H9">
        <v>3308.4700000000003</v>
      </c>
      <c r="I9">
        <v>0</v>
      </c>
      <c r="J9">
        <v>0</v>
      </c>
      <c r="K9">
        <v>0</v>
      </c>
      <c r="L9">
        <v>0</v>
      </c>
      <c r="M9">
        <v>0</v>
      </c>
      <c r="N9">
        <v>334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1/13/25,  1/26/25</v>
      </c>
      <c r="F10">
        <v>12106</v>
      </c>
      <c r="H10">
        <v>3395.74</v>
      </c>
      <c r="I10">
        <v>0</v>
      </c>
      <c r="J10">
        <v>0</v>
      </c>
      <c r="K10">
        <v>0</v>
      </c>
      <c r="L10">
        <v>0</v>
      </c>
      <c r="M10">
        <v>0</v>
      </c>
      <c r="N10">
        <v>334</v>
      </c>
      <c r="O10">
        <v>0</v>
      </c>
      <c r="P10">
        <v>0</v>
      </c>
    </row>
    <row r="11" spans="1:18" x14ac:dyDescent="0.25">
      <c r="C11">
        <v>15</v>
      </c>
      <c r="D11" t="str">
        <v>DIV12-PA</v>
      </c>
      <c r="E11" t="str">
        <v>1/13/25,  1/26/25</v>
      </c>
      <c r="F11">
        <v>12114</v>
      </c>
      <c r="H11">
        <v>5050.7800000000007</v>
      </c>
      <c r="I11">
        <v>0</v>
      </c>
      <c r="J11">
        <v>0</v>
      </c>
      <c r="K11">
        <v>0</v>
      </c>
      <c r="L11">
        <v>0</v>
      </c>
      <c r="M11">
        <v>0</v>
      </c>
      <c r="N11">
        <v>334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1/13/25,  1/26/25</v>
      </c>
      <c r="F12">
        <v>12118</v>
      </c>
      <c r="H12">
        <v>773.46</v>
      </c>
      <c r="I12">
        <v>0</v>
      </c>
      <c r="J12">
        <v>0</v>
      </c>
      <c r="K12">
        <v>0</v>
      </c>
      <c r="L12">
        <v>0</v>
      </c>
      <c r="M12">
        <v>0</v>
      </c>
      <c r="N12">
        <v>334</v>
      </c>
      <c r="O12">
        <v>149.25</v>
      </c>
      <c r="P12">
        <v>0</v>
      </c>
    </row>
    <row r="13" spans="1:18" x14ac:dyDescent="0.25">
      <c r="C13">
        <v>17</v>
      </c>
      <c r="D13" t="str">
        <v>DIV12-PA</v>
      </c>
      <c r="E13" t="str">
        <v>1/13/25,  1/26/25</v>
      </c>
      <c r="F13">
        <v>12119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1/13/25,  1/26/25</v>
      </c>
      <c r="F14">
        <v>12127</v>
      </c>
      <c r="H14">
        <v>4342.3099999999995</v>
      </c>
      <c r="I14">
        <v>0</v>
      </c>
      <c r="J14">
        <v>0</v>
      </c>
      <c r="K14">
        <v>0</v>
      </c>
      <c r="L14">
        <v>0</v>
      </c>
      <c r="M14">
        <v>0</v>
      </c>
      <c r="N14">
        <v>1286</v>
      </c>
      <c r="O14">
        <v>36</v>
      </c>
      <c r="P14">
        <v>0</v>
      </c>
    </row>
    <row r="15" spans="1:18" x14ac:dyDescent="0.25">
      <c r="C15">
        <v>19</v>
      </c>
      <c r="D15" t="str">
        <v>DIV12-PA</v>
      </c>
      <c r="E15" t="str">
        <v>1/13/25,  1/26/25</v>
      </c>
      <c r="F15">
        <v>12141</v>
      </c>
      <c r="H15">
        <v>13278.59</v>
      </c>
      <c r="I15">
        <v>0</v>
      </c>
      <c r="J15">
        <v>0</v>
      </c>
      <c r="K15">
        <v>0</v>
      </c>
      <c r="L15">
        <v>0</v>
      </c>
      <c r="M15">
        <v>0</v>
      </c>
      <c r="N15">
        <v>977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1/13/25,  1/26/25</v>
      </c>
      <c r="F16">
        <v>12145</v>
      </c>
      <c r="H16">
        <v>7184.7550000000001</v>
      </c>
      <c r="I16">
        <v>0</v>
      </c>
      <c r="J16">
        <v>0</v>
      </c>
      <c r="K16">
        <v>0</v>
      </c>
      <c r="L16">
        <v>0</v>
      </c>
      <c r="M16">
        <v>0</v>
      </c>
      <c r="N16">
        <v>643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1/13/25,  1/26/25</v>
      </c>
      <c r="F17">
        <v>12150</v>
      </c>
      <c r="H17">
        <v>3738.9949999999999</v>
      </c>
      <c r="I17">
        <v>0</v>
      </c>
      <c r="J17">
        <v>0</v>
      </c>
      <c r="K17">
        <v>0</v>
      </c>
      <c r="L17">
        <v>0</v>
      </c>
      <c r="M17">
        <v>0</v>
      </c>
      <c r="N17">
        <v>334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1/13/25,  1/26/25</v>
      </c>
      <c r="F18">
        <v>12154</v>
      </c>
      <c r="H18">
        <v>3986.085</v>
      </c>
      <c r="I18">
        <v>0</v>
      </c>
      <c r="J18">
        <v>0</v>
      </c>
      <c r="K18">
        <v>0</v>
      </c>
      <c r="L18">
        <v>0</v>
      </c>
      <c r="M18">
        <v>0</v>
      </c>
      <c r="N18">
        <v>334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1/13/25,  1/26/25</v>
      </c>
      <c r="F19">
        <v>12155</v>
      </c>
      <c r="H19">
        <v>1979.6512</v>
      </c>
      <c r="I19">
        <v>0</v>
      </c>
      <c r="J19">
        <v>0</v>
      </c>
      <c r="K19">
        <v>0</v>
      </c>
      <c r="L19">
        <v>0</v>
      </c>
      <c r="M19">
        <v>0</v>
      </c>
      <c r="N19">
        <v>334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1/13/25,  1/26/25</v>
      </c>
      <c r="F20">
        <v>12157</v>
      </c>
      <c r="H20">
        <v>1668.68</v>
      </c>
      <c r="I20">
        <v>0</v>
      </c>
      <c r="J20">
        <v>0</v>
      </c>
      <c r="K20">
        <v>0</v>
      </c>
      <c r="L20">
        <v>0</v>
      </c>
      <c r="M20">
        <v>0</v>
      </c>
      <c r="N20">
        <v>334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1/13/25,  1/26/25</v>
      </c>
      <c r="F21">
        <v>12164</v>
      </c>
      <c r="H21">
        <v>3207.5</v>
      </c>
      <c r="I21">
        <v>0</v>
      </c>
      <c r="J21">
        <v>0</v>
      </c>
      <c r="K21">
        <v>0</v>
      </c>
      <c r="L21">
        <v>0</v>
      </c>
      <c r="M21">
        <v>0</v>
      </c>
      <c r="N21">
        <v>334</v>
      </c>
      <c r="O21">
        <v>13.41</v>
      </c>
      <c r="P21">
        <v>0</v>
      </c>
    </row>
    <row r="22" spans="3:16" x14ac:dyDescent="0.25">
      <c r="C22">
        <v>26</v>
      </c>
      <c r="D22" t="str">
        <v>DIV12-PA</v>
      </c>
      <c r="E22" t="str">
        <v>1/13/25,  1/26/25</v>
      </c>
      <c r="F22">
        <v>12166</v>
      </c>
      <c r="H22">
        <v>3179.98</v>
      </c>
      <c r="I22">
        <v>0</v>
      </c>
      <c r="J22">
        <v>0</v>
      </c>
      <c r="K22">
        <v>0</v>
      </c>
      <c r="L22">
        <v>0</v>
      </c>
      <c r="M22">
        <v>0</v>
      </c>
      <c r="N22">
        <v>334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1/13/25,  1/26/25</v>
      </c>
      <c r="F23">
        <v>12168</v>
      </c>
      <c r="H23">
        <v>3146.8613</v>
      </c>
      <c r="I23">
        <v>0</v>
      </c>
      <c r="J23">
        <v>0</v>
      </c>
      <c r="K23">
        <v>0</v>
      </c>
      <c r="L23">
        <v>0</v>
      </c>
      <c r="M23">
        <v>0</v>
      </c>
      <c r="N23">
        <v>334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1/13/25,  1/26/25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zoomScale="90" zoomScaleNormal="90" workbookViewId="0">
      <selection activeCell="G17" sqref="G17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16" t="s">
        <v>1667</v>
      </c>
      <c r="C2" s="116"/>
      <c r="D2" s="116"/>
      <c r="E2" s="116"/>
      <c r="F2" s="116"/>
      <c r="H2" s="23" t="s">
        <v>67</v>
      </c>
      <c r="I2" s="24">
        <f>SUM($T$8,$W$6)-$Z$7</f>
        <v>1721.29</v>
      </c>
      <c r="M2" s="8"/>
      <c r="V2" s="63" t="s">
        <v>51</v>
      </c>
      <c r="W2" s="63"/>
      <c r="Y2" s="113" t="s">
        <v>47</v>
      </c>
      <c r="Z2" s="113"/>
      <c r="AB2" s="113" t="s">
        <v>127</v>
      </c>
      <c r="AC2" s="113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117" t="s">
        <v>219</v>
      </c>
      <c r="I4" s="118"/>
      <c r="J4" s="119"/>
      <c r="K4" s="120" t="s">
        <v>220</v>
      </c>
      <c r="L4" s="121"/>
      <c r="M4" s="121"/>
      <c r="N4" s="122"/>
      <c r="V4" s="14" t="s">
        <v>53</v>
      </c>
      <c r="W4" s="17">
        <f>SUMIF(Deduction_and_other_Revenue[PARTNER],$B$2,Deduction_and_other_Revenue[Other Income])</f>
        <v>0</v>
      </c>
      <c r="Y4" s="9" t="s">
        <v>49</v>
      </c>
      <c r="Z4" s="10">
        <f>SUMIF(Deduction_and_other_Revenue[PARTNER],$B$2,Deduction_and_other_Revenue[LIFT LEASE TOTAL])</f>
        <v>334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250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50</v>
      </c>
      <c r="D6" s="4">
        <v>38.36</v>
      </c>
      <c r="E6" s="4">
        <v>38.36</v>
      </c>
      <c r="F6" s="58">
        <v>0.76719999999999999</v>
      </c>
      <c r="G6" s="66">
        <v>0</v>
      </c>
      <c r="H6" s="8">
        <v>0</v>
      </c>
      <c r="I6" s="8">
        <v>0</v>
      </c>
      <c r="J6" s="66">
        <v>0</v>
      </c>
      <c r="K6" s="58">
        <v>0.94545454545454599</v>
      </c>
      <c r="L6" s="77">
        <v>0</v>
      </c>
      <c r="M6" s="8">
        <v>0</v>
      </c>
      <c r="N6" s="66">
        <v>0</v>
      </c>
      <c r="O6" s="77">
        <v>0.94395203336809197</v>
      </c>
      <c r="P6" s="8">
        <v>0</v>
      </c>
      <c r="Q6" s="8">
        <v>27.29</v>
      </c>
      <c r="R6" s="8">
        <v>6</v>
      </c>
      <c r="S6" s="8">
        <v>785.62</v>
      </c>
      <c r="T6" s="8">
        <v>818.91</v>
      </c>
      <c r="U6" s="6"/>
      <c r="V6" s="46" t="s">
        <v>55</v>
      </c>
      <c r="W6" s="47">
        <f>SUM(W3:W5)</f>
        <v>0</v>
      </c>
      <c r="Y6" s="11" t="s">
        <v>126</v>
      </c>
      <c r="Z6" s="12">
        <f>SUMIF(Deduction_and_other_Revenue[PARTNER],$B$2,Deduction_and_other_Revenue[Total Violation])</f>
        <v>108.1</v>
      </c>
      <c r="AB6" s="11" t="s">
        <v>128</v>
      </c>
      <c r="AC6" s="12">
        <f>SUMIF(Deduction_and_other_Revenue[PARTNER],$B$2,Deduction_and_other_Revenue[Violation])</f>
        <v>108.1</v>
      </c>
      <c r="AD6" s="8"/>
      <c r="AH6" s="6"/>
    </row>
    <row r="7" spans="2:34" ht="15.75" thickBot="1" x14ac:dyDescent="0.3">
      <c r="B7" s="7" t="str">
        <v>Week2</v>
      </c>
      <c r="C7" s="60">
        <v>45.26</v>
      </c>
      <c r="D7" s="4">
        <v>45.26</v>
      </c>
      <c r="E7" s="4">
        <v>45.26</v>
      </c>
      <c r="F7" s="58">
        <v>1</v>
      </c>
      <c r="G7" s="66">
        <v>956.11749999999995</v>
      </c>
      <c r="H7" s="8">
        <v>294.19</v>
      </c>
      <c r="I7" s="8">
        <v>0</v>
      </c>
      <c r="J7" s="66">
        <v>0</v>
      </c>
      <c r="K7" s="77">
        <v>1</v>
      </c>
      <c r="L7" s="77">
        <v>0</v>
      </c>
      <c r="M7" s="8">
        <v>147.095</v>
      </c>
      <c r="N7" s="66">
        <v>0</v>
      </c>
      <c r="O7" s="77">
        <v>0.77596111356606301</v>
      </c>
      <c r="P7" s="8">
        <v>73.547499999999999</v>
      </c>
      <c r="Q7" s="8">
        <v>111.53</v>
      </c>
      <c r="R7" s="8">
        <v>12</v>
      </c>
      <c r="S7" s="8">
        <v>0</v>
      </c>
      <c r="T7" s="8">
        <v>1594.48</v>
      </c>
      <c r="V7" s="8"/>
      <c r="W7" s="8"/>
      <c r="X7" s="8"/>
      <c r="Y7" s="9" t="s">
        <v>47</v>
      </c>
      <c r="Z7" s="10">
        <f>IFERROR(SUM(Z3:Z6),0)</f>
        <v>692.1</v>
      </c>
      <c r="AB7" s="9" t="s">
        <v>126</v>
      </c>
      <c r="AC7" s="10">
        <f>SUM(AC3:AC6)</f>
        <v>108.1</v>
      </c>
      <c r="AD7" s="8"/>
      <c r="AH7" s="6"/>
    </row>
    <row r="8" spans="2:34" x14ac:dyDescent="0.25">
      <c r="B8" s="20" t="s">
        <v>45</v>
      </c>
      <c r="C8" s="67">
        <f>SUM(C6:C7)</f>
        <v>95.259999999999991</v>
      </c>
      <c r="D8" s="21">
        <f t="shared" ref="D8:E8" si="0">SUM(D6:D7)</f>
        <v>83.62</v>
      </c>
      <c r="E8" s="21">
        <f t="shared" si="0"/>
        <v>83.62</v>
      </c>
      <c r="F8" s="67"/>
      <c r="G8" s="76">
        <f>SUM(G6:G7)</f>
        <v>956.11749999999995</v>
      </c>
      <c r="H8" s="22">
        <f t="shared" ref="H8:M8" si="1">SUM(H6:H7)</f>
        <v>294.19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147.095</v>
      </c>
      <c r="N8" s="22">
        <f>SUM(N6:N7)</f>
        <v>0</v>
      </c>
      <c r="O8" s="78"/>
      <c r="P8" s="22">
        <f>SUM(P6:P7)</f>
        <v>73.547499999999999</v>
      </c>
      <c r="Q8" s="22">
        <f>SUM(Q6:Q7)</f>
        <v>138.82</v>
      </c>
      <c r="R8" s="22">
        <f>SUM(R6:R7)</f>
        <v>18</v>
      </c>
      <c r="S8" s="22">
        <f>SUM(S6:S7)</f>
        <v>785.62</v>
      </c>
      <c r="T8" s="22">
        <f>SUM(T6:T7)</f>
        <v>2413.39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23" t="s">
        <v>56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5"/>
      <c r="N10" s="6"/>
      <c r="O10" s="6"/>
      <c r="P10" s="6"/>
      <c r="Q10" s="6"/>
      <c r="R10" s="6"/>
      <c r="S10" s="6"/>
      <c r="T10" s="6"/>
      <c r="U10" s="6"/>
      <c r="V10" s="114" t="s">
        <v>119</v>
      </c>
      <c r="W10" s="115"/>
      <c r="X10" s="115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3">_xlfn._xlws.FILTER(VDPMVReport[[Week]:[Tolls]],VDPMVReport[PARTNER NAME]=$B$2,"No Data for the Selected Partner")</f>
        <v>45670</v>
      </c>
      <c r="C12" s="6" t="str">
        <v>MAINE</v>
      </c>
      <c r="D12" s="6" t="str">
        <v>BENNERMAN</v>
      </c>
      <c r="E12" s="6">
        <v>58</v>
      </c>
      <c r="F12" s="57">
        <v>0.94545454545454544</v>
      </c>
      <c r="G12" s="58">
        <v>0</v>
      </c>
      <c r="H12" s="5">
        <v>41.12</v>
      </c>
      <c r="I12" s="4">
        <v>2.76</v>
      </c>
      <c r="J12" s="4">
        <v>38.36</v>
      </c>
      <c r="K12" s="4">
        <v>785.62</v>
      </c>
      <c r="L12" s="3">
        <v>27.29</v>
      </c>
      <c r="M12" s="3">
        <v>6</v>
      </c>
      <c r="V12" s="8" cm="1">
        <f t="array" ref="V12:X12">_xlfn._xlws.FILTER(Deduction_and_other_Revenue[[ Lift Lease Rate]:[LIFT LEASE TOTAL]],Deduction_and_other_Revenue[PARTNER]=$B$2,"No Data for the Selected Partner")</f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45677</v>
      </c>
      <c r="C13" s="6" t="str">
        <v>MAINE</v>
      </c>
      <c r="D13" s="6" t="str">
        <v>BENNERMAN</v>
      </c>
      <c r="E13" s="6">
        <v>56</v>
      </c>
      <c r="F13" s="57">
        <v>1</v>
      </c>
      <c r="G13" s="58">
        <v>0</v>
      </c>
      <c r="H13" s="5">
        <v>50.51</v>
      </c>
      <c r="I13" s="4">
        <v>5.25</v>
      </c>
      <c r="J13" s="4">
        <v>45.26</v>
      </c>
      <c r="K13" s="4">
        <v>851.88</v>
      </c>
      <c r="L13" s="3">
        <v>111.53</v>
      </c>
      <c r="M13" s="3">
        <v>12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9:34" x14ac:dyDescent="0.25">
      <c r="I17" s="4"/>
      <c r="M17" s="4"/>
      <c r="V17" s="8"/>
      <c r="W17" s="3"/>
      <c r="X17" s="8"/>
      <c r="AA17" s="6"/>
      <c r="AC17" s="6"/>
      <c r="AH17" s="6"/>
    </row>
    <row r="18" spans="9:34" x14ac:dyDescent="0.25">
      <c r="I18" s="4"/>
      <c r="V18" s="8"/>
      <c r="W18" s="3"/>
      <c r="X18" s="8"/>
      <c r="AA18" s="6"/>
      <c r="AC18" s="6"/>
      <c r="AH18" s="6"/>
    </row>
    <row r="19" spans="9:34" x14ac:dyDescent="0.25">
      <c r="I19" s="4"/>
      <c r="V19" s="8"/>
      <c r="W19" s="3"/>
      <c r="X19" s="8"/>
      <c r="AA19" s="6"/>
      <c r="AC19" s="6"/>
      <c r="AH19" s="6"/>
    </row>
    <row r="20" spans="9:34" x14ac:dyDescent="0.25">
      <c r="I20" s="4"/>
      <c r="V20" s="8"/>
      <c r="W20" s="3"/>
      <c r="X20" s="8"/>
      <c r="AA20" s="6"/>
      <c r="AC20" s="6"/>
      <c r="AH20" s="6"/>
    </row>
    <row r="21" spans="9:34" x14ac:dyDescent="0.25">
      <c r="I21" s="4"/>
      <c r="V21" s="8"/>
      <c r="W21" s="3"/>
      <c r="X21" s="8"/>
      <c r="AA21" s="6"/>
      <c r="AC21" s="6"/>
      <c r="AH21" s="6"/>
    </row>
    <row r="22" spans="9:34" x14ac:dyDescent="0.25">
      <c r="I22" s="4"/>
      <c r="V22" s="8"/>
      <c r="W22" s="3"/>
      <c r="X22" s="8"/>
      <c r="AA22" s="6"/>
      <c r="AC22" s="6"/>
      <c r="AH22" s="6"/>
    </row>
    <row r="23" spans="9:34" x14ac:dyDescent="0.25">
      <c r="I23" s="4"/>
      <c r="V23" s="8"/>
      <c r="W23" s="3"/>
      <c r="X23" s="8"/>
      <c r="AA23" s="6"/>
      <c r="AC23" s="6"/>
      <c r="AH23" s="6"/>
    </row>
    <row r="24" spans="9:34" x14ac:dyDescent="0.25">
      <c r="I24" s="4"/>
      <c r="V24" s="8"/>
      <c r="W24" s="3"/>
      <c r="X24" s="8"/>
      <c r="AA24" s="6"/>
      <c r="AC24" s="6"/>
      <c r="AH24" s="6"/>
    </row>
    <row r="25" spans="9:34" x14ac:dyDescent="0.25">
      <c r="I25" s="4"/>
      <c r="V25" s="8"/>
      <c r="W25" s="3"/>
      <c r="X25" s="8"/>
      <c r="AA25" s="6"/>
      <c r="AC25" s="6"/>
      <c r="AH25" s="6"/>
    </row>
    <row r="26" spans="9:34" x14ac:dyDescent="0.25">
      <c r="I26" s="4"/>
      <c r="V26" s="8"/>
      <c r="W26" s="3"/>
      <c r="X26" s="8"/>
      <c r="AA26" s="6"/>
      <c r="AC26" s="6"/>
      <c r="AH26" s="6"/>
    </row>
    <row r="27" spans="9:34" x14ac:dyDescent="0.25">
      <c r="I27" s="4"/>
      <c r="V27" s="8"/>
      <c r="W27" s="3"/>
      <c r="X27" s="8"/>
      <c r="AA27" s="6"/>
      <c r="AC27" s="6"/>
      <c r="AH27" s="6"/>
    </row>
    <row r="28" spans="9:34" x14ac:dyDescent="0.25">
      <c r="I28" s="4"/>
      <c r="V28" s="8"/>
      <c r="W28" s="3"/>
      <c r="X28" s="8"/>
      <c r="AA28" s="6"/>
      <c r="AC28" s="6"/>
      <c r="AH28" s="6"/>
    </row>
    <row r="29" spans="9:34" x14ac:dyDescent="0.25">
      <c r="I29" s="4"/>
      <c r="V29" s="8"/>
      <c r="W29" s="3"/>
      <c r="X29" s="8"/>
      <c r="AA29" s="6"/>
      <c r="AC29" s="6"/>
      <c r="AH29" s="6"/>
    </row>
    <row r="30" spans="9:34" x14ac:dyDescent="0.25">
      <c r="I30" s="4"/>
      <c r="V30" s="8"/>
      <c r="W30" s="3"/>
      <c r="X30" s="8"/>
      <c r="AA30" s="6"/>
      <c r="AC30" s="6"/>
      <c r="AH30" s="6"/>
    </row>
    <row r="31" spans="9:34" x14ac:dyDescent="0.25">
      <c r="I31" s="4"/>
      <c r="V31" s="8"/>
      <c r="W31" s="3"/>
      <c r="X31" s="8"/>
      <c r="AA31" s="6"/>
      <c r="AC31" s="6"/>
      <c r="AH31" s="6"/>
    </row>
    <row r="32" spans="9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2"/>
  <sheetViews>
    <sheetView workbookViewId="0">
      <selection activeCell="B125" sqref="B125"/>
    </sheetView>
  </sheetViews>
  <sheetFormatPr defaultRowHeight="15" x14ac:dyDescent="0.25"/>
  <cols>
    <col min="1" max="1" width="9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45670</v>
      </c>
      <c r="B2" t="s">
        <v>1828</v>
      </c>
      <c r="C2" t="s">
        <v>1829</v>
      </c>
      <c r="D2">
        <v>80</v>
      </c>
      <c r="E2">
        <v>0.98913043478260865</v>
      </c>
      <c r="F2">
        <v>0</v>
      </c>
      <c r="G2">
        <v>44.4</v>
      </c>
      <c r="H2">
        <v>0</v>
      </c>
      <c r="I2">
        <v>44.4</v>
      </c>
      <c r="J2">
        <v>836</v>
      </c>
      <c r="K2">
        <v>35.58</v>
      </c>
      <c r="L2">
        <v>0</v>
      </c>
      <c r="M2" t="s">
        <v>1830</v>
      </c>
      <c r="N2">
        <v>21</v>
      </c>
      <c r="O2">
        <v>59</v>
      </c>
      <c r="P2">
        <v>40.619999999999997</v>
      </c>
      <c r="Q2">
        <v>0</v>
      </c>
      <c r="R2">
        <v>3.78</v>
      </c>
      <c r="S2">
        <v>23.19</v>
      </c>
      <c r="T2">
        <v>21.96</v>
      </c>
      <c r="U2">
        <v>1.8</v>
      </c>
      <c r="V2">
        <v>91</v>
      </c>
      <c r="W2">
        <v>1</v>
      </c>
      <c r="X2">
        <v>0</v>
      </c>
      <c r="Y2">
        <v>44.4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44.4</v>
      </c>
      <c r="AF2" t="s">
        <v>1725</v>
      </c>
      <c r="AG2" t="s">
        <v>1601</v>
      </c>
      <c r="AH2">
        <v>0.7</v>
      </c>
    </row>
    <row r="3" spans="1:34" x14ac:dyDescent="0.25">
      <c r="A3" s="2">
        <v>45670</v>
      </c>
      <c r="B3" t="s">
        <v>1998</v>
      </c>
      <c r="C3" t="s">
        <v>1999</v>
      </c>
      <c r="D3">
        <v>81</v>
      </c>
      <c r="E3">
        <v>1</v>
      </c>
      <c r="F3">
        <v>2.9702970297029702E-2</v>
      </c>
      <c r="G3">
        <v>57.09</v>
      </c>
      <c r="H3">
        <v>0.81</v>
      </c>
      <c r="I3">
        <v>56.28</v>
      </c>
      <c r="J3">
        <v>940.83</v>
      </c>
      <c r="K3">
        <v>46</v>
      </c>
      <c r="L3">
        <v>4</v>
      </c>
      <c r="M3" t="s">
        <v>1909</v>
      </c>
      <c r="N3">
        <v>28</v>
      </c>
      <c r="O3">
        <v>53</v>
      </c>
      <c r="P3">
        <v>50.14</v>
      </c>
      <c r="Q3">
        <v>0</v>
      </c>
      <c r="R3">
        <v>6.14</v>
      </c>
      <c r="S3">
        <v>32.81</v>
      </c>
      <c r="T3">
        <v>30.98</v>
      </c>
      <c r="U3">
        <v>1.42</v>
      </c>
      <c r="V3">
        <v>101</v>
      </c>
      <c r="W3">
        <v>0</v>
      </c>
      <c r="X3">
        <v>3</v>
      </c>
      <c r="Y3">
        <v>56.28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56.28</v>
      </c>
      <c r="AF3" t="s">
        <v>1711</v>
      </c>
      <c r="AG3" t="s">
        <v>1601</v>
      </c>
      <c r="AH3">
        <v>0.7</v>
      </c>
    </row>
    <row r="4" spans="1:34" x14ac:dyDescent="0.25">
      <c r="A4" s="2">
        <v>45677</v>
      </c>
      <c r="B4" t="s">
        <v>1828</v>
      </c>
      <c r="C4" t="s">
        <v>1829</v>
      </c>
      <c r="D4">
        <v>58</v>
      </c>
      <c r="E4">
        <v>1</v>
      </c>
      <c r="F4">
        <v>1.5384615384615385E-2</v>
      </c>
      <c r="G4">
        <v>34.21</v>
      </c>
      <c r="H4">
        <v>0.84</v>
      </c>
      <c r="I4">
        <v>33.369999999999997</v>
      </c>
      <c r="J4">
        <v>699.73</v>
      </c>
      <c r="K4">
        <v>28</v>
      </c>
      <c r="L4">
        <v>16.53</v>
      </c>
      <c r="M4" t="s">
        <v>1830</v>
      </c>
      <c r="N4">
        <v>11</v>
      </c>
      <c r="O4">
        <v>47</v>
      </c>
      <c r="P4">
        <v>30.22</v>
      </c>
      <c r="Q4">
        <v>0</v>
      </c>
      <c r="R4">
        <v>3.14</v>
      </c>
      <c r="S4">
        <v>18.46</v>
      </c>
      <c r="T4">
        <v>15.68</v>
      </c>
      <c r="U4">
        <v>1.7</v>
      </c>
      <c r="V4">
        <v>65</v>
      </c>
      <c r="W4">
        <v>0</v>
      </c>
      <c r="X4">
        <v>1</v>
      </c>
      <c r="Y4">
        <v>33.369999999999997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33.369999999999997</v>
      </c>
      <c r="AF4" t="s">
        <v>1725</v>
      </c>
      <c r="AG4" t="s">
        <v>1601</v>
      </c>
      <c r="AH4">
        <v>0.7</v>
      </c>
    </row>
    <row r="5" spans="1:34" x14ac:dyDescent="0.25">
      <c r="A5" s="2">
        <v>45677</v>
      </c>
      <c r="B5" t="s">
        <v>1998</v>
      </c>
      <c r="C5" t="s">
        <v>1999</v>
      </c>
      <c r="D5">
        <v>83</v>
      </c>
      <c r="E5">
        <v>0.98947368421052628</v>
      </c>
      <c r="F5">
        <v>2.1276595744680851E-2</v>
      </c>
      <c r="G5">
        <v>47.54</v>
      </c>
      <c r="H5">
        <v>0</v>
      </c>
      <c r="I5">
        <v>47.54</v>
      </c>
      <c r="J5">
        <v>950.23</v>
      </c>
      <c r="K5">
        <v>55.36</v>
      </c>
      <c r="L5">
        <v>6.03</v>
      </c>
      <c r="M5" t="s">
        <v>1909</v>
      </c>
      <c r="N5">
        <v>22</v>
      </c>
      <c r="O5">
        <v>61</v>
      </c>
      <c r="P5">
        <v>42.75</v>
      </c>
      <c r="Q5">
        <v>1</v>
      </c>
      <c r="R5">
        <v>4.79</v>
      </c>
      <c r="S5">
        <v>27.28</v>
      </c>
      <c r="T5">
        <v>24.71</v>
      </c>
      <c r="U5">
        <v>1.75</v>
      </c>
      <c r="V5">
        <v>94</v>
      </c>
      <c r="W5">
        <v>0</v>
      </c>
      <c r="X5">
        <v>2</v>
      </c>
      <c r="Y5">
        <v>47.54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47.54</v>
      </c>
      <c r="AF5" t="s">
        <v>1711</v>
      </c>
      <c r="AG5" t="s">
        <v>1601</v>
      </c>
      <c r="AH5">
        <v>0.7</v>
      </c>
    </row>
    <row r="6" spans="1:34" x14ac:dyDescent="0.25">
      <c r="A6" s="2">
        <v>45670</v>
      </c>
      <c r="B6" t="s">
        <v>1986</v>
      </c>
      <c r="C6" t="s">
        <v>1987</v>
      </c>
      <c r="D6">
        <v>102</v>
      </c>
      <c r="E6">
        <v>0.99145299145299148</v>
      </c>
      <c r="F6">
        <v>0</v>
      </c>
      <c r="G6">
        <v>53.19</v>
      </c>
      <c r="H6">
        <v>0.39</v>
      </c>
      <c r="I6">
        <v>52.8</v>
      </c>
      <c r="J6">
        <v>1042.5999999999999</v>
      </c>
      <c r="K6">
        <v>45.31</v>
      </c>
      <c r="L6">
        <v>6</v>
      </c>
      <c r="M6" t="s">
        <v>1834</v>
      </c>
      <c r="N6">
        <v>3</v>
      </c>
      <c r="O6">
        <v>99</v>
      </c>
      <c r="P6">
        <v>43.43</v>
      </c>
      <c r="Q6">
        <v>0</v>
      </c>
      <c r="R6">
        <v>9.3699999999999992</v>
      </c>
      <c r="S6">
        <v>5.87</v>
      </c>
      <c r="T6">
        <v>4.8</v>
      </c>
      <c r="U6">
        <v>1.92</v>
      </c>
      <c r="V6">
        <v>116</v>
      </c>
      <c r="W6">
        <v>1</v>
      </c>
      <c r="X6">
        <v>0</v>
      </c>
      <c r="Y6">
        <v>52.8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52.8</v>
      </c>
      <c r="AF6" t="s">
        <v>1732</v>
      </c>
      <c r="AG6" t="s">
        <v>1600</v>
      </c>
      <c r="AH6">
        <v>0.7</v>
      </c>
    </row>
    <row r="7" spans="1:34" x14ac:dyDescent="0.25">
      <c r="A7" s="2">
        <v>45670</v>
      </c>
      <c r="B7" t="s">
        <v>1902</v>
      </c>
      <c r="C7" t="s">
        <v>1903</v>
      </c>
      <c r="D7">
        <v>11</v>
      </c>
      <c r="E7">
        <v>0.89473684210526316</v>
      </c>
      <c r="F7">
        <v>0</v>
      </c>
      <c r="G7">
        <v>6.97</v>
      </c>
      <c r="H7">
        <v>0.16</v>
      </c>
      <c r="I7">
        <v>6.81</v>
      </c>
      <c r="J7">
        <v>105.95</v>
      </c>
      <c r="K7">
        <v>21</v>
      </c>
      <c r="L7">
        <v>6</v>
      </c>
      <c r="M7" t="s">
        <v>1904</v>
      </c>
      <c r="N7">
        <v>1</v>
      </c>
      <c r="O7">
        <v>10</v>
      </c>
      <c r="P7">
        <v>5.04</v>
      </c>
      <c r="Q7">
        <v>2</v>
      </c>
      <c r="R7">
        <v>1.77</v>
      </c>
      <c r="S7">
        <v>0.28999999999999998</v>
      </c>
      <c r="T7">
        <v>0.28999999999999998</v>
      </c>
      <c r="U7">
        <v>1.58</v>
      </c>
      <c r="V7">
        <v>17</v>
      </c>
      <c r="W7">
        <v>0</v>
      </c>
      <c r="X7">
        <v>0</v>
      </c>
      <c r="Y7">
        <v>0</v>
      </c>
      <c r="Z7">
        <v>0</v>
      </c>
      <c r="AA7" t="s">
        <v>114</v>
      </c>
      <c r="AB7">
        <v>6.81</v>
      </c>
      <c r="AC7">
        <v>0.1</v>
      </c>
      <c r="AD7">
        <v>0.05</v>
      </c>
      <c r="AE7">
        <v>0</v>
      </c>
      <c r="AF7" t="s">
        <v>1686</v>
      </c>
      <c r="AG7" t="s">
        <v>1599</v>
      </c>
      <c r="AH7">
        <v>0.7</v>
      </c>
    </row>
    <row r="8" spans="1:34" x14ac:dyDescent="0.25">
      <c r="A8" s="2">
        <v>45677</v>
      </c>
      <c r="B8" t="s">
        <v>1986</v>
      </c>
      <c r="C8" t="s">
        <v>1987</v>
      </c>
      <c r="D8">
        <v>102</v>
      </c>
      <c r="E8">
        <v>0.99180327868852458</v>
      </c>
      <c r="F8">
        <v>8.2644628099173556E-3</v>
      </c>
      <c r="G8">
        <v>52.57</v>
      </c>
      <c r="H8">
        <v>0.83</v>
      </c>
      <c r="I8">
        <v>51.74</v>
      </c>
      <c r="J8">
        <v>1155.1600000000001</v>
      </c>
      <c r="K8">
        <v>57.44</v>
      </c>
      <c r="L8">
        <v>13.51</v>
      </c>
      <c r="M8" t="s">
        <v>1834</v>
      </c>
      <c r="N8">
        <v>12</v>
      </c>
      <c r="O8">
        <v>90</v>
      </c>
      <c r="P8">
        <v>46.67</v>
      </c>
      <c r="Q8">
        <v>1</v>
      </c>
      <c r="R8">
        <v>5.07</v>
      </c>
      <c r="S8">
        <v>8.25</v>
      </c>
      <c r="T8">
        <v>7.64</v>
      </c>
      <c r="U8">
        <v>1.94</v>
      </c>
      <c r="V8">
        <v>121</v>
      </c>
      <c r="W8">
        <v>0</v>
      </c>
      <c r="X8">
        <v>1</v>
      </c>
      <c r="Y8">
        <v>51.74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51.74</v>
      </c>
      <c r="AF8" t="s">
        <v>1732</v>
      </c>
      <c r="AG8" t="s">
        <v>1600</v>
      </c>
      <c r="AH8">
        <v>0.7</v>
      </c>
    </row>
    <row r="9" spans="1:34" x14ac:dyDescent="0.25">
      <c r="A9" s="2">
        <v>45670</v>
      </c>
      <c r="B9" t="s">
        <v>1839</v>
      </c>
      <c r="C9" t="s">
        <v>1840</v>
      </c>
      <c r="D9">
        <v>120</v>
      </c>
      <c r="E9">
        <v>1</v>
      </c>
      <c r="F9">
        <v>7.5187969924812026E-3</v>
      </c>
      <c r="G9">
        <v>58.19</v>
      </c>
      <c r="H9">
        <v>1.37</v>
      </c>
      <c r="I9">
        <v>56.82</v>
      </c>
      <c r="J9">
        <v>1247.3900000000001</v>
      </c>
      <c r="K9">
        <v>84.5</v>
      </c>
      <c r="L9">
        <v>18</v>
      </c>
      <c r="M9" t="s">
        <v>1841</v>
      </c>
      <c r="N9">
        <v>15</v>
      </c>
      <c r="O9">
        <v>105</v>
      </c>
      <c r="P9">
        <v>52.72</v>
      </c>
      <c r="Q9">
        <v>0</v>
      </c>
      <c r="R9">
        <v>4.0999999999999996</v>
      </c>
      <c r="S9">
        <v>16.88</v>
      </c>
      <c r="T9">
        <v>15.46</v>
      </c>
      <c r="U9">
        <v>2.06</v>
      </c>
      <c r="V9">
        <v>133</v>
      </c>
      <c r="W9">
        <v>0</v>
      </c>
      <c r="X9">
        <v>1</v>
      </c>
      <c r="Y9">
        <v>56.82</v>
      </c>
      <c r="Z9">
        <v>0</v>
      </c>
      <c r="AA9" t="s">
        <v>114</v>
      </c>
      <c r="AB9">
        <v>0</v>
      </c>
      <c r="AC9">
        <v>0.1</v>
      </c>
      <c r="AD9">
        <v>0.05</v>
      </c>
      <c r="AE9">
        <v>56.82</v>
      </c>
      <c r="AF9" t="s">
        <v>1615</v>
      </c>
      <c r="AG9" t="s">
        <v>1599</v>
      </c>
      <c r="AH9">
        <v>0.7</v>
      </c>
    </row>
    <row r="10" spans="1:34" x14ac:dyDescent="0.25">
      <c r="A10" s="2">
        <v>45670</v>
      </c>
      <c r="B10" t="s">
        <v>2111</v>
      </c>
      <c r="C10" t="s">
        <v>2112</v>
      </c>
      <c r="D10">
        <v>58</v>
      </c>
      <c r="E10">
        <v>0.95890410958904104</v>
      </c>
      <c r="F10">
        <v>0</v>
      </c>
      <c r="G10">
        <v>26.3</v>
      </c>
      <c r="H10">
        <v>0</v>
      </c>
      <c r="I10">
        <v>26.3</v>
      </c>
      <c r="J10">
        <v>620.29</v>
      </c>
      <c r="K10">
        <v>33</v>
      </c>
      <c r="L10">
        <v>0</v>
      </c>
      <c r="M10" t="s">
        <v>2113</v>
      </c>
      <c r="N10">
        <v>6</v>
      </c>
      <c r="O10">
        <v>52</v>
      </c>
      <c r="P10">
        <v>25.34</v>
      </c>
      <c r="Q10">
        <v>3</v>
      </c>
      <c r="R10">
        <v>0.96</v>
      </c>
      <c r="S10">
        <v>9.84</v>
      </c>
      <c r="T10">
        <v>9.64</v>
      </c>
      <c r="U10">
        <v>2.21</v>
      </c>
      <c r="V10">
        <v>70</v>
      </c>
      <c r="W10">
        <v>0</v>
      </c>
      <c r="X10">
        <v>0</v>
      </c>
      <c r="Y10">
        <v>26.3</v>
      </c>
      <c r="Z10">
        <v>0</v>
      </c>
      <c r="AA10" t="s">
        <v>114</v>
      </c>
      <c r="AB10">
        <v>0</v>
      </c>
      <c r="AC10">
        <v>0.1</v>
      </c>
      <c r="AD10">
        <v>0.05</v>
      </c>
      <c r="AE10">
        <v>26.3</v>
      </c>
      <c r="AF10" t="s">
        <v>1688</v>
      </c>
      <c r="AG10" t="s">
        <v>1599</v>
      </c>
      <c r="AH10">
        <v>0.7</v>
      </c>
    </row>
    <row r="11" spans="1:34" x14ac:dyDescent="0.25">
      <c r="A11" s="2">
        <v>45677</v>
      </c>
      <c r="B11" t="s">
        <v>1839</v>
      </c>
      <c r="C11" t="s">
        <v>1840</v>
      </c>
      <c r="D11">
        <v>35</v>
      </c>
      <c r="E11">
        <v>1</v>
      </c>
      <c r="F11">
        <v>0</v>
      </c>
      <c r="G11">
        <v>18.420000000000002</v>
      </c>
      <c r="H11">
        <v>0.3</v>
      </c>
      <c r="I11">
        <v>18.12</v>
      </c>
      <c r="J11">
        <v>437.15</v>
      </c>
      <c r="K11">
        <v>4</v>
      </c>
      <c r="L11">
        <v>6</v>
      </c>
      <c r="M11" t="s">
        <v>1841</v>
      </c>
      <c r="N11">
        <v>3</v>
      </c>
      <c r="O11">
        <v>32</v>
      </c>
      <c r="P11">
        <v>17.690000000000001</v>
      </c>
      <c r="Q11">
        <v>0</v>
      </c>
      <c r="R11">
        <v>0.44</v>
      </c>
      <c r="S11">
        <v>3.93</v>
      </c>
      <c r="T11">
        <v>3.57</v>
      </c>
      <c r="U11">
        <v>1.9</v>
      </c>
      <c r="V11">
        <v>38</v>
      </c>
      <c r="W11">
        <v>0</v>
      </c>
      <c r="X11">
        <v>0</v>
      </c>
      <c r="Y11">
        <v>18.12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18.12</v>
      </c>
      <c r="AF11" t="s">
        <v>1615</v>
      </c>
      <c r="AG11" t="s">
        <v>1599</v>
      </c>
      <c r="AH11">
        <v>0.7</v>
      </c>
    </row>
    <row r="12" spans="1:34" x14ac:dyDescent="0.25">
      <c r="A12" s="2">
        <v>45670</v>
      </c>
      <c r="B12" t="s">
        <v>1831</v>
      </c>
      <c r="C12" t="s">
        <v>1832</v>
      </c>
      <c r="D12">
        <v>31</v>
      </c>
      <c r="E12">
        <v>0.85365853658536583</v>
      </c>
      <c r="F12">
        <v>2.8571428571428571E-2</v>
      </c>
      <c r="G12">
        <v>19.37</v>
      </c>
      <c r="H12">
        <v>0</v>
      </c>
      <c r="I12">
        <v>19.37</v>
      </c>
      <c r="J12">
        <v>341.62</v>
      </c>
      <c r="K12">
        <v>1</v>
      </c>
      <c r="L12">
        <v>2.67</v>
      </c>
      <c r="M12" t="s">
        <v>1833</v>
      </c>
      <c r="N12">
        <v>6</v>
      </c>
      <c r="O12">
        <v>25</v>
      </c>
      <c r="P12">
        <v>16.88</v>
      </c>
      <c r="Q12">
        <v>0</v>
      </c>
      <c r="R12">
        <v>2.4900000000000002</v>
      </c>
      <c r="S12">
        <v>8.17</v>
      </c>
      <c r="T12">
        <v>7.87</v>
      </c>
      <c r="U12">
        <v>1.6</v>
      </c>
      <c r="V12">
        <v>35</v>
      </c>
      <c r="W12">
        <v>6</v>
      </c>
      <c r="X12">
        <v>1</v>
      </c>
      <c r="Y12">
        <v>0</v>
      </c>
      <c r="Z12">
        <v>0</v>
      </c>
      <c r="AA12" t="s">
        <v>114</v>
      </c>
      <c r="AB12">
        <v>19.37</v>
      </c>
      <c r="AC12">
        <v>0.1</v>
      </c>
      <c r="AD12">
        <v>0.05</v>
      </c>
      <c r="AE12">
        <v>0</v>
      </c>
      <c r="AF12" t="s">
        <v>1613</v>
      </c>
      <c r="AG12" t="s">
        <v>1599</v>
      </c>
      <c r="AH12">
        <v>0.7</v>
      </c>
    </row>
    <row r="13" spans="1:34" x14ac:dyDescent="0.25">
      <c r="A13" s="2">
        <v>45670</v>
      </c>
      <c r="B13" t="s">
        <v>1988</v>
      </c>
      <c r="C13" t="s">
        <v>1989</v>
      </c>
      <c r="D13">
        <v>84</v>
      </c>
      <c r="E13">
        <v>0.9882352941176471</v>
      </c>
      <c r="F13">
        <v>2.3809523809523808E-2</v>
      </c>
      <c r="G13">
        <v>61.1</v>
      </c>
      <c r="H13">
        <v>0</v>
      </c>
      <c r="I13">
        <v>61.1</v>
      </c>
      <c r="J13">
        <v>819.64</v>
      </c>
      <c r="K13">
        <v>23</v>
      </c>
      <c r="L13">
        <v>0</v>
      </c>
      <c r="M13" t="s">
        <v>1835</v>
      </c>
      <c r="N13">
        <v>14</v>
      </c>
      <c r="O13">
        <v>70</v>
      </c>
      <c r="P13">
        <v>44.81</v>
      </c>
      <c r="Q13">
        <v>0</v>
      </c>
      <c r="R13">
        <v>16.29</v>
      </c>
      <c r="S13">
        <v>20.5</v>
      </c>
      <c r="T13">
        <v>17.98</v>
      </c>
      <c r="U13">
        <v>1.37</v>
      </c>
      <c r="V13">
        <v>84</v>
      </c>
      <c r="W13">
        <v>1</v>
      </c>
      <c r="X13">
        <v>2</v>
      </c>
      <c r="Y13">
        <v>61.1</v>
      </c>
      <c r="Z13">
        <v>0</v>
      </c>
      <c r="AA13" t="s">
        <v>114</v>
      </c>
      <c r="AB13">
        <v>0</v>
      </c>
      <c r="AC13">
        <v>0.1</v>
      </c>
      <c r="AD13">
        <v>0.05</v>
      </c>
      <c r="AE13">
        <v>61.1</v>
      </c>
      <c r="AF13" t="s">
        <v>1694</v>
      </c>
      <c r="AG13" t="s">
        <v>1748</v>
      </c>
      <c r="AH13">
        <v>0.7</v>
      </c>
    </row>
    <row r="14" spans="1:34" x14ac:dyDescent="0.25">
      <c r="A14" s="2">
        <v>45670</v>
      </c>
      <c r="B14" t="s">
        <v>1896</v>
      </c>
      <c r="C14" t="s">
        <v>1897</v>
      </c>
      <c r="D14">
        <v>17</v>
      </c>
      <c r="E14">
        <v>1</v>
      </c>
      <c r="F14">
        <v>0.05</v>
      </c>
      <c r="G14">
        <v>9.3699999999999992</v>
      </c>
      <c r="H14">
        <v>0.6</v>
      </c>
      <c r="I14">
        <v>8.77</v>
      </c>
      <c r="J14">
        <v>171.13</v>
      </c>
      <c r="K14">
        <v>28.46</v>
      </c>
      <c r="L14">
        <v>6</v>
      </c>
      <c r="M14" t="s">
        <v>1898</v>
      </c>
      <c r="N14">
        <v>3</v>
      </c>
      <c r="O14">
        <v>14</v>
      </c>
      <c r="P14">
        <v>8.64</v>
      </c>
      <c r="Q14">
        <v>0</v>
      </c>
      <c r="R14">
        <v>0.13</v>
      </c>
      <c r="S14">
        <v>0</v>
      </c>
      <c r="T14">
        <v>0</v>
      </c>
      <c r="U14">
        <v>1.81</v>
      </c>
      <c r="V14">
        <v>20</v>
      </c>
      <c r="W14">
        <v>0</v>
      </c>
      <c r="X14">
        <v>1</v>
      </c>
      <c r="Y14">
        <v>0</v>
      </c>
      <c r="Z14">
        <v>0</v>
      </c>
      <c r="AA14" t="s">
        <v>114</v>
      </c>
      <c r="AB14">
        <v>8.77</v>
      </c>
      <c r="AC14">
        <v>0.1</v>
      </c>
      <c r="AD14">
        <v>0.05</v>
      </c>
      <c r="AE14">
        <v>0</v>
      </c>
      <c r="AF14" t="s">
        <v>1685</v>
      </c>
      <c r="AG14" t="s">
        <v>1599</v>
      </c>
      <c r="AH14">
        <v>0.7</v>
      </c>
    </row>
    <row r="15" spans="1:34" x14ac:dyDescent="0.25">
      <c r="A15" s="2">
        <v>45677</v>
      </c>
      <c r="B15" t="s">
        <v>1988</v>
      </c>
      <c r="C15" t="s">
        <v>1989</v>
      </c>
      <c r="D15">
        <v>84</v>
      </c>
      <c r="E15">
        <v>0.98888888888888893</v>
      </c>
      <c r="F15">
        <v>1.1235955056179775E-2</v>
      </c>
      <c r="G15">
        <v>60.07</v>
      </c>
      <c r="H15">
        <v>0.1</v>
      </c>
      <c r="I15">
        <v>59.97</v>
      </c>
      <c r="J15">
        <v>930.41</v>
      </c>
      <c r="K15">
        <v>31.56</v>
      </c>
      <c r="L15">
        <v>0</v>
      </c>
      <c r="M15" t="s">
        <v>1835</v>
      </c>
      <c r="N15">
        <v>12</v>
      </c>
      <c r="O15">
        <v>72</v>
      </c>
      <c r="P15">
        <v>45.6</v>
      </c>
      <c r="Q15">
        <v>0</v>
      </c>
      <c r="R15">
        <v>14.37</v>
      </c>
      <c r="S15">
        <v>19.16</v>
      </c>
      <c r="T15">
        <v>15.55</v>
      </c>
      <c r="U15">
        <v>1.4</v>
      </c>
      <c r="V15">
        <v>89</v>
      </c>
      <c r="W15">
        <v>1</v>
      </c>
      <c r="X15">
        <v>1</v>
      </c>
      <c r="Y15">
        <v>59.97</v>
      </c>
      <c r="Z15">
        <v>0</v>
      </c>
      <c r="AA15" t="s">
        <v>115</v>
      </c>
      <c r="AB15">
        <v>0</v>
      </c>
      <c r="AC15">
        <v>0.1</v>
      </c>
      <c r="AD15">
        <v>0.05</v>
      </c>
      <c r="AE15">
        <v>59.97</v>
      </c>
      <c r="AF15" t="s">
        <v>1694</v>
      </c>
      <c r="AG15" t="s">
        <v>1748</v>
      </c>
      <c r="AH15">
        <v>0.7</v>
      </c>
    </row>
    <row r="16" spans="1:34" x14ac:dyDescent="0.25">
      <c r="A16" s="2">
        <v>45670</v>
      </c>
      <c r="B16" t="s">
        <v>1875</v>
      </c>
      <c r="C16" t="s">
        <v>1876</v>
      </c>
      <c r="D16">
        <v>58</v>
      </c>
      <c r="E16">
        <v>0.97777777777777775</v>
      </c>
      <c r="F16">
        <v>0.10227272727272728</v>
      </c>
      <c r="G16">
        <v>42.71</v>
      </c>
      <c r="H16">
        <v>0.54</v>
      </c>
      <c r="I16">
        <v>42.17</v>
      </c>
      <c r="J16">
        <v>612.52</v>
      </c>
      <c r="K16">
        <v>29.62</v>
      </c>
      <c r="L16">
        <v>1.5</v>
      </c>
      <c r="M16" t="s">
        <v>1877</v>
      </c>
      <c r="N16">
        <v>2</v>
      </c>
      <c r="O16">
        <v>56</v>
      </c>
      <c r="P16">
        <v>33.5</v>
      </c>
      <c r="Q16">
        <v>1</v>
      </c>
      <c r="R16">
        <v>8.67</v>
      </c>
      <c r="S16">
        <v>5.32</v>
      </c>
      <c r="T16">
        <v>4.43</v>
      </c>
      <c r="U16">
        <v>1.36</v>
      </c>
      <c r="V16">
        <v>88</v>
      </c>
      <c r="W16">
        <v>1</v>
      </c>
      <c r="X16">
        <v>9</v>
      </c>
      <c r="Y16">
        <v>0</v>
      </c>
      <c r="Z16">
        <v>0</v>
      </c>
      <c r="AA16" t="s">
        <v>114</v>
      </c>
      <c r="AB16">
        <v>42.17</v>
      </c>
      <c r="AC16">
        <v>0.1</v>
      </c>
      <c r="AD16">
        <v>0.05</v>
      </c>
      <c r="AE16">
        <v>0</v>
      </c>
      <c r="AF16" t="s">
        <v>1680</v>
      </c>
      <c r="AG16" t="s">
        <v>1600</v>
      </c>
      <c r="AH16">
        <v>0.7</v>
      </c>
    </row>
    <row r="17" spans="1:34" x14ac:dyDescent="0.25">
      <c r="A17" s="2">
        <v>45670</v>
      </c>
      <c r="B17" t="s">
        <v>1836</v>
      </c>
      <c r="C17" t="s">
        <v>1837</v>
      </c>
      <c r="D17">
        <v>67</v>
      </c>
      <c r="E17">
        <v>1</v>
      </c>
      <c r="F17">
        <v>1.2048192771084338E-2</v>
      </c>
      <c r="G17">
        <v>51</v>
      </c>
      <c r="H17">
        <v>0.18</v>
      </c>
      <c r="I17">
        <v>50.82</v>
      </c>
      <c r="J17">
        <v>673.4</v>
      </c>
      <c r="K17">
        <v>27.25</v>
      </c>
      <c r="L17">
        <v>4</v>
      </c>
      <c r="M17" t="s">
        <v>1838</v>
      </c>
      <c r="N17">
        <v>3</v>
      </c>
      <c r="O17">
        <v>64</v>
      </c>
      <c r="P17">
        <v>32.61</v>
      </c>
      <c r="Q17">
        <v>0</v>
      </c>
      <c r="R17">
        <v>18.2</v>
      </c>
      <c r="S17">
        <v>4.95</v>
      </c>
      <c r="T17">
        <v>3.38</v>
      </c>
      <c r="U17">
        <v>1.31</v>
      </c>
      <c r="V17">
        <v>83</v>
      </c>
      <c r="W17">
        <v>0</v>
      </c>
      <c r="X17">
        <v>1</v>
      </c>
      <c r="Y17">
        <v>50.82</v>
      </c>
      <c r="Z17">
        <v>0</v>
      </c>
      <c r="AA17" t="s">
        <v>114</v>
      </c>
      <c r="AB17">
        <v>0</v>
      </c>
      <c r="AC17">
        <v>0.1</v>
      </c>
      <c r="AD17">
        <v>0.05</v>
      </c>
      <c r="AE17">
        <v>50.82</v>
      </c>
      <c r="AF17" t="s">
        <v>1798</v>
      </c>
      <c r="AG17" t="s">
        <v>1812</v>
      </c>
      <c r="AH17">
        <v>0.7</v>
      </c>
    </row>
    <row r="18" spans="1:34" x14ac:dyDescent="0.25">
      <c r="A18" s="2">
        <v>45677</v>
      </c>
      <c r="B18" t="s">
        <v>1875</v>
      </c>
      <c r="C18" t="s">
        <v>1876</v>
      </c>
      <c r="D18">
        <v>56</v>
      </c>
      <c r="E18">
        <v>0.9821428571428571</v>
      </c>
      <c r="F18">
        <v>5.4545454545454543E-2</v>
      </c>
      <c r="G18">
        <v>43.51</v>
      </c>
      <c r="H18">
        <v>0.31</v>
      </c>
      <c r="I18">
        <v>43.199999999999996</v>
      </c>
      <c r="J18">
        <v>610.37</v>
      </c>
      <c r="K18">
        <v>61.34</v>
      </c>
      <c r="L18">
        <v>8.67</v>
      </c>
      <c r="M18" t="s">
        <v>1877</v>
      </c>
      <c r="N18">
        <v>3</v>
      </c>
      <c r="O18">
        <v>53</v>
      </c>
      <c r="P18">
        <v>35.01</v>
      </c>
      <c r="Q18">
        <v>0</v>
      </c>
      <c r="R18">
        <v>8.18</v>
      </c>
      <c r="S18">
        <v>5.3</v>
      </c>
      <c r="T18">
        <v>4.95</v>
      </c>
      <c r="U18">
        <v>1.29</v>
      </c>
      <c r="V18">
        <v>110</v>
      </c>
      <c r="W18">
        <v>2</v>
      </c>
      <c r="X18">
        <v>6</v>
      </c>
      <c r="Y18">
        <v>0</v>
      </c>
      <c r="Z18">
        <v>0</v>
      </c>
      <c r="AA18" t="s">
        <v>115</v>
      </c>
      <c r="AB18">
        <v>43.199999999999996</v>
      </c>
      <c r="AC18">
        <v>0.1</v>
      </c>
      <c r="AD18">
        <v>0.05</v>
      </c>
      <c r="AE18">
        <v>0</v>
      </c>
      <c r="AF18" t="s">
        <v>1680</v>
      </c>
      <c r="AG18" t="s">
        <v>1600</v>
      </c>
      <c r="AH18">
        <v>0.7</v>
      </c>
    </row>
    <row r="19" spans="1:34" x14ac:dyDescent="0.25">
      <c r="A19" s="2">
        <v>45677</v>
      </c>
      <c r="B19" t="s">
        <v>1836</v>
      </c>
      <c r="C19" t="s">
        <v>1837</v>
      </c>
      <c r="D19">
        <v>83</v>
      </c>
      <c r="E19">
        <v>0.92307692307692313</v>
      </c>
      <c r="F19">
        <v>0</v>
      </c>
      <c r="G19">
        <v>51.33</v>
      </c>
      <c r="H19">
        <v>0.15</v>
      </c>
      <c r="I19">
        <v>51.18</v>
      </c>
      <c r="J19">
        <v>763.4</v>
      </c>
      <c r="K19">
        <v>61.23</v>
      </c>
      <c r="L19">
        <v>0</v>
      </c>
      <c r="M19" t="s">
        <v>1838</v>
      </c>
      <c r="N19">
        <v>4</v>
      </c>
      <c r="O19">
        <v>79</v>
      </c>
      <c r="P19">
        <v>36.520000000000003</v>
      </c>
      <c r="Q19">
        <v>8</v>
      </c>
      <c r="R19">
        <v>14.66</v>
      </c>
      <c r="S19">
        <v>10.97</v>
      </c>
      <c r="T19">
        <v>8.14</v>
      </c>
      <c r="U19">
        <v>1.62</v>
      </c>
      <c r="V19">
        <v>96</v>
      </c>
      <c r="W19">
        <v>0</v>
      </c>
      <c r="X19">
        <v>0</v>
      </c>
      <c r="Y19">
        <v>0</v>
      </c>
      <c r="Z19">
        <v>0</v>
      </c>
      <c r="AA19" t="s">
        <v>115</v>
      </c>
      <c r="AB19">
        <v>51.18</v>
      </c>
      <c r="AC19">
        <v>0.1</v>
      </c>
      <c r="AD19">
        <v>0.05</v>
      </c>
      <c r="AE19">
        <v>0</v>
      </c>
      <c r="AF19" t="s">
        <v>1798</v>
      </c>
      <c r="AG19" t="s">
        <v>1812</v>
      </c>
      <c r="AH19">
        <v>0.7</v>
      </c>
    </row>
    <row r="20" spans="1:34" x14ac:dyDescent="0.25">
      <c r="A20" s="2">
        <v>45670</v>
      </c>
      <c r="B20" t="s">
        <v>1899</v>
      </c>
      <c r="C20" t="s">
        <v>1900</v>
      </c>
      <c r="D20">
        <v>56</v>
      </c>
      <c r="E20">
        <v>0.98529411764705888</v>
      </c>
      <c r="F20">
        <v>0</v>
      </c>
      <c r="G20">
        <v>45.59</v>
      </c>
      <c r="H20">
        <v>0.01</v>
      </c>
      <c r="I20">
        <v>45.580000000000005</v>
      </c>
      <c r="J20">
        <v>761.58</v>
      </c>
      <c r="K20">
        <v>92.78</v>
      </c>
      <c r="L20">
        <v>7.06</v>
      </c>
      <c r="M20" t="s">
        <v>1901</v>
      </c>
      <c r="N20">
        <v>5</v>
      </c>
      <c r="O20">
        <v>51</v>
      </c>
      <c r="P20">
        <v>41.24</v>
      </c>
      <c r="Q20">
        <v>1</v>
      </c>
      <c r="R20">
        <v>4.3499999999999996</v>
      </c>
      <c r="S20">
        <v>11.05</v>
      </c>
      <c r="T20">
        <v>10.19</v>
      </c>
      <c r="U20">
        <v>1.23</v>
      </c>
      <c r="V20">
        <v>67</v>
      </c>
      <c r="W20">
        <v>0</v>
      </c>
      <c r="X20">
        <v>0</v>
      </c>
      <c r="Y20">
        <v>45.580000000000005</v>
      </c>
      <c r="Z20">
        <v>0</v>
      </c>
      <c r="AA20" t="s">
        <v>114</v>
      </c>
      <c r="AB20">
        <v>0</v>
      </c>
      <c r="AC20">
        <v>0.1</v>
      </c>
      <c r="AD20">
        <v>0.05</v>
      </c>
      <c r="AE20">
        <v>45.580000000000005</v>
      </c>
      <c r="AF20" t="s">
        <v>1709</v>
      </c>
      <c r="AG20" t="s">
        <v>1601</v>
      </c>
      <c r="AH20">
        <v>0.7</v>
      </c>
    </row>
    <row r="21" spans="1:34" x14ac:dyDescent="0.25">
      <c r="A21" s="2">
        <v>45670</v>
      </c>
      <c r="B21" t="s">
        <v>1990</v>
      </c>
      <c r="C21" t="s">
        <v>1918</v>
      </c>
      <c r="D21">
        <v>45</v>
      </c>
      <c r="E21">
        <v>0.30256410256410254</v>
      </c>
      <c r="F21">
        <v>0</v>
      </c>
      <c r="G21">
        <v>50.02</v>
      </c>
      <c r="H21">
        <v>0.71</v>
      </c>
      <c r="I21">
        <v>49.31</v>
      </c>
      <c r="J21">
        <v>637.29</v>
      </c>
      <c r="K21">
        <v>35.15</v>
      </c>
      <c r="L21">
        <v>0</v>
      </c>
      <c r="M21" t="s">
        <v>1842</v>
      </c>
      <c r="N21">
        <v>19</v>
      </c>
      <c r="O21">
        <v>26</v>
      </c>
      <c r="P21">
        <v>32.85</v>
      </c>
      <c r="Q21">
        <v>136</v>
      </c>
      <c r="R21">
        <v>16.46</v>
      </c>
      <c r="S21">
        <v>40.97</v>
      </c>
      <c r="T21">
        <v>28.09</v>
      </c>
      <c r="U21">
        <v>0.9</v>
      </c>
      <c r="V21">
        <v>59</v>
      </c>
      <c r="W21">
        <v>0</v>
      </c>
      <c r="X21">
        <v>0</v>
      </c>
      <c r="Y21">
        <v>0</v>
      </c>
      <c r="Z21">
        <v>0</v>
      </c>
      <c r="AA21" t="s">
        <v>114</v>
      </c>
      <c r="AB21">
        <v>49.31</v>
      </c>
      <c r="AC21">
        <v>0.1</v>
      </c>
      <c r="AD21">
        <v>0.05</v>
      </c>
      <c r="AE21">
        <v>0</v>
      </c>
      <c r="AF21" t="s">
        <v>1639</v>
      </c>
      <c r="AG21" t="s">
        <v>1601</v>
      </c>
      <c r="AH21">
        <v>0.7</v>
      </c>
    </row>
    <row r="22" spans="1:34" x14ac:dyDescent="0.25">
      <c r="A22" s="2">
        <v>45677</v>
      </c>
      <c r="B22" t="s">
        <v>1899</v>
      </c>
      <c r="C22" t="s">
        <v>1900</v>
      </c>
      <c r="D22">
        <v>47</v>
      </c>
      <c r="E22">
        <v>1</v>
      </c>
      <c r="F22">
        <v>0</v>
      </c>
      <c r="G22">
        <v>33.29</v>
      </c>
      <c r="H22">
        <v>0.01</v>
      </c>
      <c r="I22">
        <v>33.28</v>
      </c>
      <c r="J22">
        <v>598.79999999999995</v>
      </c>
      <c r="K22">
        <v>43.74</v>
      </c>
      <c r="L22">
        <v>2.88</v>
      </c>
      <c r="M22" t="s">
        <v>1901</v>
      </c>
      <c r="N22">
        <v>6</v>
      </c>
      <c r="O22">
        <v>41</v>
      </c>
      <c r="P22">
        <v>30.5</v>
      </c>
      <c r="Q22">
        <v>0</v>
      </c>
      <c r="R22">
        <v>2.78</v>
      </c>
      <c r="S22">
        <v>8.49</v>
      </c>
      <c r="T22">
        <v>7.35</v>
      </c>
      <c r="U22">
        <v>1.41</v>
      </c>
      <c r="V22">
        <v>49</v>
      </c>
      <c r="W22">
        <v>0</v>
      </c>
      <c r="X22">
        <v>0</v>
      </c>
      <c r="Y22">
        <v>33.28</v>
      </c>
      <c r="Z22">
        <v>0</v>
      </c>
      <c r="AA22" t="s">
        <v>115</v>
      </c>
      <c r="AB22">
        <v>0</v>
      </c>
      <c r="AC22">
        <v>0.1</v>
      </c>
      <c r="AD22">
        <v>0.05</v>
      </c>
      <c r="AE22">
        <v>33.28</v>
      </c>
      <c r="AF22" t="s">
        <v>1709</v>
      </c>
      <c r="AG22" t="s">
        <v>1601</v>
      </c>
      <c r="AH22">
        <v>0.7</v>
      </c>
    </row>
    <row r="23" spans="1:34" x14ac:dyDescent="0.25">
      <c r="A23" s="2">
        <v>45670</v>
      </c>
      <c r="B23" t="s">
        <v>2023</v>
      </c>
      <c r="C23" t="s">
        <v>1987</v>
      </c>
      <c r="D23">
        <v>86</v>
      </c>
      <c r="E23">
        <v>0.96875</v>
      </c>
      <c r="F23">
        <v>0</v>
      </c>
      <c r="G23">
        <v>53.45</v>
      </c>
      <c r="H23">
        <v>0.16</v>
      </c>
      <c r="I23">
        <v>53.290000000000006</v>
      </c>
      <c r="J23">
        <v>897.59</v>
      </c>
      <c r="K23">
        <v>42</v>
      </c>
      <c r="L23">
        <v>4</v>
      </c>
      <c r="M23" t="s">
        <v>2024</v>
      </c>
      <c r="N23">
        <v>40</v>
      </c>
      <c r="O23">
        <v>46</v>
      </c>
      <c r="P23">
        <v>52.02</v>
      </c>
      <c r="Q23">
        <v>0</v>
      </c>
      <c r="R23">
        <v>1.27</v>
      </c>
      <c r="S23">
        <v>25.59</v>
      </c>
      <c r="T23">
        <v>25.38</v>
      </c>
      <c r="U23">
        <v>1.61</v>
      </c>
      <c r="V23">
        <v>124</v>
      </c>
      <c r="W23">
        <v>4</v>
      </c>
      <c r="X23">
        <v>0</v>
      </c>
      <c r="Y23">
        <v>53.290000000000006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53.290000000000006</v>
      </c>
      <c r="AF23" t="s">
        <v>2009</v>
      </c>
      <c r="AG23" t="s">
        <v>1599</v>
      </c>
      <c r="AH23">
        <v>0.7</v>
      </c>
    </row>
    <row r="24" spans="1:34" x14ac:dyDescent="0.25">
      <c r="A24" s="2">
        <v>45670</v>
      </c>
      <c r="B24" t="s">
        <v>1860</v>
      </c>
      <c r="C24" t="s">
        <v>1861</v>
      </c>
      <c r="D24">
        <v>58</v>
      </c>
      <c r="E24">
        <v>0.94545454545454544</v>
      </c>
      <c r="F24">
        <v>0</v>
      </c>
      <c r="G24">
        <v>41.12</v>
      </c>
      <c r="H24">
        <v>2.76</v>
      </c>
      <c r="I24">
        <v>38.36</v>
      </c>
      <c r="J24">
        <v>785.62</v>
      </c>
      <c r="K24">
        <v>27.29</v>
      </c>
      <c r="L24">
        <v>6</v>
      </c>
      <c r="M24" t="s">
        <v>1862</v>
      </c>
      <c r="N24">
        <v>26</v>
      </c>
      <c r="O24">
        <v>32</v>
      </c>
      <c r="P24">
        <v>36.21</v>
      </c>
      <c r="Q24">
        <v>3</v>
      </c>
      <c r="R24">
        <v>2.15</v>
      </c>
      <c r="S24">
        <v>28.1</v>
      </c>
      <c r="T24">
        <v>24.78</v>
      </c>
      <c r="U24">
        <v>1.41</v>
      </c>
      <c r="V24">
        <v>52</v>
      </c>
      <c r="W24">
        <v>0</v>
      </c>
      <c r="X24">
        <v>0</v>
      </c>
      <c r="Y24">
        <v>0</v>
      </c>
      <c r="Z24">
        <v>0</v>
      </c>
      <c r="AA24" t="s">
        <v>114</v>
      </c>
      <c r="AB24">
        <v>38.36</v>
      </c>
      <c r="AC24">
        <v>0.1</v>
      </c>
      <c r="AD24">
        <v>0.05</v>
      </c>
      <c r="AE24">
        <v>0</v>
      </c>
      <c r="AF24" t="s">
        <v>1641</v>
      </c>
      <c r="AG24" t="s">
        <v>1667</v>
      </c>
      <c r="AH24">
        <v>0.7</v>
      </c>
    </row>
    <row r="25" spans="1:34" x14ac:dyDescent="0.25">
      <c r="A25" s="2">
        <v>45677</v>
      </c>
      <c r="B25" t="s">
        <v>2023</v>
      </c>
      <c r="C25" t="s">
        <v>1987</v>
      </c>
      <c r="D25">
        <v>21</v>
      </c>
      <c r="E25">
        <v>0.88095238095238093</v>
      </c>
      <c r="F25">
        <v>8.1081081081081086E-2</v>
      </c>
      <c r="G25">
        <v>18.75</v>
      </c>
      <c r="H25">
        <v>0</v>
      </c>
      <c r="I25">
        <v>18.75</v>
      </c>
      <c r="J25">
        <v>221.16</v>
      </c>
      <c r="K25">
        <v>19.84</v>
      </c>
      <c r="L25">
        <v>0</v>
      </c>
      <c r="M25" t="s">
        <v>2024</v>
      </c>
      <c r="N25">
        <v>8</v>
      </c>
      <c r="O25">
        <v>13</v>
      </c>
      <c r="P25">
        <v>16.78</v>
      </c>
      <c r="Q25">
        <v>0</v>
      </c>
      <c r="R25">
        <v>1.97</v>
      </c>
      <c r="S25">
        <v>8.67</v>
      </c>
      <c r="T25">
        <v>8.67</v>
      </c>
      <c r="U25">
        <v>1.1200000000000001</v>
      </c>
      <c r="V25">
        <v>37</v>
      </c>
      <c r="W25">
        <v>5</v>
      </c>
      <c r="X25">
        <v>3</v>
      </c>
      <c r="Y25">
        <v>0</v>
      </c>
      <c r="Z25">
        <v>0</v>
      </c>
      <c r="AA25" t="s">
        <v>115</v>
      </c>
      <c r="AB25">
        <v>18.75</v>
      </c>
      <c r="AC25">
        <v>0.1</v>
      </c>
      <c r="AD25">
        <v>0.05</v>
      </c>
      <c r="AE25">
        <v>0</v>
      </c>
      <c r="AF25" t="s">
        <v>2009</v>
      </c>
      <c r="AG25" t="s">
        <v>1599</v>
      </c>
      <c r="AH25">
        <v>0.7</v>
      </c>
    </row>
    <row r="26" spans="1:34" x14ac:dyDescent="0.25">
      <c r="A26" s="2">
        <v>45677</v>
      </c>
      <c r="B26" t="s">
        <v>1860</v>
      </c>
      <c r="C26" t="s">
        <v>1861</v>
      </c>
      <c r="D26">
        <v>56</v>
      </c>
      <c r="E26">
        <v>1</v>
      </c>
      <c r="F26">
        <v>0</v>
      </c>
      <c r="G26">
        <v>50.51</v>
      </c>
      <c r="H26">
        <v>5.25</v>
      </c>
      <c r="I26">
        <v>45.26</v>
      </c>
      <c r="J26">
        <v>851.88</v>
      </c>
      <c r="K26">
        <v>111.53</v>
      </c>
      <c r="L26">
        <v>12</v>
      </c>
      <c r="M26" t="s">
        <v>1862</v>
      </c>
      <c r="N26">
        <v>10</v>
      </c>
      <c r="O26">
        <v>46</v>
      </c>
      <c r="P26">
        <v>35.119999999999997</v>
      </c>
      <c r="Q26">
        <v>0</v>
      </c>
      <c r="R26">
        <v>10.14</v>
      </c>
      <c r="S26">
        <v>21.88</v>
      </c>
      <c r="T26">
        <v>14.56</v>
      </c>
      <c r="U26">
        <v>1.1100000000000001</v>
      </c>
      <c r="V26">
        <v>31</v>
      </c>
      <c r="W26">
        <v>0</v>
      </c>
      <c r="X26">
        <v>0</v>
      </c>
      <c r="Y26">
        <v>45.26</v>
      </c>
      <c r="Z26">
        <v>0</v>
      </c>
      <c r="AA26" t="s">
        <v>115</v>
      </c>
      <c r="AB26">
        <v>0</v>
      </c>
      <c r="AC26">
        <v>0.1</v>
      </c>
      <c r="AD26">
        <v>0.05</v>
      </c>
      <c r="AE26">
        <v>45.26</v>
      </c>
      <c r="AF26" t="s">
        <v>1641</v>
      </c>
      <c r="AG26" t="s">
        <v>1667</v>
      </c>
      <c r="AH26">
        <v>0.7</v>
      </c>
    </row>
    <row r="27" spans="1:34" x14ac:dyDescent="0.25">
      <c r="A27" s="2">
        <v>45670</v>
      </c>
      <c r="B27" t="s">
        <v>1887</v>
      </c>
      <c r="C27" t="s">
        <v>1888</v>
      </c>
      <c r="D27">
        <v>34</v>
      </c>
      <c r="E27">
        <v>0.78723404255319152</v>
      </c>
      <c r="F27">
        <v>2.7027027027027029E-2</v>
      </c>
      <c r="G27">
        <v>16.77</v>
      </c>
      <c r="H27">
        <v>0.21</v>
      </c>
      <c r="I27">
        <v>16.559999999999999</v>
      </c>
      <c r="J27">
        <v>331.2</v>
      </c>
      <c r="K27">
        <v>21.58</v>
      </c>
      <c r="L27">
        <v>4</v>
      </c>
      <c r="M27" t="s">
        <v>1889</v>
      </c>
      <c r="N27">
        <v>6</v>
      </c>
      <c r="O27">
        <v>28</v>
      </c>
      <c r="P27">
        <v>14.48</v>
      </c>
      <c r="Q27">
        <v>0</v>
      </c>
      <c r="R27">
        <v>2.09</v>
      </c>
      <c r="S27">
        <v>5.47</v>
      </c>
      <c r="T27">
        <v>4.97</v>
      </c>
      <c r="U27">
        <v>2.0299999999999998</v>
      </c>
      <c r="V27">
        <v>37</v>
      </c>
      <c r="W27">
        <v>10</v>
      </c>
      <c r="X27">
        <v>1</v>
      </c>
      <c r="Y27">
        <v>0</v>
      </c>
      <c r="Z27">
        <v>0</v>
      </c>
      <c r="AA27" t="s">
        <v>114</v>
      </c>
      <c r="AB27">
        <v>16.559999999999999</v>
      </c>
      <c r="AC27">
        <v>0.1</v>
      </c>
      <c r="AD27">
        <v>0.05</v>
      </c>
      <c r="AE27">
        <v>0</v>
      </c>
      <c r="AF27" t="s">
        <v>1675</v>
      </c>
      <c r="AG27" t="s">
        <v>1599</v>
      </c>
      <c r="AH27">
        <v>0.7</v>
      </c>
    </row>
    <row r="28" spans="1:34" x14ac:dyDescent="0.25">
      <c r="A28" s="2">
        <v>45677</v>
      </c>
      <c r="B28" t="s">
        <v>1887</v>
      </c>
      <c r="C28" t="s">
        <v>1888</v>
      </c>
      <c r="D28">
        <v>41</v>
      </c>
      <c r="E28">
        <v>0.88461538461538458</v>
      </c>
      <c r="F28">
        <v>4.3478260869565216E-2</v>
      </c>
      <c r="G28">
        <v>23.52</v>
      </c>
      <c r="H28">
        <v>0.62</v>
      </c>
      <c r="I28">
        <v>22.9</v>
      </c>
      <c r="J28">
        <v>465.97</v>
      </c>
      <c r="K28">
        <v>31</v>
      </c>
      <c r="L28">
        <v>11.68</v>
      </c>
      <c r="M28" t="s">
        <v>1889</v>
      </c>
      <c r="N28">
        <v>6</v>
      </c>
      <c r="O28">
        <v>35</v>
      </c>
      <c r="P28">
        <v>21.36</v>
      </c>
      <c r="Q28">
        <v>0</v>
      </c>
      <c r="R28">
        <v>1.54</v>
      </c>
      <c r="S28">
        <v>12.57</v>
      </c>
      <c r="T28">
        <v>11.15</v>
      </c>
      <c r="U28">
        <v>1.74</v>
      </c>
      <c r="V28">
        <v>46</v>
      </c>
      <c r="W28">
        <v>6</v>
      </c>
      <c r="X28">
        <v>2</v>
      </c>
      <c r="Y28">
        <v>0</v>
      </c>
      <c r="Z28">
        <v>0</v>
      </c>
      <c r="AA28" t="s">
        <v>115</v>
      </c>
      <c r="AB28">
        <v>22.9</v>
      </c>
      <c r="AC28">
        <v>0.1</v>
      </c>
      <c r="AD28">
        <v>0.05</v>
      </c>
      <c r="AE28">
        <v>0</v>
      </c>
      <c r="AF28" t="s">
        <v>1675</v>
      </c>
      <c r="AG28" t="s">
        <v>1599</v>
      </c>
      <c r="AH28">
        <v>0.7</v>
      </c>
    </row>
    <row r="29" spans="1:34" x14ac:dyDescent="0.25">
      <c r="A29" s="2">
        <v>45670</v>
      </c>
      <c r="B29" t="s">
        <v>1846</v>
      </c>
      <c r="C29" t="s">
        <v>1847</v>
      </c>
      <c r="D29">
        <v>54</v>
      </c>
      <c r="E29">
        <v>0.93877551020408168</v>
      </c>
      <c r="F29">
        <v>0</v>
      </c>
      <c r="G29">
        <v>45.67</v>
      </c>
      <c r="H29">
        <v>9.42</v>
      </c>
      <c r="I29">
        <v>36.25</v>
      </c>
      <c r="J29">
        <v>556.24</v>
      </c>
      <c r="K29">
        <v>34.35</v>
      </c>
      <c r="L29">
        <v>13</v>
      </c>
      <c r="M29" t="s">
        <v>1848</v>
      </c>
      <c r="N29">
        <v>4</v>
      </c>
      <c r="O29">
        <v>50</v>
      </c>
      <c r="P29">
        <v>32.21</v>
      </c>
      <c r="Q29">
        <v>6</v>
      </c>
      <c r="R29">
        <v>4.04</v>
      </c>
      <c r="S29">
        <v>6.58</v>
      </c>
      <c r="T29">
        <v>5.75</v>
      </c>
      <c r="U29">
        <v>1.18</v>
      </c>
      <c r="V29">
        <v>92</v>
      </c>
      <c r="W29">
        <v>0</v>
      </c>
      <c r="X29">
        <v>0</v>
      </c>
      <c r="Y29">
        <v>0</v>
      </c>
      <c r="Z29">
        <v>0</v>
      </c>
      <c r="AA29" t="s">
        <v>114</v>
      </c>
      <c r="AB29">
        <v>36.25</v>
      </c>
      <c r="AC29">
        <v>0.1</v>
      </c>
      <c r="AD29">
        <v>0.05</v>
      </c>
      <c r="AE29">
        <v>0</v>
      </c>
      <c r="AF29" t="s">
        <v>1718</v>
      </c>
      <c r="AG29" t="s">
        <v>1599</v>
      </c>
      <c r="AH29">
        <v>0.7</v>
      </c>
    </row>
    <row r="30" spans="1:34" x14ac:dyDescent="0.25">
      <c r="A30" s="2">
        <v>45670</v>
      </c>
      <c r="B30" t="s">
        <v>1869</v>
      </c>
      <c r="C30" t="s">
        <v>1870</v>
      </c>
      <c r="D30">
        <v>65</v>
      </c>
      <c r="E30">
        <v>1</v>
      </c>
      <c r="F30">
        <v>1.282051282051282E-2</v>
      </c>
      <c r="G30">
        <v>42.91</v>
      </c>
      <c r="H30">
        <v>0.12</v>
      </c>
      <c r="I30">
        <v>42.79</v>
      </c>
      <c r="J30">
        <v>699.33</v>
      </c>
      <c r="K30">
        <v>61</v>
      </c>
      <c r="L30">
        <v>4.18</v>
      </c>
      <c r="M30" t="s">
        <v>1871</v>
      </c>
      <c r="N30">
        <v>22</v>
      </c>
      <c r="O30">
        <v>43</v>
      </c>
      <c r="P30">
        <v>34.9</v>
      </c>
      <c r="Q30">
        <v>0</v>
      </c>
      <c r="R30">
        <v>7.89</v>
      </c>
      <c r="S30">
        <v>20.21</v>
      </c>
      <c r="T30">
        <v>17.3</v>
      </c>
      <c r="U30">
        <v>1.51</v>
      </c>
      <c r="V30">
        <v>78</v>
      </c>
      <c r="W30">
        <v>0</v>
      </c>
      <c r="X30">
        <v>1</v>
      </c>
      <c r="Y30">
        <v>42.79</v>
      </c>
      <c r="Z30">
        <v>0</v>
      </c>
      <c r="AA30" t="s">
        <v>114</v>
      </c>
      <c r="AB30">
        <v>0</v>
      </c>
      <c r="AC30">
        <v>0.1</v>
      </c>
      <c r="AD30">
        <v>0.05</v>
      </c>
      <c r="AE30">
        <v>42.79</v>
      </c>
      <c r="AF30" t="s">
        <v>1653</v>
      </c>
      <c r="AG30" t="s">
        <v>1599</v>
      </c>
      <c r="AH30">
        <v>0.7</v>
      </c>
    </row>
    <row r="31" spans="1:34" x14ac:dyDescent="0.25">
      <c r="A31" s="2">
        <v>45677</v>
      </c>
      <c r="B31" t="s">
        <v>1846</v>
      </c>
      <c r="C31" t="s">
        <v>1847</v>
      </c>
      <c r="D31">
        <v>52</v>
      </c>
      <c r="E31">
        <v>1</v>
      </c>
      <c r="F31">
        <v>0</v>
      </c>
      <c r="G31">
        <v>57.66</v>
      </c>
      <c r="H31">
        <v>0.66</v>
      </c>
      <c r="I31">
        <v>57</v>
      </c>
      <c r="J31">
        <v>610.03</v>
      </c>
      <c r="K31">
        <v>42.8</v>
      </c>
      <c r="L31">
        <v>0</v>
      </c>
      <c r="M31" t="s">
        <v>1848</v>
      </c>
      <c r="N31">
        <v>21</v>
      </c>
      <c r="O31">
        <v>31</v>
      </c>
      <c r="P31">
        <v>56.23</v>
      </c>
      <c r="Q31">
        <v>0</v>
      </c>
      <c r="R31">
        <v>0.77</v>
      </c>
      <c r="S31">
        <v>31.19</v>
      </c>
      <c r="T31">
        <v>31</v>
      </c>
      <c r="U31">
        <v>0.9</v>
      </c>
      <c r="V31">
        <v>72</v>
      </c>
      <c r="W31">
        <v>0</v>
      </c>
      <c r="X31">
        <v>0</v>
      </c>
      <c r="Y31">
        <v>57</v>
      </c>
      <c r="Z31">
        <v>0</v>
      </c>
      <c r="AA31" t="s">
        <v>115</v>
      </c>
      <c r="AB31">
        <v>0</v>
      </c>
      <c r="AC31">
        <v>0.1</v>
      </c>
      <c r="AD31">
        <v>0.05</v>
      </c>
      <c r="AE31">
        <v>57</v>
      </c>
      <c r="AF31" t="s">
        <v>1718</v>
      </c>
      <c r="AG31" t="s">
        <v>1599</v>
      </c>
      <c r="AH31">
        <v>0.7</v>
      </c>
    </row>
    <row r="32" spans="1:34" x14ac:dyDescent="0.25">
      <c r="A32" s="2">
        <v>45670</v>
      </c>
      <c r="B32" t="s">
        <v>1890</v>
      </c>
      <c r="C32" t="s">
        <v>1891</v>
      </c>
      <c r="D32">
        <v>109</v>
      </c>
      <c r="E32">
        <v>1</v>
      </c>
      <c r="F32">
        <v>0</v>
      </c>
      <c r="G32">
        <v>66.06</v>
      </c>
      <c r="H32">
        <v>3.06</v>
      </c>
      <c r="I32">
        <v>63</v>
      </c>
      <c r="J32">
        <v>1066.44</v>
      </c>
      <c r="K32">
        <v>88.78</v>
      </c>
      <c r="L32">
        <v>6</v>
      </c>
      <c r="M32" t="s">
        <v>1892</v>
      </c>
      <c r="N32">
        <v>29</v>
      </c>
      <c r="O32">
        <v>80</v>
      </c>
      <c r="P32">
        <v>57.56</v>
      </c>
      <c r="Q32">
        <v>0</v>
      </c>
      <c r="R32">
        <v>5.43</v>
      </c>
      <c r="S32">
        <v>24.2</v>
      </c>
      <c r="T32">
        <v>22.16</v>
      </c>
      <c r="U32">
        <v>1.65</v>
      </c>
      <c r="V32">
        <v>151</v>
      </c>
      <c r="W32">
        <v>0</v>
      </c>
      <c r="X32">
        <v>0</v>
      </c>
      <c r="Y32">
        <v>63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63</v>
      </c>
      <c r="AF32" t="s">
        <v>1661</v>
      </c>
      <c r="AG32" t="s">
        <v>1601</v>
      </c>
      <c r="AH32">
        <v>0.7</v>
      </c>
    </row>
    <row r="33" spans="1:34" x14ac:dyDescent="0.25">
      <c r="A33" s="2">
        <v>45670</v>
      </c>
      <c r="B33" t="s">
        <v>1972</v>
      </c>
      <c r="C33" t="s">
        <v>1973</v>
      </c>
      <c r="D33">
        <v>72</v>
      </c>
      <c r="E33">
        <v>1</v>
      </c>
      <c r="F33">
        <v>3.1578947368421054E-2</v>
      </c>
      <c r="G33">
        <v>54.03</v>
      </c>
      <c r="H33">
        <v>0.01</v>
      </c>
      <c r="I33">
        <v>54.02</v>
      </c>
      <c r="J33">
        <v>804.37</v>
      </c>
      <c r="K33">
        <v>19.850000000000001</v>
      </c>
      <c r="L33">
        <v>0</v>
      </c>
      <c r="M33" t="s">
        <v>1974</v>
      </c>
      <c r="N33">
        <v>26</v>
      </c>
      <c r="O33">
        <v>46</v>
      </c>
      <c r="P33">
        <v>48.27</v>
      </c>
      <c r="Q33">
        <v>0</v>
      </c>
      <c r="R33">
        <v>5.75</v>
      </c>
      <c r="S33">
        <v>32.049999999999997</v>
      </c>
      <c r="T33">
        <v>29.8</v>
      </c>
      <c r="U33">
        <v>1.33</v>
      </c>
      <c r="V33">
        <v>95</v>
      </c>
      <c r="W33">
        <v>0</v>
      </c>
      <c r="X33">
        <v>3</v>
      </c>
      <c r="Y33">
        <v>54.02</v>
      </c>
      <c r="Z33">
        <v>0</v>
      </c>
      <c r="AA33" t="s">
        <v>114</v>
      </c>
      <c r="AB33">
        <v>0</v>
      </c>
      <c r="AC33">
        <v>0.1</v>
      </c>
      <c r="AD33">
        <v>0.05</v>
      </c>
      <c r="AE33">
        <v>54.02</v>
      </c>
      <c r="AF33" t="s">
        <v>1826</v>
      </c>
      <c r="AG33" t="s">
        <v>1670</v>
      </c>
      <c r="AH33">
        <v>0.7</v>
      </c>
    </row>
    <row r="34" spans="1:34" x14ac:dyDescent="0.25">
      <c r="A34" s="2">
        <v>45677</v>
      </c>
      <c r="B34" t="s">
        <v>1890</v>
      </c>
      <c r="C34" t="s">
        <v>1891</v>
      </c>
      <c r="D34">
        <v>106</v>
      </c>
      <c r="E34">
        <v>0.97278911564625847</v>
      </c>
      <c r="F34">
        <v>6.993006993006993E-3</v>
      </c>
      <c r="G34">
        <v>67.02</v>
      </c>
      <c r="H34">
        <v>4.16</v>
      </c>
      <c r="I34">
        <v>62.86</v>
      </c>
      <c r="J34">
        <v>1183.3900000000001</v>
      </c>
      <c r="K34">
        <v>48.92</v>
      </c>
      <c r="L34">
        <v>9.3000000000000007</v>
      </c>
      <c r="M34" t="s">
        <v>1892</v>
      </c>
      <c r="N34">
        <v>16</v>
      </c>
      <c r="O34">
        <v>90</v>
      </c>
      <c r="P34">
        <v>57.44</v>
      </c>
      <c r="Q34">
        <v>4</v>
      </c>
      <c r="R34">
        <v>5.43</v>
      </c>
      <c r="S34">
        <v>24.78</v>
      </c>
      <c r="T34">
        <v>23.6</v>
      </c>
      <c r="U34">
        <v>1.58</v>
      </c>
      <c r="V34">
        <v>143</v>
      </c>
      <c r="W34">
        <v>0</v>
      </c>
      <c r="X34">
        <v>1</v>
      </c>
      <c r="Y34">
        <v>62.86</v>
      </c>
      <c r="Z34">
        <v>0</v>
      </c>
      <c r="AA34" t="s">
        <v>115</v>
      </c>
      <c r="AB34">
        <v>0</v>
      </c>
      <c r="AC34">
        <v>0.1</v>
      </c>
      <c r="AD34">
        <v>0.05</v>
      </c>
      <c r="AE34">
        <v>62.86</v>
      </c>
      <c r="AF34" t="s">
        <v>1661</v>
      </c>
      <c r="AG34" t="s">
        <v>1601</v>
      </c>
      <c r="AH34">
        <v>0.7</v>
      </c>
    </row>
    <row r="35" spans="1:34" x14ac:dyDescent="0.25">
      <c r="A35" s="2">
        <v>45677</v>
      </c>
      <c r="B35" t="s">
        <v>1972</v>
      </c>
      <c r="C35" t="s">
        <v>1973</v>
      </c>
      <c r="D35">
        <v>70</v>
      </c>
      <c r="E35">
        <v>1</v>
      </c>
      <c r="F35">
        <v>6.5217391304347824E-2</v>
      </c>
      <c r="G35">
        <v>50.3</v>
      </c>
      <c r="H35">
        <v>0.01</v>
      </c>
      <c r="I35">
        <v>50.29</v>
      </c>
      <c r="J35">
        <v>824.56</v>
      </c>
      <c r="K35">
        <v>36.01</v>
      </c>
      <c r="L35">
        <v>0</v>
      </c>
      <c r="M35" t="s">
        <v>1974</v>
      </c>
      <c r="N35">
        <v>25</v>
      </c>
      <c r="O35">
        <v>45</v>
      </c>
      <c r="P35">
        <v>44.79</v>
      </c>
      <c r="Q35">
        <v>0</v>
      </c>
      <c r="R35">
        <v>5.5</v>
      </c>
      <c r="S35">
        <v>27.89</v>
      </c>
      <c r="T35">
        <v>26.77</v>
      </c>
      <c r="U35">
        <v>1.39</v>
      </c>
      <c r="V35">
        <v>92</v>
      </c>
      <c r="W35">
        <v>0</v>
      </c>
      <c r="X35">
        <v>6</v>
      </c>
      <c r="Y35">
        <v>0</v>
      </c>
      <c r="Z35">
        <v>0</v>
      </c>
      <c r="AA35" t="s">
        <v>115</v>
      </c>
      <c r="AB35">
        <v>50.29</v>
      </c>
      <c r="AC35">
        <v>0.1</v>
      </c>
      <c r="AD35">
        <v>0.05</v>
      </c>
      <c r="AE35">
        <v>0</v>
      </c>
      <c r="AF35" t="s">
        <v>1826</v>
      </c>
      <c r="AG35" t="s">
        <v>1670</v>
      </c>
      <c r="AH35">
        <v>0.7</v>
      </c>
    </row>
    <row r="36" spans="1:34" x14ac:dyDescent="0.25">
      <c r="A36" s="2">
        <v>45677</v>
      </c>
      <c r="B36" t="s">
        <v>1881</v>
      </c>
      <c r="C36" t="s">
        <v>1882</v>
      </c>
      <c r="D36">
        <v>72</v>
      </c>
      <c r="E36">
        <v>0.81756756756756754</v>
      </c>
      <c r="F36">
        <v>0.13223140495867769</v>
      </c>
      <c r="G36">
        <v>52.13</v>
      </c>
      <c r="H36">
        <v>0.23</v>
      </c>
      <c r="I36">
        <v>51.900000000000006</v>
      </c>
      <c r="J36">
        <v>726.93</v>
      </c>
      <c r="K36">
        <v>37</v>
      </c>
      <c r="L36">
        <v>6</v>
      </c>
      <c r="M36" t="s">
        <v>1883</v>
      </c>
      <c r="N36">
        <v>23</v>
      </c>
      <c r="O36">
        <v>49</v>
      </c>
      <c r="P36">
        <v>45.98</v>
      </c>
      <c r="Q36">
        <v>3</v>
      </c>
      <c r="R36">
        <v>5.92</v>
      </c>
      <c r="S36">
        <v>28.72</v>
      </c>
      <c r="T36">
        <v>26.58</v>
      </c>
      <c r="U36">
        <v>1.38</v>
      </c>
      <c r="V36">
        <v>121</v>
      </c>
      <c r="W36">
        <v>24</v>
      </c>
      <c r="X36">
        <v>16</v>
      </c>
      <c r="Y36">
        <v>0</v>
      </c>
      <c r="Z36">
        <v>0</v>
      </c>
      <c r="AA36" t="s">
        <v>115</v>
      </c>
      <c r="AB36">
        <v>51.900000000000006</v>
      </c>
      <c r="AC36">
        <v>0.1</v>
      </c>
      <c r="AD36">
        <v>0.05</v>
      </c>
      <c r="AE36">
        <v>0</v>
      </c>
      <c r="AF36" t="s">
        <v>1655</v>
      </c>
      <c r="AG36" t="s">
        <v>1599</v>
      </c>
      <c r="AH36">
        <v>0.7</v>
      </c>
    </row>
    <row r="37" spans="1:34" x14ac:dyDescent="0.25">
      <c r="A37" s="2">
        <v>45670</v>
      </c>
      <c r="B37" t="s">
        <v>1849</v>
      </c>
      <c r="C37" t="s">
        <v>1850</v>
      </c>
      <c r="D37">
        <v>85</v>
      </c>
      <c r="E37">
        <v>1</v>
      </c>
      <c r="F37">
        <v>1.0752688172043012E-2</v>
      </c>
      <c r="G37">
        <v>40.549999999999997</v>
      </c>
      <c r="H37">
        <v>0</v>
      </c>
      <c r="I37">
        <v>40.549999999999997</v>
      </c>
      <c r="J37">
        <v>761.25</v>
      </c>
      <c r="K37">
        <v>33.270000000000003</v>
      </c>
      <c r="L37">
        <v>1.51</v>
      </c>
      <c r="M37" t="s">
        <v>1851</v>
      </c>
      <c r="N37">
        <v>0</v>
      </c>
      <c r="O37">
        <v>85</v>
      </c>
      <c r="P37">
        <v>33.520000000000003</v>
      </c>
      <c r="Q37">
        <v>0</v>
      </c>
      <c r="R37">
        <v>7.03</v>
      </c>
      <c r="S37">
        <v>8.3000000000000007</v>
      </c>
      <c r="T37">
        <v>4.7699999999999996</v>
      </c>
      <c r="U37">
        <v>2.1</v>
      </c>
      <c r="V37">
        <v>93</v>
      </c>
      <c r="W37">
        <v>0</v>
      </c>
      <c r="X37">
        <v>1</v>
      </c>
      <c r="Y37">
        <v>40.549999999999997</v>
      </c>
      <c r="Z37">
        <v>0</v>
      </c>
      <c r="AA37" t="s">
        <v>114</v>
      </c>
      <c r="AB37">
        <v>0</v>
      </c>
      <c r="AC37">
        <v>0.1</v>
      </c>
      <c r="AD37">
        <v>0.05</v>
      </c>
      <c r="AE37">
        <v>40.549999999999997</v>
      </c>
      <c r="AF37" t="s">
        <v>1771</v>
      </c>
      <c r="AG37" t="s">
        <v>1601</v>
      </c>
      <c r="AH37">
        <v>0.7</v>
      </c>
    </row>
    <row r="38" spans="1:34" x14ac:dyDescent="0.25">
      <c r="A38" s="2">
        <v>45677</v>
      </c>
      <c r="B38" t="s">
        <v>1849</v>
      </c>
      <c r="C38" t="s">
        <v>1850</v>
      </c>
      <c r="D38">
        <v>83</v>
      </c>
      <c r="E38">
        <v>0.97916666666666663</v>
      </c>
      <c r="F38">
        <v>1.0638297872340425E-2</v>
      </c>
      <c r="G38">
        <v>40.03</v>
      </c>
      <c r="H38">
        <v>0.94</v>
      </c>
      <c r="I38">
        <v>39.090000000000003</v>
      </c>
      <c r="J38">
        <v>790.9</v>
      </c>
      <c r="K38">
        <v>20</v>
      </c>
      <c r="L38">
        <v>6</v>
      </c>
      <c r="M38" t="s">
        <v>1851</v>
      </c>
      <c r="N38">
        <v>0</v>
      </c>
      <c r="O38">
        <v>83</v>
      </c>
      <c r="P38">
        <v>34.909999999999997</v>
      </c>
      <c r="Q38">
        <v>2</v>
      </c>
      <c r="R38">
        <v>4.18</v>
      </c>
      <c r="S38">
        <v>8.3000000000000007</v>
      </c>
      <c r="T38">
        <v>6.58</v>
      </c>
      <c r="U38">
        <v>2.0699999999999998</v>
      </c>
      <c r="V38">
        <v>94</v>
      </c>
      <c r="W38">
        <v>0</v>
      </c>
      <c r="X38">
        <v>1</v>
      </c>
      <c r="Y38">
        <v>39.090000000000003</v>
      </c>
      <c r="Z38">
        <v>0</v>
      </c>
      <c r="AA38" t="s">
        <v>115</v>
      </c>
      <c r="AB38">
        <v>0</v>
      </c>
      <c r="AC38">
        <v>0.1</v>
      </c>
      <c r="AD38">
        <v>0.05</v>
      </c>
      <c r="AE38">
        <v>39.090000000000003</v>
      </c>
      <c r="AF38" t="s">
        <v>1771</v>
      </c>
      <c r="AG38" t="s">
        <v>1601</v>
      </c>
      <c r="AH38">
        <v>0.7</v>
      </c>
    </row>
    <row r="39" spans="1:34" x14ac:dyDescent="0.25">
      <c r="A39" s="2">
        <v>45670</v>
      </c>
      <c r="B39" t="s">
        <v>1843</v>
      </c>
      <c r="C39" t="s">
        <v>1844</v>
      </c>
      <c r="D39">
        <v>77</v>
      </c>
      <c r="E39">
        <v>1</v>
      </c>
      <c r="F39">
        <v>0</v>
      </c>
      <c r="G39">
        <v>50.25</v>
      </c>
      <c r="H39">
        <v>1</v>
      </c>
      <c r="I39">
        <v>49.25</v>
      </c>
      <c r="J39">
        <v>954.31</v>
      </c>
      <c r="K39">
        <v>43.12</v>
      </c>
      <c r="L39">
        <v>12.94</v>
      </c>
      <c r="M39" t="s">
        <v>1845</v>
      </c>
      <c r="N39">
        <v>3</v>
      </c>
      <c r="O39">
        <v>74</v>
      </c>
      <c r="P39">
        <v>42.96</v>
      </c>
      <c r="Q39">
        <v>0</v>
      </c>
      <c r="R39">
        <v>6.3</v>
      </c>
      <c r="S39">
        <v>1.1499999999999999</v>
      </c>
      <c r="T39">
        <v>0.83</v>
      </c>
      <c r="U39">
        <v>1.53</v>
      </c>
      <c r="V39">
        <v>82</v>
      </c>
      <c r="W39">
        <v>0</v>
      </c>
      <c r="X39">
        <v>0</v>
      </c>
      <c r="Y39">
        <v>49.25</v>
      </c>
      <c r="Z39">
        <v>0</v>
      </c>
      <c r="AA39" t="s">
        <v>114</v>
      </c>
      <c r="AB39">
        <v>0</v>
      </c>
      <c r="AC39">
        <v>0.1</v>
      </c>
      <c r="AD39">
        <v>0.05</v>
      </c>
      <c r="AE39">
        <v>49.25</v>
      </c>
      <c r="AF39" t="s">
        <v>1722</v>
      </c>
      <c r="AG39" t="s">
        <v>1600</v>
      </c>
      <c r="AH39">
        <v>0.7</v>
      </c>
    </row>
    <row r="40" spans="1:34" x14ac:dyDescent="0.25">
      <c r="A40" s="2">
        <v>45677</v>
      </c>
      <c r="B40" t="s">
        <v>1843</v>
      </c>
      <c r="C40" t="s">
        <v>1844</v>
      </c>
      <c r="D40">
        <v>70</v>
      </c>
      <c r="E40">
        <v>1</v>
      </c>
      <c r="F40">
        <v>4.7619047619047616E-2</v>
      </c>
      <c r="G40">
        <v>46.69</v>
      </c>
      <c r="H40">
        <v>0.05</v>
      </c>
      <c r="I40">
        <v>46.64</v>
      </c>
      <c r="J40">
        <v>854.79</v>
      </c>
      <c r="K40">
        <v>28.49</v>
      </c>
      <c r="L40">
        <v>3.02</v>
      </c>
      <c r="M40" t="s">
        <v>1845</v>
      </c>
      <c r="N40">
        <v>2</v>
      </c>
      <c r="O40">
        <v>68</v>
      </c>
      <c r="P40">
        <v>41.08</v>
      </c>
      <c r="Q40">
        <v>0</v>
      </c>
      <c r="R40">
        <v>5.56</v>
      </c>
      <c r="S40">
        <v>5.63</v>
      </c>
      <c r="T40">
        <v>4.1399999999999997</v>
      </c>
      <c r="U40">
        <v>1.5</v>
      </c>
      <c r="V40">
        <v>84</v>
      </c>
      <c r="W40">
        <v>0</v>
      </c>
      <c r="X40">
        <v>4</v>
      </c>
      <c r="Y40">
        <v>0</v>
      </c>
      <c r="Z40">
        <v>0</v>
      </c>
      <c r="AA40" t="s">
        <v>115</v>
      </c>
      <c r="AB40">
        <v>46.64</v>
      </c>
      <c r="AC40">
        <v>0.1</v>
      </c>
      <c r="AD40">
        <v>0.05</v>
      </c>
      <c r="AE40">
        <v>0</v>
      </c>
      <c r="AF40" t="s">
        <v>1722</v>
      </c>
      <c r="AG40" t="s">
        <v>1600</v>
      </c>
      <c r="AH40">
        <v>0.7</v>
      </c>
    </row>
    <row r="41" spans="1:34" x14ac:dyDescent="0.25">
      <c r="A41" s="2">
        <v>45670</v>
      </c>
      <c r="B41" t="s">
        <v>1911</v>
      </c>
      <c r="C41" t="s">
        <v>1912</v>
      </c>
      <c r="D41">
        <v>70</v>
      </c>
      <c r="E41">
        <v>1</v>
      </c>
      <c r="F41">
        <v>1.1764705882352941E-2</v>
      </c>
      <c r="G41">
        <v>43.21</v>
      </c>
      <c r="H41">
        <v>0</v>
      </c>
      <c r="I41">
        <v>43.21</v>
      </c>
      <c r="J41">
        <v>831.49</v>
      </c>
      <c r="K41">
        <v>103</v>
      </c>
      <c r="L41">
        <v>4.53</v>
      </c>
      <c r="M41" t="s">
        <v>1913</v>
      </c>
      <c r="N41">
        <v>32</v>
      </c>
      <c r="O41">
        <v>38</v>
      </c>
      <c r="P41">
        <v>42.8</v>
      </c>
      <c r="Q41">
        <v>0</v>
      </c>
      <c r="R41">
        <v>0.41</v>
      </c>
      <c r="S41">
        <v>26.31</v>
      </c>
      <c r="T41">
        <v>26.14</v>
      </c>
      <c r="U41">
        <v>1.62</v>
      </c>
      <c r="V41">
        <v>85</v>
      </c>
      <c r="W41">
        <v>0</v>
      </c>
      <c r="X41">
        <v>1</v>
      </c>
      <c r="Y41">
        <v>43.21</v>
      </c>
      <c r="Z41">
        <v>0</v>
      </c>
      <c r="AA41" t="s">
        <v>114</v>
      </c>
      <c r="AB41">
        <v>0</v>
      </c>
      <c r="AC41">
        <v>0.1</v>
      </c>
      <c r="AD41">
        <v>0.05</v>
      </c>
      <c r="AE41">
        <v>43.21</v>
      </c>
      <c r="AF41" t="s">
        <v>1621</v>
      </c>
      <c r="AG41" t="s">
        <v>1600</v>
      </c>
      <c r="AH41">
        <v>0.7</v>
      </c>
    </row>
    <row r="42" spans="1:34" x14ac:dyDescent="0.25">
      <c r="A42" s="2">
        <v>45670</v>
      </c>
      <c r="B42" t="s">
        <v>1852</v>
      </c>
      <c r="C42" t="s">
        <v>1853</v>
      </c>
      <c r="D42">
        <v>66</v>
      </c>
      <c r="E42">
        <v>1</v>
      </c>
      <c r="F42">
        <v>6.3063063063063057E-2</v>
      </c>
      <c r="G42">
        <v>43.78</v>
      </c>
      <c r="H42">
        <v>0.12</v>
      </c>
      <c r="I42">
        <v>43.660000000000004</v>
      </c>
      <c r="J42">
        <v>675.02</v>
      </c>
      <c r="K42">
        <v>42</v>
      </c>
      <c r="L42">
        <v>0</v>
      </c>
      <c r="M42" t="s">
        <v>1854</v>
      </c>
      <c r="N42">
        <v>10</v>
      </c>
      <c r="O42">
        <v>56</v>
      </c>
      <c r="P42">
        <v>39.65</v>
      </c>
      <c r="Q42">
        <v>0</v>
      </c>
      <c r="R42">
        <v>4.01</v>
      </c>
      <c r="S42">
        <v>11.86</v>
      </c>
      <c r="T42">
        <v>9.49</v>
      </c>
      <c r="U42">
        <v>1.51</v>
      </c>
      <c r="V42">
        <v>111</v>
      </c>
      <c r="W42">
        <v>0</v>
      </c>
      <c r="X42">
        <v>7</v>
      </c>
      <c r="Y42">
        <v>0</v>
      </c>
      <c r="Z42">
        <v>0</v>
      </c>
      <c r="AA42" t="s">
        <v>114</v>
      </c>
      <c r="AB42">
        <v>43.660000000000004</v>
      </c>
      <c r="AC42">
        <v>0.1</v>
      </c>
      <c r="AD42">
        <v>0.05</v>
      </c>
      <c r="AE42">
        <v>0</v>
      </c>
      <c r="AF42" t="s">
        <v>1619</v>
      </c>
      <c r="AG42" t="s">
        <v>1599</v>
      </c>
      <c r="AH42">
        <v>0.7</v>
      </c>
    </row>
    <row r="43" spans="1:34" x14ac:dyDescent="0.25">
      <c r="A43" s="2">
        <v>45677</v>
      </c>
      <c r="B43" t="s">
        <v>1911</v>
      </c>
      <c r="C43" t="s">
        <v>1912</v>
      </c>
      <c r="D43">
        <v>90</v>
      </c>
      <c r="E43">
        <v>1</v>
      </c>
      <c r="F43">
        <v>1.020408163265306E-2</v>
      </c>
      <c r="G43">
        <v>55.91</v>
      </c>
      <c r="H43">
        <v>0</v>
      </c>
      <c r="I43">
        <v>55.91</v>
      </c>
      <c r="J43">
        <v>1132.27</v>
      </c>
      <c r="K43">
        <v>59.86</v>
      </c>
      <c r="L43">
        <v>1.51</v>
      </c>
      <c r="M43" t="s">
        <v>1913</v>
      </c>
      <c r="N43">
        <v>41</v>
      </c>
      <c r="O43">
        <v>49</v>
      </c>
      <c r="P43">
        <v>55.12</v>
      </c>
      <c r="Q43">
        <v>0</v>
      </c>
      <c r="R43">
        <v>0.79</v>
      </c>
      <c r="S43">
        <v>45.07</v>
      </c>
      <c r="T43">
        <v>44.47</v>
      </c>
      <c r="U43">
        <v>1.61</v>
      </c>
      <c r="V43">
        <v>98</v>
      </c>
      <c r="W43">
        <v>0</v>
      </c>
      <c r="X43">
        <v>1</v>
      </c>
      <c r="Y43">
        <v>55.91</v>
      </c>
      <c r="Z43">
        <v>0</v>
      </c>
      <c r="AA43" t="s">
        <v>115</v>
      </c>
      <c r="AB43">
        <v>0</v>
      </c>
      <c r="AC43">
        <v>0.1</v>
      </c>
      <c r="AD43">
        <v>0.05</v>
      </c>
      <c r="AE43">
        <v>55.91</v>
      </c>
      <c r="AF43" t="s">
        <v>1621</v>
      </c>
      <c r="AG43" t="s">
        <v>1600</v>
      </c>
      <c r="AH43">
        <v>0.7</v>
      </c>
    </row>
    <row r="44" spans="1:34" x14ac:dyDescent="0.25">
      <c r="A44" s="2">
        <v>45677</v>
      </c>
      <c r="B44" t="s">
        <v>1852</v>
      </c>
      <c r="C44" t="s">
        <v>1853</v>
      </c>
      <c r="D44">
        <v>3</v>
      </c>
      <c r="E44">
        <v>1</v>
      </c>
      <c r="F44">
        <v>6.0606060606060608E-2</v>
      </c>
      <c r="G44">
        <v>9.94</v>
      </c>
      <c r="H44">
        <v>0</v>
      </c>
      <c r="I44">
        <v>9.94</v>
      </c>
      <c r="J44">
        <v>67.48</v>
      </c>
      <c r="K44">
        <v>0</v>
      </c>
      <c r="L44">
        <v>0</v>
      </c>
      <c r="M44" t="s">
        <v>1854</v>
      </c>
      <c r="N44">
        <v>0</v>
      </c>
      <c r="O44">
        <v>3</v>
      </c>
      <c r="P44">
        <v>9.65</v>
      </c>
      <c r="Q44">
        <v>0</v>
      </c>
      <c r="R44">
        <v>0.28999999999999998</v>
      </c>
      <c r="S44">
        <v>0</v>
      </c>
      <c r="T44">
        <v>0</v>
      </c>
      <c r="U44">
        <v>0.3</v>
      </c>
      <c r="V44">
        <v>33</v>
      </c>
      <c r="W44">
        <v>0</v>
      </c>
      <c r="X44">
        <v>2</v>
      </c>
      <c r="Y44">
        <v>0</v>
      </c>
      <c r="Z44">
        <v>0</v>
      </c>
      <c r="AA44" t="s">
        <v>115</v>
      </c>
      <c r="AB44">
        <v>9.94</v>
      </c>
      <c r="AC44">
        <v>0.1</v>
      </c>
      <c r="AD44">
        <v>0.05</v>
      </c>
      <c r="AE44">
        <v>0</v>
      </c>
      <c r="AF44" t="s">
        <v>1619</v>
      </c>
      <c r="AG44" t="s">
        <v>1599</v>
      </c>
      <c r="AH44">
        <v>0.7</v>
      </c>
    </row>
    <row r="45" spans="1:34" x14ac:dyDescent="0.25">
      <c r="A45" s="2">
        <v>45677</v>
      </c>
      <c r="B45" t="s">
        <v>1863</v>
      </c>
      <c r="C45" t="s">
        <v>1864</v>
      </c>
      <c r="D45">
        <v>58</v>
      </c>
      <c r="E45">
        <v>0.95081967213114749</v>
      </c>
      <c r="F45">
        <v>0</v>
      </c>
      <c r="G45">
        <v>35.68</v>
      </c>
      <c r="H45">
        <v>0</v>
      </c>
      <c r="I45">
        <v>35.68</v>
      </c>
      <c r="J45">
        <v>637.94000000000005</v>
      </c>
      <c r="K45">
        <v>77</v>
      </c>
      <c r="L45">
        <v>2.1</v>
      </c>
      <c r="M45" t="s">
        <v>1865</v>
      </c>
      <c r="N45">
        <v>12</v>
      </c>
      <c r="O45">
        <v>46</v>
      </c>
      <c r="P45">
        <v>33.119999999999997</v>
      </c>
      <c r="Q45">
        <v>3</v>
      </c>
      <c r="R45">
        <v>2.56</v>
      </c>
      <c r="S45">
        <v>33.33</v>
      </c>
      <c r="T45">
        <v>31.2</v>
      </c>
      <c r="U45">
        <v>1.63</v>
      </c>
      <c r="V45">
        <v>58</v>
      </c>
      <c r="W45">
        <v>0</v>
      </c>
      <c r="X45">
        <v>0</v>
      </c>
      <c r="Y45">
        <v>35.68</v>
      </c>
      <c r="Z45">
        <v>0</v>
      </c>
      <c r="AA45" t="s">
        <v>115</v>
      </c>
      <c r="AB45">
        <v>0</v>
      </c>
      <c r="AC45">
        <v>0.1</v>
      </c>
      <c r="AD45">
        <v>0.05</v>
      </c>
      <c r="AE45">
        <v>35.68</v>
      </c>
      <c r="AF45" t="s">
        <v>1602</v>
      </c>
      <c r="AG45" t="s">
        <v>1601</v>
      </c>
      <c r="AH45">
        <v>0.7</v>
      </c>
    </row>
    <row r="46" spans="1:34" x14ac:dyDescent="0.25">
      <c r="A46" s="2">
        <v>45670</v>
      </c>
      <c r="B46" t="s">
        <v>1963</v>
      </c>
      <c r="C46" t="s">
        <v>1964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1965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 t="s">
        <v>114</v>
      </c>
      <c r="AB46">
        <v>0</v>
      </c>
      <c r="AC46">
        <v>0.1</v>
      </c>
      <c r="AD46">
        <v>0.05</v>
      </c>
      <c r="AE46">
        <v>0</v>
      </c>
      <c r="AF46" t="s">
        <v>1950</v>
      </c>
      <c r="AG46" t="s">
        <v>1670</v>
      </c>
      <c r="AH46">
        <v>0.7</v>
      </c>
    </row>
    <row r="47" spans="1:34" x14ac:dyDescent="0.25">
      <c r="A47" s="2">
        <v>45670</v>
      </c>
      <c r="B47" t="s">
        <v>2092</v>
      </c>
      <c r="C47" t="s">
        <v>2093</v>
      </c>
      <c r="D47">
        <v>11</v>
      </c>
      <c r="E47">
        <v>1</v>
      </c>
      <c r="F47">
        <v>0</v>
      </c>
      <c r="G47">
        <v>6.42</v>
      </c>
      <c r="H47">
        <v>0</v>
      </c>
      <c r="I47">
        <v>6.42</v>
      </c>
      <c r="J47">
        <v>122.54</v>
      </c>
      <c r="K47">
        <v>15.75</v>
      </c>
      <c r="L47">
        <v>0</v>
      </c>
      <c r="M47" t="s">
        <v>2094</v>
      </c>
      <c r="N47">
        <v>3</v>
      </c>
      <c r="O47">
        <v>8</v>
      </c>
      <c r="P47">
        <v>6.05</v>
      </c>
      <c r="Q47">
        <v>0</v>
      </c>
      <c r="R47">
        <v>0.36</v>
      </c>
      <c r="S47">
        <v>3.2</v>
      </c>
      <c r="T47">
        <v>3.06</v>
      </c>
      <c r="U47">
        <v>1.71</v>
      </c>
      <c r="V47">
        <v>12</v>
      </c>
      <c r="W47">
        <v>0</v>
      </c>
      <c r="X47">
        <v>0</v>
      </c>
      <c r="Y47">
        <v>6.42</v>
      </c>
      <c r="Z47">
        <v>0</v>
      </c>
      <c r="AA47" t="s">
        <v>114</v>
      </c>
      <c r="AB47">
        <v>0</v>
      </c>
      <c r="AC47">
        <v>0.1</v>
      </c>
      <c r="AD47">
        <v>0.05</v>
      </c>
      <c r="AE47">
        <v>6.42</v>
      </c>
      <c r="AF47" t="s">
        <v>1663</v>
      </c>
      <c r="AG47" t="s">
        <v>1601</v>
      </c>
      <c r="AH47">
        <v>0.7</v>
      </c>
    </row>
    <row r="48" spans="1:34" x14ac:dyDescent="0.25">
      <c r="A48" s="2">
        <v>45670</v>
      </c>
      <c r="B48" t="s">
        <v>2017</v>
      </c>
      <c r="C48" t="s">
        <v>1875</v>
      </c>
      <c r="D48">
        <v>19</v>
      </c>
      <c r="E48">
        <v>1</v>
      </c>
      <c r="F48">
        <v>0</v>
      </c>
      <c r="G48">
        <v>24.74</v>
      </c>
      <c r="H48">
        <v>0.37</v>
      </c>
      <c r="I48">
        <v>24.369999999999997</v>
      </c>
      <c r="J48">
        <v>240.6</v>
      </c>
      <c r="K48">
        <v>27</v>
      </c>
      <c r="L48">
        <v>0</v>
      </c>
      <c r="M48" t="s">
        <v>2018</v>
      </c>
      <c r="N48">
        <v>7</v>
      </c>
      <c r="O48">
        <v>12</v>
      </c>
      <c r="P48">
        <v>12.74</v>
      </c>
      <c r="Q48">
        <v>0</v>
      </c>
      <c r="R48">
        <v>11.63</v>
      </c>
      <c r="S48">
        <v>14.06</v>
      </c>
      <c r="T48">
        <v>8.69</v>
      </c>
      <c r="U48">
        <v>0.77</v>
      </c>
      <c r="V48">
        <v>20</v>
      </c>
      <c r="W48">
        <v>0</v>
      </c>
      <c r="X48">
        <v>0</v>
      </c>
      <c r="Y48">
        <v>24.369999999999997</v>
      </c>
      <c r="Z48">
        <v>0</v>
      </c>
      <c r="AA48" t="s">
        <v>114</v>
      </c>
      <c r="AB48">
        <v>0</v>
      </c>
      <c r="AC48">
        <v>0.1</v>
      </c>
      <c r="AD48">
        <v>0.05</v>
      </c>
      <c r="AE48">
        <v>24.369999999999997</v>
      </c>
      <c r="AF48" t="s">
        <v>1954</v>
      </c>
      <c r="AG48" t="s">
        <v>1814</v>
      </c>
      <c r="AH48">
        <v>0.7</v>
      </c>
    </row>
    <row r="49" spans="1:34" x14ac:dyDescent="0.25">
      <c r="A49" s="2">
        <v>45677</v>
      </c>
      <c r="B49" t="s">
        <v>2017</v>
      </c>
      <c r="C49" t="s">
        <v>1875</v>
      </c>
      <c r="D49">
        <v>44</v>
      </c>
      <c r="E49">
        <v>0.98113207547169812</v>
      </c>
      <c r="F49">
        <v>5.7692307692307696E-2</v>
      </c>
      <c r="G49">
        <v>44.76</v>
      </c>
      <c r="H49">
        <v>0.86</v>
      </c>
      <c r="I49">
        <v>43.9</v>
      </c>
      <c r="J49">
        <v>556.4</v>
      </c>
      <c r="K49">
        <v>25</v>
      </c>
      <c r="L49">
        <v>15</v>
      </c>
      <c r="M49" t="s">
        <v>2018</v>
      </c>
      <c r="N49">
        <v>9</v>
      </c>
      <c r="O49">
        <v>35</v>
      </c>
      <c r="P49">
        <v>26.01</v>
      </c>
      <c r="Q49">
        <v>1</v>
      </c>
      <c r="R49">
        <v>17.89</v>
      </c>
      <c r="S49">
        <v>25.98</v>
      </c>
      <c r="T49">
        <v>11.02</v>
      </c>
      <c r="U49">
        <v>0.98</v>
      </c>
      <c r="V49">
        <v>52</v>
      </c>
      <c r="W49">
        <v>0</v>
      </c>
      <c r="X49">
        <v>3</v>
      </c>
      <c r="Y49">
        <v>0</v>
      </c>
      <c r="Z49">
        <v>0</v>
      </c>
      <c r="AA49" t="s">
        <v>115</v>
      </c>
      <c r="AB49">
        <v>43.9</v>
      </c>
      <c r="AC49">
        <v>0.1</v>
      </c>
      <c r="AD49">
        <v>0.05</v>
      </c>
      <c r="AE49">
        <v>0</v>
      </c>
      <c r="AF49" t="s">
        <v>1954</v>
      </c>
      <c r="AG49" t="s">
        <v>1814</v>
      </c>
      <c r="AH49">
        <v>0.7</v>
      </c>
    </row>
    <row r="50" spans="1:34" x14ac:dyDescent="0.25">
      <c r="A50" s="2">
        <v>45677</v>
      </c>
      <c r="B50" t="s">
        <v>1997</v>
      </c>
      <c r="C50" t="s">
        <v>1918</v>
      </c>
      <c r="D50">
        <v>74</v>
      </c>
      <c r="E50">
        <v>1</v>
      </c>
      <c r="F50">
        <v>1.1494252873563218E-2</v>
      </c>
      <c r="G50">
        <v>51.03</v>
      </c>
      <c r="H50">
        <v>0.27</v>
      </c>
      <c r="I50">
        <v>50.76</v>
      </c>
      <c r="J50">
        <v>853.72</v>
      </c>
      <c r="K50">
        <v>61.27</v>
      </c>
      <c r="L50">
        <v>9.0500000000000007</v>
      </c>
      <c r="M50" t="s">
        <v>1908</v>
      </c>
      <c r="N50">
        <v>24</v>
      </c>
      <c r="O50">
        <v>50</v>
      </c>
      <c r="P50">
        <v>44.46</v>
      </c>
      <c r="Q50">
        <v>0</v>
      </c>
      <c r="R50">
        <v>6.3</v>
      </c>
      <c r="S50">
        <v>41.97</v>
      </c>
      <c r="T50">
        <v>37.29</v>
      </c>
      <c r="U50">
        <v>1.45</v>
      </c>
      <c r="V50">
        <v>87</v>
      </c>
      <c r="W50">
        <v>0</v>
      </c>
      <c r="X50">
        <v>1</v>
      </c>
      <c r="Y50">
        <v>50.76</v>
      </c>
      <c r="Z50">
        <v>0</v>
      </c>
      <c r="AA50" t="s">
        <v>115</v>
      </c>
      <c r="AB50">
        <v>0</v>
      </c>
      <c r="AC50">
        <v>0.1</v>
      </c>
      <c r="AD50">
        <v>0.05</v>
      </c>
      <c r="AE50">
        <v>50.76</v>
      </c>
      <c r="AF50" t="s">
        <v>1640</v>
      </c>
      <c r="AG50" t="s">
        <v>1749</v>
      </c>
      <c r="AH50">
        <v>0.7</v>
      </c>
    </row>
    <row r="51" spans="1:34" x14ac:dyDescent="0.25">
      <c r="A51" s="2">
        <v>45670</v>
      </c>
      <c r="B51" t="s">
        <v>2025</v>
      </c>
      <c r="C51" t="s">
        <v>1856</v>
      </c>
      <c r="D51">
        <v>13</v>
      </c>
      <c r="E51">
        <v>1</v>
      </c>
      <c r="F51">
        <v>0</v>
      </c>
      <c r="G51">
        <v>6.96</v>
      </c>
      <c r="H51">
        <v>0.37</v>
      </c>
      <c r="I51">
        <v>6.59</v>
      </c>
      <c r="J51">
        <v>124.2</v>
      </c>
      <c r="K51">
        <v>10.65</v>
      </c>
      <c r="L51">
        <v>10.34</v>
      </c>
      <c r="M51" t="s">
        <v>2026</v>
      </c>
      <c r="N51">
        <v>4</v>
      </c>
      <c r="O51">
        <v>9</v>
      </c>
      <c r="P51">
        <v>6.24</v>
      </c>
      <c r="Q51">
        <v>0</v>
      </c>
      <c r="R51">
        <v>0.35</v>
      </c>
      <c r="S51">
        <v>0</v>
      </c>
      <c r="T51">
        <v>0</v>
      </c>
      <c r="U51">
        <v>1.87</v>
      </c>
      <c r="V51">
        <v>14</v>
      </c>
      <c r="W51">
        <v>0</v>
      </c>
      <c r="X51">
        <v>0</v>
      </c>
      <c r="Y51">
        <v>6.59</v>
      </c>
      <c r="Z51">
        <v>0</v>
      </c>
      <c r="AA51" t="s">
        <v>114</v>
      </c>
      <c r="AB51">
        <v>0</v>
      </c>
      <c r="AC51">
        <v>0.1</v>
      </c>
      <c r="AD51">
        <v>0.05</v>
      </c>
      <c r="AE51">
        <v>6.59</v>
      </c>
      <c r="AF51" t="s">
        <v>2010</v>
      </c>
      <c r="AG51" t="s">
        <v>1601</v>
      </c>
      <c r="AH51">
        <v>0.7</v>
      </c>
    </row>
    <row r="52" spans="1:34" x14ac:dyDescent="0.25">
      <c r="A52" s="2">
        <v>45677</v>
      </c>
      <c r="B52" t="s">
        <v>2025</v>
      </c>
      <c r="C52" t="s">
        <v>1856</v>
      </c>
      <c r="D52">
        <v>39</v>
      </c>
      <c r="E52">
        <v>1</v>
      </c>
      <c r="F52">
        <v>2.5000000000000001E-2</v>
      </c>
      <c r="G52">
        <v>19.7</v>
      </c>
      <c r="H52">
        <v>0</v>
      </c>
      <c r="I52">
        <v>19.7</v>
      </c>
      <c r="J52">
        <v>511.57</v>
      </c>
      <c r="K52">
        <v>59.79</v>
      </c>
      <c r="L52">
        <v>0</v>
      </c>
      <c r="M52" t="s">
        <v>2026</v>
      </c>
      <c r="N52">
        <v>6</v>
      </c>
      <c r="O52">
        <v>33</v>
      </c>
      <c r="P52">
        <v>18.57</v>
      </c>
      <c r="Q52">
        <v>0</v>
      </c>
      <c r="R52">
        <v>1.1299999999999999</v>
      </c>
      <c r="S52">
        <v>3.27</v>
      </c>
      <c r="T52">
        <v>3.26</v>
      </c>
      <c r="U52">
        <v>1.98</v>
      </c>
      <c r="V52">
        <v>40</v>
      </c>
      <c r="W52">
        <v>0</v>
      </c>
      <c r="X52">
        <v>1</v>
      </c>
      <c r="Y52">
        <v>19.7</v>
      </c>
      <c r="Z52">
        <v>0</v>
      </c>
      <c r="AA52" t="s">
        <v>115</v>
      </c>
      <c r="AB52">
        <v>0</v>
      </c>
      <c r="AC52">
        <v>0.1</v>
      </c>
      <c r="AD52">
        <v>0.05</v>
      </c>
      <c r="AE52">
        <v>19.7</v>
      </c>
      <c r="AF52" t="s">
        <v>2010</v>
      </c>
      <c r="AG52" t="s">
        <v>1601</v>
      </c>
      <c r="AH52">
        <v>0.7</v>
      </c>
    </row>
    <row r="53" spans="1:34" x14ac:dyDescent="0.25">
      <c r="A53" s="2">
        <v>45670</v>
      </c>
      <c r="B53" t="s">
        <v>1857</v>
      </c>
      <c r="C53" t="s">
        <v>1858</v>
      </c>
      <c r="D53">
        <v>68</v>
      </c>
      <c r="E53">
        <v>0.9887640449438202</v>
      </c>
      <c r="F53">
        <v>1.1363636363636364E-2</v>
      </c>
      <c r="G53">
        <v>50.79</v>
      </c>
      <c r="H53">
        <v>0</v>
      </c>
      <c r="I53">
        <v>50.79</v>
      </c>
      <c r="J53">
        <v>799.68</v>
      </c>
      <c r="K53">
        <v>54.88</v>
      </c>
      <c r="L53">
        <v>0</v>
      </c>
      <c r="M53" t="s">
        <v>1859</v>
      </c>
      <c r="N53">
        <v>42</v>
      </c>
      <c r="O53">
        <v>26</v>
      </c>
      <c r="P53">
        <v>48.53</v>
      </c>
      <c r="Q53">
        <v>0</v>
      </c>
      <c r="R53">
        <v>2.2599999999999998</v>
      </c>
      <c r="S53">
        <v>46.16</v>
      </c>
      <c r="T53">
        <v>43.94</v>
      </c>
      <c r="U53">
        <v>1.34</v>
      </c>
      <c r="V53">
        <v>88</v>
      </c>
      <c r="W53">
        <v>1</v>
      </c>
      <c r="X53">
        <v>1</v>
      </c>
      <c r="Y53">
        <v>50.79</v>
      </c>
      <c r="Z53">
        <v>0</v>
      </c>
      <c r="AA53" t="s">
        <v>114</v>
      </c>
      <c r="AB53">
        <v>0</v>
      </c>
      <c r="AC53">
        <v>0.1</v>
      </c>
      <c r="AD53">
        <v>0.05</v>
      </c>
      <c r="AE53">
        <v>50.79</v>
      </c>
      <c r="AF53" t="s">
        <v>1733</v>
      </c>
      <c r="AG53" t="s">
        <v>1600</v>
      </c>
      <c r="AH53">
        <v>0.7</v>
      </c>
    </row>
    <row r="54" spans="1:34" x14ac:dyDescent="0.25">
      <c r="A54" s="2">
        <v>45677</v>
      </c>
      <c r="B54" t="s">
        <v>1993</v>
      </c>
      <c r="C54" t="s">
        <v>1994</v>
      </c>
      <c r="D54">
        <v>141</v>
      </c>
      <c r="E54">
        <v>0.99371069182389937</v>
      </c>
      <c r="F54">
        <v>1.8987341772151899E-2</v>
      </c>
      <c r="G54">
        <v>85.94</v>
      </c>
      <c r="H54">
        <v>0.28000000000000003</v>
      </c>
      <c r="I54">
        <v>85.66</v>
      </c>
      <c r="J54">
        <v>1773.84</v>
      </c>
      <c r="K54">
        <v>94.14</v>
      </c>
      <c r="L54">
        <v>8.8699999999999992</v>
      </c>
      <c r="M54" t="s">
        <v>1906</v>
      </c>
      <c r="N54">
        <v>18</v>
      </c>
      <c r="O54">
        <v>123</v>
      </c>
      <c r="P54">
        <v>72.14</v>
      </c>
      <c r="Q54">
        <v>1</v>
      </c>
      <c r="R54">
        <v>13.51</v>
      </c>
      <c r="S54">
        <v>12.85</v>
      </c>
      <c r="T54">
        <v>10.3</v>
      </c>
      <c r="U54">
        <v>1.64</v>
      </c>
      <c r="V54">
        <v>158</v>
      </c>
      <c r="W54">
        <v>0</v>
      </c>
      <c r="X54">
        <v>3</v>
      </c>
      <c r="Y54">
        <v>85.66</v>
      </c>
      <c r="Z54">
        <v>0</v>
      </c>
      <c r="AA54" t="s">
        <v>115</v>
      </c>
      <c r="AB54">
        <v>0</v>
      </c>
      <c r="AC54">
        <v>0.1</v>
      </c>
      <c r="AD54">
        <v>0.05</v>
      </c>
      <c r="AE54">
        <v>85.66</v>
      </c>
      <c r="AF54" t="s">
        <v>1706</v>
      </c>
      <c r="AG54" t="s">
        <v>1716</v>
      </c>
      <c r="AH54">
        <v>0.7</v>
      </c>
    </row>
    <row r="55" spans="1:34" x14ac:dyDescent="0.25">
      <c r="A55" s="2">
        <v>45677</v>
      </c>
      <c r="B55" t="s">
        <v>1857</v>
      </c>
      <c r="C55" t="s">
        <v>1858</v>
      </c>
      <c r="D55">
        <v>76</v>
      </c>
      <c r="E55">
        <v>0.96739130434782605</v>
      </c>
      <c r="F55">
        <v>1.1235955056179775E-2</v>
      </c>
      <c r="G55">
        <v>48.01</v>
      </c>
      <c r="H55">
        <v>0.26</v>
      </c>
      <c r="I55">
        <v>47.75</v>
      </c>
      <c r="J55">
        <v>963.68</v>
      </c>
      <c r="K55">
        <v>54.35</v>
      </c>
      <c r="L55">
        <v>7.51</v>
      </c>
      <c r="M55" t="s">
        <v>1859</v>
      </c>
      <c r="N55">
        <v>27</v>
      </c>
      <c r="O55">
        <v>49</v>
      </c>
      <c r="P55">
        <v>44.79</v>
      </c>
      <c r="Q55">
        <v>0</v>
      </c>
      <c r="R55">
        <v>2.96</v>
      </c>
      <c r="S55">
        <v>41.32</v>
      </c>
      <c r="T55">
        <v>38.5</v>
      </c>
      <c r="U55">
        <v>1.58</v>
      </c>
      <c r="V55">
        <v>89</v>
      </c>
      <c r="W55">
        <v>3</v>
      </c>
      <c r="X55">
        <v>1</v>
      </c>
      <c r="Y55">
        <v>47.75</v>
      </c>
      <c r="Z55">
        <v>0</v>
      </c>
      <c r="AA55" t="s">
        <v>115</v>
      </c>
      <c r="AB55">
        <v>0</v>
      </c>
      <c r="AC55">
        <v>0.1</v>
      </c>
      <c r="AD55">
        <v>0.05</v>
      </c>
      <c r="AE55">
        <v>47.75</v>
      </c>
      <c r="AF55" t="s">
        <v>1733</v>
      </c>
      <c r="AG55" t="s">
        <v>1600</v>
      </c>
      <c r="AH55">
        <v>0.7</v>
      </c>
    </row>
    <row r="56" spans="1:34" x14ac:dyDescent="0.25">
      <c r="A56" s="2">
        <v>45677</v>
      </c>
      <c r="B56" t="s">
        <v>2157</v>
      </c>
      <c r="C56" t="s">
        <v>2158</v>
      </c>
      <c r="D56">
        <v>0</v>
      </c>
      <c r="E56">
        <v>0.90909090909090906</v>
      </c>
      <c r="F56">
        <v>0</v>
      </c>
      <c r="G56">
        <v>7.64</v>
      </c>
      <c r="H56">
        <v>0</v>
      </c>
      <c r="I56">
        <v>7.64</v>
      </c>
      <c r="J56">
        <v>0</v>
      </c>
      <c r="K56">
        <v>0</v>
      </c>
      <c r="L56">
        <v>0</v>
      </c>
      <c r="M56" t="s">
        <v>2159</v>
      </c>
      <c r="N56">
        <v>0</v>
      </c>
      <c r="O56">
        <v>0</v>
      </c>
      <c r="P56">
        <v>3.14</v>
      </c>
      <c r="Q56">
        <v>0</v>
      </c>
      <c r="R56">
        <v>4.5</v>
      </c>
      <c r="S56">
        <v>0</v>
      </c>
      <c r="T56">
        <v>0</v>
      </c>
      <c r="U56">
        <v>0</v>
      </c>
      <c r="V56">
        <v>10</v>
      </c>
      <c r="W56">
        <v>1</v>
      </c>
      <c r="X56">
        <v>0</v>
      </c>
      <c r="Y56">
        <v>0</v>
      </c>
      <c r="Z56">
        <v>0</v>
      </c>
      <c r="AA56" t="s">
        <v>115</v>
      </c>
      <c r="AB56">
        <v>7.64</v>
      </c>
      <c r="AC56">
        <v>0.1</v>
      </c>
      <c r="AD56">
        <v>0.05</v>
      </c>
      <c r="AE56">
        <v>0</v>
      </c>
      <c r="AF56" t="s">
        <v>1628</v>
      </c>
      <c r="AG56" t="s">
        <v>1599</v>
      </c>
      <c r="AH56">
        <v>0.7</v>
      </c>
    </row>
    <row r="57" spans="1:34" x14ac:dyDescent="0.25">
      <c r="A57" s="2">
        <v>45670</v>
      </c>
      <c r="B57" t="s">
        <v>1863</v>
      </c>
      <c r="C57" t="s">
        <v>1864</v>
      </c>
      <c r="D57">
        <v>54</v>
      </c>
      <c r="E57">
        <v>0.94736842105263153</v>
      </c>
      <c r="F57">
        <v>0</v>
      </c>
      <c r="G57">
        <v>33.369999999999997</v>
      </c>
      <c r="H57">
        <v>0</v>
      </c>
      <c r="I57">
        <v>33.369999999999997</v>
      </c>
      <c r="J57">
        <v>609.97</v>
      </c>
      <c r="K57">
        <v>54</v>
      </c>
      <c r="L57">
        <v>0</v>
      </c>
      <c r="M57" t="s">
        <v>1865</v>
      </c>
      <c r="N57">
        <v>19</v>
      </c>
      <c r="O57">
        <v>35</v>
      </c>
      <c r="P57">
        <v>29.13</v>
      </c>
      <c r="Q57">
        <v>0</v>
      </c>
      <c r="R57">
        <v>4.24</v>
      </c>
      <c r="S57">
        <v>30.08</v>
      </c>
      <c r="T57">
        <v>27.12</v>
      </c>
      <c r="U57">
        <v>1.62</v>
      </c>
      <c r="V57">
        <v>54</v>
      </c>
      <c r="W57">
        <v>3</v>
      </c>
      <c r="X57">
        <v>0</v>
      </c>
      <c r="Y57">
        <v>0</v>
      </c>
      <c r="Z57">
        <v>0</v>
      </c>
      <c r="AA57" t="s">
        <v>114</v>
      </c>
      <c r="AB57">
        <v>33.369999999999997</v>
      </c>
      <c r="AC57">
        <v>0.1</v>
      </c>
      <c r="AD57">
        <v>0.05</v>
      </c>
      <c r="AE57">
        <v>0</v>
      </c>
      <c r="AF57" t="s">
        <v>1602</v>
      </c>
      <c r="AG57" t="s">
        <v>1601</v>
      </c>
      <c r="AH57">
        <v>0.7</v>
      </c>
    </row>
    <row r="58" spans="1:34" x14ac:dyDescent="0.25">
      <c r="A58" s="2">
        <v>45677</v>
      </c>
      <c r="B58" t="s">
        <v>1869</v>
      </c>
      <c r="C58" t="s">
        <v>1870</v>
      </c>
      <c r="D58">
        <v>63</v>
      </c>
      <c r="E58">
        <v>0.97297297297297303</v>
      </c>
      <c r="F58">
        <v>1.3888888888888888E-2</v>
      </c>
      <c r="G58">
        <v>33.43</v>
      </c>
      <c r="H58">
        <v>0</v>
      </c>
      <c r="I58">
        <v>33.43</v>
      </c>
      <c r="J58">
        <v>602.34</v>
      </c>
      <c r="K58">
        <v>37</v>
      </c>
      <c r="L58">
        <v>0</v>
      </c>
      <c r="M58" t="s">
        <v>1871</v>
      </c>
      <c r="N58">
        <v>16</v>
      </c>
      <c r="O58">
        <v>47</v>
      </c>
      <c r="P58">
        <v>27.94</v>
      </c>
      <c r="Q58">
        <v>2</v>
      </c>
      <c r="R58">
        <v>5.49</v>
      </c>
      <c r="S58">
        <v>13.44</v>
      </c>
      <c r="T58">
        <v>11.95</v>
      </c>
      <c r="U58">
        <v>1.88</v>
      </c>
      <c r="V58">
        <v>72</v>
      </c>
      <c r="W58">
        <v>0</v>
      </c>
      <c r="X58">
        <v>1</v>
      </c>
      <c r="Y58">
        <v>33.43</v>
      </c>
      <c r="Z58">
        <v>0</v>
      </c>
      <c r="AA58" t="s">
        <v>115</v>
      </c>
      <c r="AB58">
        <v>0</v>
      </c>
      <c r="AC58">
        <v>0.1</v>
      </c>
      <c r="AD58">
        <v>0.05</v>
      </c>
      <c r="AE58">
        <v>33.43</v>
      </c>
      <c r="AF58" t="s">
        <v>1653</v>
      </c>
      <c r="AG58" t="s">
        <v>1599</v>
      </c>
      <c r="AH58">
        <v>0.7</v>
      </c>
    </row>
    <row r="59" spans="1:34" x14ac:dyDescent="0.25">
      <c r="A59" s="2">
        <v>45670</v>
      </c>
      <c r="B59" t="s">
        <v>1884</v>
      </c>
      <c r="C59" t="s">
        <v>1885</v>
      </c>
      <c r="D59">
        <v>82</v>
      </c>
      <c r="E59">
        <v>1</v>
      </c>
      <c r="F59">
        <v>9.9009900990099011E-3</v>
      </c>
      <c r="G59">
        <v>52.61</v>
      </c>
      <c r="H59">
        <v>0.1</v>
      </c>
      <c r="I59">
        <v>52.51</v>
      </c>
      <c r="J59">
        <v>824.25</v>
      </c>
      <c r="K59">
        <v>81.739999999999995</v>
      </c>
      <c r="L59">
        <v>3.77</v>
      </c>
      <c r="M59" t="s">
        <v>1886</v>
      </c>
      <c r="N59">
        <v>7</v>
      </c>
      <c r="O59">
        <v>75</v>
      </c>
      <c r="P59">
        <v>38.270000000000003</v>
      </c>
      <c r="Q59">
        <v>0</v>
      </c>
      <c r="R59">
        <v>14.25</v>
      </c>
      <c r="S59">
        <v>8.23</v>
      </c>
      <c r="T59">
        <v>5.66</v>
      </c>
      <c r="U59">
        <v>1.56</v>
      </c>
      <c r="V59">
        <v>101</v>
      </c>
      <c r="W59">
        <v>0</v>
      </c>
      <c r="X59">
        <v>1</v>
      </c>
      <c r="Y59">
        <v>52.51</v>
      </c>
      <c r="Z59">
        <v>0</v>
      </c>
      <c r="AA59" t="s">
        <v>114</v>
      </c>
      <c r="AB59">
        <v>0</v>
      </c>
      <c r="AC59">
        <v>0.1</v>
      </c>
      <c r="AD59">
        <v>0.05</v>
      </c>
      <c r="AE59">
        <v>52.51</v>
      </c>
      <c r="AF59" t="s">
        <v>1730</v>
      </c>
      <c r="AG59" t="s">
        <v>1787</v>
      </c>
      <c r="AH59">
        <v>0.7</v>
      </c>
    </row>
    <row r="60" spans="1:34" x14ac:dyDescent="0.25">
      <c r="A60" s="2">
        <v>45670</v>
      </c>
      <c r="B60" t="s">
        <v>1866</v>
      </c>
      <c r="C60" t="s">
        <v>1867</v>
      </c>
      <c r="D60">
        <v>17</v>
      </c>
      <c r="E60">
        <v>0.8928571428571429</v>
      </c>
      <c r="F60">
        <v>0.04</v>
      </c>
      <c r="G60">
        <v>8.2200000000000006</v>
      </c>
      <c r="H60">
        <v>0</v>
      </c>
      <c r="I60">
        <v>8.2200000000000006</v>
      </c>
      <c r="J60">
        <v>154.54</v>
      </c>
      <c r="K60">
        <v>8</v>
      </c>
      <c r="L60">
        <v>0</v>
      </c>
      <c r="M60" t="s">
        <v>1868</v>
      </c>
      <c r="N60">
        <v>1</v>
      </c>
      <c r="O60">
        <v>16</v>
      </c>
      <c r="P60">
        <v>7.54</v>
      </c>
      <c r="Q60">
        <v>2</v>
      </c>
      <c r="R60">
        <v>0.67</v>
      </c>
      <c r="S60">
        <v>0</v>
      </c>
      <c r="T60">
        <v>0</v>
      </c>
      <c r="U60">
        <v>2.0699999999999998</v>
      </c>
      <c r="V60">
        <v>25</v>
      </c>
      <c r="W60">
        <v>1</v>
      </c>
      <c r="X60">
        <v>1</v>
      </c>
      <c r="Y60">
        <v>0</v>
      </c>
      <c r="Z60">
        <v>0</v>
      </c>
      <c r="AA60" t="s">
        <v>114</v>
      </c>
      <c r="AB60">
        <v>8.2200000000000006</v>
      </c>
      <c r="AC60">
        <v>0.1</v>
      </c>
      <c r="AD60">
        <v>0.05</v>
      </c>
      <c r="AE60">
        <v>0</v>
      </c>
      <c r="AF60" t="s">
        <v>1734</v>
      </c>
      <c r="AG60" t="s">
        <v>1599</v>
      </c>
      <c r="AH60">
        <v>0.7</v>
      </c>
    </row>
    <row r="61" spans="1:34" x14ac:dyDescent="0.25">
      <c r="A61" s="2">
        <v>45670</v>
      </c>
      <c r="B61" t="s">
        <v>2000</v>
      </c>
      <c r="C61" t="s">
        <v>1856</v>
      </c>
      <c r="D61">
        <v>137</v>
      </c>
      <c r="E61">
        <v>0.94968553459119498</v>
      </c>
      <c r="F61">
        <v>2.6490066225165563E-2</v>
      </c>
      <c r="G61">
        <v>56.03</v>
      </c>
      <c r="H61">
        <v>1.61</v>
      </c>
      <c r="I61">
        <v>54.42</v>
      </c>
      <c r="J61">
        <v>1233.92</v>
      </c>
      <c r="K61">
        <v>70.86</v>
      </c>
      <c r="L61">
        <v>23.54</v>
      </c>
      <c r="M61" t="s">
        <v>1917</v>
      </c>
      <c r="N61">
        <v>10</v>
      </c>
      <c r="O61">
        <v>127</v>
      </c>
      <c r="P61">
        <v>49.67</v>
      </c>
      <c r="Q61">
        <v>0</v>
      </c>
      <c r="R61">
        <v>4.74</v>
      </c>
      <c r="S61">
        <v>1.7</v>
      </c>
      <c r="T61">
        <v>1.32</v>
      </c>
      <c r="U61">
        <v>2.4500000000000002</v>
      </c>
      <c r="V61">
        <v>151</v>
      </c>
      <c r="W61">
        <v>8</v>
      </c>
      <c r="X61">
        <v>4</v>
      </c>
      <c r="Y61">
        <v>0</v>
      </c>
      <c r="Z61">
        <v>0</v>
      </c>
      <c r="AA61" t="s">
        <v>114</v>
      </c>
      <c r="AB61">
        <v>54.42</v>
      </c>
      <c r="AC61">
        <v>0.1</v>
      </c>
      <c r="AD61">
        <v>0.05</v>
      </c>
      <c r="AE61">
        <v>0</v>
      </c>
      <c r="AF61" t="s">
        <v>1774</v>
      </c>
      <c r="AG61" t="s">
        <v>1600</v>
      </c>
      <c r="AH61">
        <v>0.7</v>
      </c>
    </row>
    <row r="62" spans="1:34" x14ac:dyDescent="0.25">
      <c r="A62" s="2">
        <v>45677</v>
      </c>
      <c r="B62" t="s">
        <v>1866</v>
      </c>
      <c r="C62" t="s">
        <v>1867</v>
      </c>
      <c r="D62">
        <v>26</v>
      </c>
      <c r="E62">
        <v>0.92307692307692313</v>
      </c>
      <c r="F62">
        <v>0</v>
      </c>
      <c r="G62">
        <v>10.78</v>
      </c>
      <c r="H62">
        <v>0.16</v>
      </c>
      <c r="I62">
        <v>10.62</v>
      </c>
      <c r="J62">
        <v>216.45</v>
      </c>
      <c r="K62">
        <v>1</v>
      </c>
      <c r="L62">
        <v>18</v>
      </c>
      <c r="M62" t="s">
        <v>1868</v>
      </c>
      <c r="N62">
        <v>1</v>
      </c>
      <c r="O62">
        <v>25</v>
      </c>
      <c r="P62">
        <v>9.81</v>
      </c>
      <c r="Q62">
        <v>2</v>
      </c>
      <c r="R62">
        <v>0.81</v>
      </c>
      <c r="S62">
        <v>0</v>
      </c>
      <c r="T62">
        <v>0</v>
      </c>
      <c r="U62">
        <v>2.41</v>
      </c>
      <c r="V62">
        <v>36</v>
      </c>
      <c r="W62">
        <v>1</v>
      </c>
      <c r="X62">
        <v>0</v>
      </c>
      <c r="Y62">
        <v>0</v>
      </c>
      <c r="Z62">
        <v>0</v>
      </c>
      <c r="AA62" t="s">
        <v>115</v>
      </c>
      <c r="AB62">
        <v>10.62</v>
      </c>
      <c r="AC62">
        <v>0.1</v>
      </c>
      <c r="AD62">
        <v>0.05</v>
      </c>
      <c r="AE62">
        <v>0</v>
      </c>
      <c r="AF62" t="s">
        <v>1734</v>
      </c>
      <c r="AG62" t="s">
        <v>1599</v>
      </c>
      <c r="AH62">
        <v>0.7</v>
      </c>
    </row>
    <row r="63" spans="1:34" x14ac:dyDescent="0.25">
      <c r="A63" s="2">
        <v>45670</v>
      </c>
      <c r="B63" t="s">
        <v>1872</v>
      </c>
      <c r="C63" t="s">
        <v>1873</v>
      </c>
      <c r="D63">
        <v>37</v>
      </c>
      <c r="E63">
        <v>0.93478260869565222</v>
      </c>
      <c r="F63">
        <v>6.9767441860465115E-2</v>
      </c>
      <c r="G63">
        <v>21.71</v>
      </c>
      <c r="H63">
        <v>0</v>
      </c>
      <c r="I63">
        <v>21.71</v>
      </c>
      <c r="J63">
        <v>477.21</v>
      </c>
      <c r="K63">
        <v>27.57</v>
      </c>
      <c r="L63">
        <v>0</v>
      </c>
      <c r="M63" t="s">
        <v>1874</v>
      </c>
      <c r="N63">
        <v>2</v>
      </c>
      <c r="O63">
        <v>35</v>
      </c>
      <c r="P63">
        <v>16.809999999999999</v>
      </c>
      <c r="Q63">
        <v>0</v>
      </c>
      <c r="R63">
        <v>4.9000000000000004</v>
      </c>
      <c r="S63">
        <v>6.74</v>
      </c>
      <c r="T63">
        <v>4.68</v>
      </c>
      <c r="U63">
        <v>1.7</v>
      </c>
      <c r="V63">
        <v>43</v>
      </c>
      <c r="W63">
        <v>3</v>
      </c>
      <c r="X63">
        <v>3</v>
      </c>
      <c r="Y63">
        <v>0</v>
      </c>
      <c r="Z63">
        <v>0</v>
      </c>
      <c r="AA63" t="s">
        <v>114</v>
      </c>
      <c r="AB63">
        <v>21.71</v>
      </c>
      <c r="AC63">
        <v>0.1</v>
      </c>
      <c r="AD63">
        <v>0.05</v>
      </c>
      <c r="AE63">
        <v>0</v>
      </c>
      <c r="AF63" t="s">
        <v>1735</v>
      </c>
      <c r="AG63" t="s">
        <v>1599</v>
      </c>
      <c r="AH63">
        <v>0.7</v>
      </c>
    </row>
    <row r="64" spans="1:34" x14ac:dyDescent="0.25">
      <c r="A64" s="2">
        <v>45677</v>
      </c>
      <c r="B64" t="s">
        <v>1872</v>
      </c>
      <c r="C64" t="s">
        <v>1873</v>
      </c>
      <c r="D64">
        <v>22</v>
      </c>
      <c r="E64">
        <v>0.96296296296296291</v>
      </c>
      <c r="F64">
        <v>7.6923076923076927E-2</v>
      </c>
      <c r="G64">
        <v>12.79</v>
      </c>
      <c r="H64">
        <v>0</v>
      </c>
      <c r="I64">
        <v>12.79</v>
      </c>
      <c r="J64">
        <v>272.37</v>
      </c>
      <c r="K64">
        <v>3</v>
      </c>
      <c r="L64">
        <v>0</v>
      </c>
      <c r="M64" t="s">
        <v>1874</v>
      </c>
      <c r="N64">
        <v>1</v>
      </c>
      <c r="O64">
        <v>21</v>
      </c>
      <c r="P64">
        <v>9.36</v>
      </c>
      <c r="Q64">
        <v>0</v>
      </c>
      <c r="R64">
        <v>3.42</v>
      </c>
      <c r="S64">
        <v>3.23</v>
      </c>
      <c r="T64">
        <v>1.75</v>
      </c>
      <c r="U64">
        <v>1.72</v>
      </c>
      <c r="V64">
        <v>26</v>
      </c>
      <c r="W64">
        <v>1</v>
      </c>
      <c r="X64">
        <v>2</v>
      </c>
      <c r="Y64">
        <v>0</v>
      </c>
      <c r="Z64">
        <v>0</v>
      </c>
      <c r="AA64" t="s">
        <v>115</v>
      </c>
      <c r="AB64">
        <v>12.79</v>
      </c>
      <c r="AC64">
        <v>0.1</v>
      </c>
      <c r="AD64">
        <v>0.05</v>
      </c>
      <c r="AE64">
        <v>0</v>
      </c>
      <c r="AF64" t="s">
        <v>1735</v>
      </c>
      <c r="AG64" t="s">
        <v>1599</v>
      </c>
      <c r="AH64">
        <v>0.7</v>
      </c>
    </row>
    <row r="65" spans="1:34" x14ac:dyDescent="0.25">
      <c r="A65" s="2">
        <v>45670</v>
      </c>
      <c r="B65" t="s">
        <v>1893</v>
      </c>
      <c r="C65" t="s">
        <v>1894</v>
      </c>
      <c r="D65">
        <v>94</v>
      </c>
      <c r="E65">
        <v>0.94545454545454544</v>
      </c>
      <c r="F65">
        <v>1.9230769230769232E-2</v>
      </c>
      <c r="G65">
        <v>51.08</v>
      </c>
      <c r="H65">
        <v>0.02</v>
      </c>
      <c r="I65">
        <v>51.059999999999995</v>
      </c>
      <c r="J65">
        <v>976.23</v>
      </c>
      <c r="K65">
        <v>44.51</v>
      </c>
      <c r="L65">
        <v>6</v>
      </c>
      <c r="M65" t="s">
        <v>1895</v>
      </c>
      <c r="N65">
        <v>34</v>
      </c>
      <c r="O65">
        <v>60</v>
      </c>
      <c r="P65">
        <v>49.74</v>
      </c>
      <c r="Q65">
        <v>1</v>
      </c>
      <c r="R65">
        <v>1.33</v>
      </c>
      <c r="S65">
        <v>33.65</v>
      </c>
      <c r="T65">
        <v>33.19</v>
      </c>
      <c r="U65">
        <v>1.84</v>
      </c>
      <c r="V65">
        <v>104</v>
      </c>
      <c r="W65">
        <v>5</v>
      </c>
      <c r="X65">
        <v>2</v>
      </c>
      <c r="Y65">
        <v>0</v>
      </c>
      <c r="Z65">
        <v>0</v>
      </c>
      <c r="AA65" t="s">
        <v>114</v>
      </c>
      <c r="AB65">
        <v>51.059999999999995</v>
      </c>
      <c r="AC65">
        <v>0.1</v>
      </c>
      <c r="AD65">
        <v>0.05</v>
      </c>
      <c r="AE65">
        <v>0</v>
      </c>
      <c r="AF65" t="s">
        <v>1736</v>
      </c>
      <c r="AG65" t="s">
        <v>1670</v>
      </c>
      <c r="AH65">
        <v>0.7</v>
      </c>
    </row>
    <row r="66" spans="1:34" x14ac:dyDescent="0.25">
      <c r="A66" s="2">
        <v>45670</v>
      </c>
      <c r="B66" t="s">
        <v>1881</v>
      </c>
      <c r="C66" t="s">
        <v>1882</v>
      </c>
      <c r="D66">
        <v>0</v>
      </c>
      <c r="E66">
        <v>0.6875</v>
      </c>
      <c r="F66">
        <v>0</v>
      </c>
      <c r="G66">
        <v>5.33</v>
      </c>
      <c r="H66">
        <v>0</v>
      </c>
      <c r="I66">
        <v>5.33</v>
      </c>
      <c r="J66">
        <v>0</v>
      </c>
      <c r="K66">
        <v>0</v>
      </c>
      <c r="L66">
        <v>0</v>
      </c>
      <c r="M66" t="s">
        <v>1883</v>
      </c>
      <c r="N66">
        <v>0</v>
      </c>
      <c r="O66">
        <v>0</v>
      </c>
      <c r="P66">
        <v>2.88</v>
      </c>
      <c r="Q66">
        <v>2</v>
      </c>
      <c r="R66">
        <v>2.44</v>
      </c>
      <c r="S66">
        <v>0</v>
      </c>
      <c r="T66">
        <v>0</v>
      </c>
      <c r="U66">
        <v>0</v>
      </c>
      <c r="V66">
        <v>11</v>
      </c>
      <c r="W66">
        <v>3</v>
      </c>
      <c r="X66">
        <v>0</v>
      </c>
      <c r="Y66">
        <v>0</v>
      </c>
      <c r="Z66">
        <v>0</v>
      </c>
      <c r="AA66" t="s">
        <v>114</v>
      </c>
      <c r="AB66">
        <v>5.33</v>
      </c>
      <c r="AC66">
        <v>0.1</v>
      </c>
      <c r="AD66">
        <v>0.05</v>
      </c>
      <c r="AE66">
        <v>0</v>
      </c>
      <c r="AF66" t="s">
        <v>1655</v>
      </c>
      <c r="AG66" t="s">
        <v>1599</v>
      </c>
      <c r="AH66">
        <v>0.7</v>
      </c>
    </row>
    <row r="67" spans="1:34" x14ac:dyDescent="0.25">
      <c r="A67" s="2">
        <v>45670</v>
      </c>
      <c r="B67" t="s">
        <v>1878</v>
      </c>
      <c r="C67" t="s">
        <v>1879</v>
      </c>
      <c r="D67">
        <v>85</v>
      </c>
      <c r="E67">
        <v>0.97826086956521741</v>
      </c>
      <c r="F67">
        <v>1.1111111111111112E-2</v>
      </c>
      <c r="G67">
        <v>35.22</v>
      </c>
      <c r="H67">
        <v>0.56000000000000005</v>
      </c>
      <c r="I67">
        <v>34.659999999999997</v>
      </c>
      <c r="J67">
        <v>802.65</v>
      </c>
      <c r="K67">
        <v>13</v>
      </c>
      <c r="L67">
        <v>6</v>
      </c>
      <c r="M67" t="s">
        <v>1880</v>
      </c>
      <c r="N67">
        <v>7</v>
      </c>
      <c r="O67">
        <v>78</v>
      </c>
      <c r="P67">
        <v>32.9</v>
      </c>
      <c r="Q67">
        <v>1</v>
      </c>
      <c r="R67">
        <v>1.76</v>
      </c>
      <c r="S67">
        <v>3.26</v>
      </c>
      <c r="T67">
        <v>3.08</v>
      </c>
      <c r="U67">
        <v>2.41</v>
      </c>
      <c r="V67">
        <v>90</v>
      </c>
      <c r="W67">
        <v>1</v>
      </c>
      <c r="X67">
        <v>1</v>
      </c>
      <c r="Y67">
        <v>34.659999999999997</v>
      </c>
      <c r="Z67">
        <v>0</v>
      </c>
      <c r="AA67" t="s">
        <v>114</v>
      </c>
      <c r="AB67">
        <v>0</v>
      </c>
      <c r="AC67">
        <v>0.1</v>
      </c>
      <c r="AD67">
        <v>0.05</v>
      </c>
      <c r="AE67">
        <v>34.659999999999997</v>
      </c>
      <c r="AF67" t="s">
        <v>1818</v>
      </c>
      <c r="AG67" t="s">
        <v>1600</v>
      </c>
      <c r="AH67">
        <v>0.7</v>
      </c>
    </row>
    <row r="68" spans="1:34" x14ac:dyDescent="0.25">
      <c r="A68" s="2">
        <v>45677</v>
      </c>
      <c r="B68" t="s">
        <v>1878</v>
      </c>
      <c r="C68" t="s">
        <v>1879</v>
      </c>
      <c r="D68">
        <v>131</v>
      </c>
      <c r="E68">
        <v>0.97972972972972971</v>
      </c>
      <c r="F68">
        <v>6.8965517241379309E-3</v>
      </c>
      <c r="G68">
        <v>52.06</v>
      </c>
      <c r="H68">
        <v>1.1299999999999999</v>
      </c>
      <c r="I68">
        <v>50.93</v>
      </c>
      <c r="J68">
        <v>1254.56</v>
      </c>
      <c r="K68">
        <v>47.59</v>
      </c>
      <c r="L68">
        <v>18</v>
      </c>
      <c r="M68" t="s">
        <v>1880</v>
      </c>
      <c r="N68">
        <v>5</v>
      </c>
      <c r="O68">
        <v>126</v>
      </c>
      <c r="P68">
        <v>48.88</v>
      </c>
      <c r="Q68">
        <v>1</v>
      </c>
      <c r="R68">
        <v>2.04</v>
      </c>
      <c r="S68">
        <v>2.12</v>
      </c>
      <c r="T68">
        <v>2.1</v>
      </c>
      <c r="U68">
        <v>2.52</v>
      </c>
      <c r="V68">
        <v>145</v>
      </c>
      <c r="W68">
        <v>2</v>
      </c>
      <c r="X68">
        <v>1</v>
      </c>
      <c r="Y68">
        <v>50.93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50.93</v>
      </c>
      <c r="AF68" t="s">
        <v>1818</v>
      </c>
      <c r="AG68" t="s">
        <v>1600</v>
      </c>
      <c r="AH68">
        <v>0.7</v>
      </c>
    </row>
    <row r="69" spans="1:34" x14ac:dyDescent="0.25">
      <c r="A69" s="2">
        <v>45677</v>
      </c>
      <c r="B69" t="s">
        <v>1884</v>
      </c>
      <c r="C69" t="s">
        <v>1885</v>
      </c>
      <c r="D69">
        <v>90</v>
      </c>
      <c r="E69">
        <v>1</v>
      </c>
      <c r="F69">
        <v>8.3333333333333332E-3</v>
      </c>
      <c r="G69">
        <v>57.53</v>
      </c>
      <c r="H69">
        <v>0</v>
      </c>
      <c r="I69">
        <v>57.53</v>
      </c>
      <c r="J69">
        <v>925.11</v>
      </c>
      <c r="K69">
        <v>69.2</v>
      </c>
      <c r="L69">
        <v>0</v>
      </c>
      <c r="M69" t="s">
        <v>1886</v>
      </c>
      <c r="N69">
        <v>14</v>
      </c>
      <c r="O69">
        <v>76</v>
      </c>
      <c r="P69">
        <v>41.87</v>
      </c>
      <c r="Q69">
        <v>0</v>
      </c>
      <c r="R69">
        <v>15.66</v>
      </c>
      <c r="S69">
        <v>13.84</v>
      </c>
      <c r="T69">
        <v>10.92</v>
      </c>
      <c r="U69">
        <v>1.56</v>
      </c>
      <c r="V69">
        <v>120</v>
      </c>
      <c r="W69">
        <v>0</v>
      </c>
      <c r="X69">
        <v>1</v>
      </c>
      <c r="Y69">
        <v>57.53</v>
      </c>
      <c r="Z69">
        <v>0</v>
      </c>
      <c r="AA69" t="s">
        <v>115</v>
      </c>
      <c r="AB69">
        <v>0</v>
      </c>
      <c r="AC69">
        <v>0.1</v>
      </c>
      <c r="AD69">
        <v>0.05</v>
      </c>
      <c r="AE69">
        <v>57.53</v>
      </c>
      <c r="AF69" t="s">
        <v>1730</v>
      </c>
      <c r="AG69" t="s">
        <v>1787</v>
      </c>
      <c r="AH69">
        <v>0.7</v>
      </c>
    </row>
    <row r="70" spans="1:34" x14ac:dyDescent="0.25">
      <c r="A70" s="2">
        <v>45670</v>
      </c>
      <c r="B70" t="s">
        <v>1966</v>
      </c>
      <c r="C70" t="s">
        <v>1967</v>
      </c>
      <c r="D70">
        <v>74</v>
      </c>
      <c r="E70">
        <v>0.989247311827957</v>
      </c>
      <c r="F70">
        <v>1.0869565217391304E-2</v>
      </c>
      <c r="G70">
        <v>55.01</v>
      </c>
      <c r="H70">
        <v>0.37</v>
      </c>
      <c r="I70">
        <v>54.64</v>
      </c>
      <c r="J70">
        <v>863.82</v>
      </c>
      <c r="K70">
        <v>65.37</v>
      </c>
      <c r="L70">
        <v>4</v>
      </c>
      <c r="M70" t="s">
        <v>1968</v>
      </c>
      <c r="N70">
        <v>43</v>
      </c>
      <c r="O70">
        <v>31</v>
      </c>
      <c r="P70">
        <v>50.71</v>
      </c>
      <c r="Q70">
        <v>1</v>
      </c>
      <c r="R70">
        <v>3.92</v>
      </c>
      <c r="S70">
        <v>45.42</v>
      </c>
      <c r="T70">
        <v>41.37</v>
      </c>
      <c r="U70">
        <v>1.35</v>
      </c>
      <c r="V70">
        <v>92</v>
      </c>
      <c r="W70">
        <v>0</v>
      </c>
      <c r="X70">
        <v>1</v>
      </c>
      <c r="Y70">
        <v>54.64</v>
      </c>
      <c r="Z70">
        <v>0</v>
      </c>
      <c r="AA70" t="s">
        <v>114</v>
      </c>
      <c r="AB70">
        <v>0</v>
      </c>
      <c r="AC70">
        <v>0.1</v>
      </c>
      <c r="AD70">
        <v>0.05</v>
      </c>
      <c r="AE70">
        <v>54.64</v>
      </c>
      <c r="AF70" t="s">
        <v>1825</v>
      </c>
      <c r="AG70" t="s">
        <v>1600</v>
      </c>
      <c r="AH70">
        <v>0.7</v>
      </c>
    </row>
    <row r="71" spans="1:34" x14ac:dyDescent="0.25">
      <c r="A71" s="2">
        <v>45670</v>
      </c>
      <c r="B71" t="s">
        <v>1975</v>
      </c>
      <c r="C71" t="s">
        <v>1976</v>
      </c>
      <c r="D71">
        <v>71</v>
      </c>
      <c r="E71">
        <v>0.82352941176470584</v>
      </c>
      <c r="F71">
        <v>2.3809523809523808E-2</v>
      </c>
      <c r="G71">
        <v>50.12</v>
      </c>
      <c r="H71">
        <v>2.35</v>
      </c>
      <c r="I71">
        <v>47.769999999999996</v>
      </c>
      <c r="J71">
        <v>1020.91</v>
      </c>
      <c r="K71">
        <v>73.55</v>
      </c>
      <c r="L71">
        <v>7.5</v>
      </c>
      <c r="M71" t="s">
        <v>1977</v>
      </c>
      <c r="N71">
        <v>13</v>
      </c>
      <c r="O71">
        <v>58</v>
      </c>
      <c r="P71">
        <v>42.74</v>
      </c>
      <c r="Q71">
        <v>1</v>
      </c>
      <c r="R71">
        <v>5.0199999999999996</v>
      </c>
      <c r="S71">
        <v>20.5</v>
      </c>
      <c r="T71">
        <v>19.260000000000002</v>
      </c>
      <c r="U71">
        <v>1.42</v>
      </c>
      <c r="V71">
        <v>42</v>
      </c>
      <c r="W71">
        <v>8</v>
      </c>
      <c r="X71">
        <v>1</v>
      </c>
      <c r="Y71">
        <v>0</v>
      </c>
      <c r="Z71">
        <v>0</v>
      </c>
      <c r="AA71" t="s">
        <v>114</v>
      </c>
      <c r="AB71">
        <v>47.769999999999996</v>
      </c>
      <c r="AC71">
        <v>0.1</v>
      </c>
      <c r="AD71">
        <v>0.05</v>
      </c>
      <c r="AE71">
        <v>0</v>
      </c>
      <c r="AF71" t="s">
        <v>1956</v>
      </c>
      <c r="AG71" t="s">
        <v>1599</v>
      </c>
      <c r="AH71">
        <v>0.7</v>
      </c>
    </row>
    <row r="72" spans="1:34" x14ac:dyDescent="0.25">
      <c r="A72" s="2">
        <v>45677</v>
      </c>
      <c r="B72" t="s">
        <v>1975</v>
      </c>
      <c r="C72" t="s">
        <v>1976</v>
      </c>
      <c r="D72">
        <v>95</v>
      </c>
      <c r="E72">
        <v>0.8928571428571429</v>
      </c>
      <c r="F72">
        <v>0</v>
      </c>
      <c r="G72">
        <v>59.56</v>
      </c>
      <c r="H72">
        <v>2.29</v>
      </c>
      <c r="I72">
        <v>57.27</v>
      </c>
      <c r="J72">
        <v>1167.25</v>
      </c>
      <c r="K72">
        <v>133.83000000000001</v>
      </c>
      <c r="L72">
        <v>1.5</v>
      </c>
      <c r="M72" t="s">
        <v>1977</v>
      </c>
      <c r="N72">
        <v>10</v>
      </c>
      <c r="O72">
        <v>85</v>
      </c>
      <c r="P72">
        <v>51.44</v>
      </c>
      <c r="Q72">
        <v>1</v>
      </c>
      <c r="R72">
        <v>5.82</v>
      </c>
      <c r="S72">
        <v>27.74</v>
      </c>
      <c r="T72">
        <v>22.97</v>
      </c>
      <c r="U72">
        <v>1.6</v>
      </c>
      <c r="V72">
        <v>50</v>
      </c>
      <c r="W72">
        <v>5</v>
      </c>
      <c r="X72">
        <v>0</v>
      </c>
      <c r="Y72">
        <v>0</v>
      </c>
      <c r="Z72">
        <v>0</v>
      </c>
      <c r="AA72" t="s">
        <v>115</v>
      </c>
      <c r="AB72">
        <v>57.27</v>
      </c>
      <c r="AC72">
        <v>0.1</v>
      </c>
      <c r="AD72">
        <v>0.05</v>
      </c>
      <c r="AE72">
        <v>0</v>
      </c>
      <c r="AF72" t="s">
        <v>1956</v>
      </c>
      <c r="AG72" t="s">
        <v>1599</v>
      </c>
      <c r="AH72">
        <v>0.7</v>
      </c>
    </row>
    <row r="73" spans="1:34" x14ac:dyDescent="0.25">
      <c r="A73" s="2">
        <v>45670</v>
      </c>
      <c r="B73" t="s">
        <v>1978</v>
      </c>
      <c r="C73" t="s">
        <v>1979</v>
      </c>
      <c r="D73">
        <v>50</v>
      </c>
      <c r="E73">
        <v>0.92647058823529416</v>
      </c>
      <c r="F73">
        <v>0.1111111111111111</v>
      </c>
      <c r="G73">
        <v>28.42</v>
      </c>
      <c r="H73">
        <v>0.57999999999999996</v>
      </c>
      <c r="I73">
        <v>27.840000000000003</v>
      </c>
      <c r="J73">
        <v>539.64</v>
      </c>
      <c r="K73">
        <v>17.98</v>
      </c>
      <c r="L73">
        <v>6</v>
      </c>
      <c r="M73" t="s">
        <v>1980</v>
      </c>
      <c r="N73">
        <v>1</v>
      </c>
      <c r="O73">
        <v>49</v>
      </c>
      <c r="P73">
        <v>25.13</v>
      </c>
      <c r="Q73">
        <v>2</v>
      </c>
      <c r="R73">
        <v>2.71</v>
      </c>
      <c r="S73">
        <v>4.3499999999999996</v>
      </c>
      <c r="T73">
        <v>2.66</v>
      </c>
      <c r="U73">
        <v>1.76</v>
      </c>
      <c r="V73">
        <v>63</v>
      </c>
      <c r="W73">
        <v>3</v>
      </c>
      <c r="X73">
        <v>7</v>
      </c>
      <c r="Y73">
        <v>0</v>
      </c>
      <c r="Z73">
        <v>0</v>
      </c>
      <c r="AA73" t="s">
        <v>114</v>
      </c>
      <c r="AB73">
        <v>27.840000000000003</v>
      </c>
      <c r="AC73">
        <v>0.1</v>
      </c>
      <c r="AD73">
        <v>0.05</v>
      </c>
      <c r="AE73">
        <v>0</v>
      </c>
      <c r="AF73" t="s">
        <v>1958</v>
      </c>
      <c r="AG73" t="s">
        <v>1599</v>
      </c>
      <c r="AH73">
        <v>0.7</v>
      </c>
    </row>
    <row r="74" spans="1:34" x14ac:dyDescent="0.25">
      <c r="A74" s="2">
        <v>45677</v>
      </c>
      <c r="B74" t="s">
        <v>1893</v>
      </c>
      <c r="C74" t="s">
        <v>1894</v>
      </c>
      <c r="D74">
        <v>15</v>
      </c>
      <c r="E74">
        <v>1</v>
      </c>
      <c r="F74">
        <v>0</v>
      </c>
      <c r="G74">
        <v>9.51</v>
      </c>
      <c r="H74">
        <v>0</v>
      </c>
      <c r="I74">
        <v>9.51</v>
      </c>
      <c r="J74">
        <v>212.27</v>
      </c>
      <c r="K74">
        <v>18</v>
      </c>
      <c r="L74">
        <v>0</v>
      </c>
      <c r="M74" t="s">
        <v>1895</v>
      </c>
      <c r="N74">
        <v>1</v>
      </c>
      <c r="O74">
        <v>14</v>
      </c>
      <c r="P74">
        <v>9.2899999999999991</v>
      </c>
      <c r="Q74">
        <v>0</v>
      </c>
      <c r="R74">
        <v>0.22</v>
      </c>
      <c r="S74">
        <v>7.15</v>
      </c>
      <c r="T74">
        <v>6.94</v>
      </c>
      <c r="U74">
        <v>1.58</v>
      </c>
      <c r="V74">
        <v>20</v>
      </c>
      <c r="W74">
        <v>0</v>
      </c>
      <c r="X74">
        <v>0</v>
      </c>
      <c r="Y74">
        <v>9.51</v>
      </c>
      <c r="Z74">
        <v>0</v>
      </c>
      <c r="AA74" t="s">
        <v>115</v>
      </c>
      <c r="AB74">
        <v>0</v>
      </c>
      <c r="AC74">
        <v>0.1</v>
      </c>
      <c r="AD74">
        <v>0.05</v>
      </c>
      <c r="AE74">
        <v>9.51</v>
      </c>
      <c r="AF74" t="s">
        <v>1736</v>
      </c>
      <c r="AG74" t="s">
        <v>1670</v>
      </c>
      <c r="AH74">
        <v>0.7</v>
      </c>
    </row>
    <row r="75" spans="1:34" x14ac:dyDescent="0.25">
      <c r="A75" s="2">
        <v>45677</v>
      </c>
      <c r="B75" t="s">
        <v>1896</v>
      </c>
      <c r="C75" t="s">
        <v>1897</v>
      </c>
      <c r="D75">
        <v>32</v>
      </c>
      <c r="E75">
        <v>0.95238095238095233</v>
      </c>
      <c r="F75">
        <v>7.4999999999999997E-2</v>
      </c>
      <c r="G75">
        <v>21.72</v>
      </c>
      <c r="H75">
        <v>0</v>
      </c>
      <c r="I75">
        <v>21.72</v>
      </c>
      <c r="J75">
        <v>395.35</v>
      </c>
      <c r="K75">
        <v>35.17</v>
      </c>
      <c r="L75">
        <v>0</v>
      </c>
      <c r="M75" t="s">
        <v>1898</v>
      </c>
      <c r="N75">
        <v>8</v>
      </c>
      <c r="O75">
        <v>24</v>
      </c>
      <c r="P75">
        <v>20.82</v>
      </c>
      <c r="Q75">
        <v>2</v>
      </c>
      <c r="R75">
        <v>0.89</v>
      </c>
      <c r="S75">
        <v>7.03</v>
      </c>
      <c r="T75">
        <v>6.59</v>
      </c>
      <c r="U75">
        <v>1.47</v>
      </c>
      <c r="V75">
        <v>40</v>
      </c>
      <c r="W75">
        <v>0</v>
      </c>
      <c r="X75">
        <v>3</v>
      </c>
      <c r="Y75">
        <v>0</v>
      </c>
      <c r="Z75">
        <v>0</v>
      </c>
      <c r="AA75" t="s">
        <v>115</v>
      </c>
      <c r="AB75">
        <v>21.72</v>
      </c>
      <c r="AC75">
        <v>0.1</v>
      </c>
      <c r="AD75">
        <v>0.05</v>
      </c>
      <c r="AE75">
        <v>0</v>
      </c>
      <c r="AF75" t="s">
        <v>1685</v>
      </c>
      <c r="AG75" t="s">
        <v>1599</v>
      </c>
      <c r="AH75">
        <v>0.7</v>
      </c>
    </row>
    <row r="76" spans="1:34" x14ac:dyDescent="0.25">
      <c r="A76" s="2">
        <v>45670</v>
      </c>
      <c r="B76" t="s">
        <v>2027</v>
      </c>
      <c r="C76" t="s">
        <v>2028</v>
      </c>
      <c r="D76">
        <v>63</v>
      </c>
      <c r="E76">
        <v>0.82474226804123707</v>
      </c>
      <c r="F76">
        <v>1.2500000000000001E-2</v>
      </c>
      <c r="G76">
        <v>50.43</v>
      </c>
      <c r="H76">
        <v>0.12</v>
      </c>
      <c r="I76">
        <v>50.31</v>
      </c>
      <c r="J76">
        <v>800.28</v>
      </c>
      <c r="K76">
        <v>30</v>
      </c>
      <c r="L76">
        <v>2.74</v>
      </c>
      <c r="M76" t="s">
        <v>2029</v>
      </c>
      <c r="N76">
        <v>41</v>
      </c>
      <c r="O76">
        <v>22</v>
      </c>
      <c r="P76">
        <v>42.67</v>
      </c>
      <c r="Q76">
        <v>17</v>
      </c>
      <c r="R76">
        <v>7.64</v>
      </c>
      <c r="S76">
        <v>49.25</v>
      </c>
      <c r="T76">
        <v>41.76</v>
      </c>
      <c r="U76">
        <v>1.25</v>
      </c>
      <c r="V76">
        <v>80</v>
      </c>
      <c r="W76">
        <v>0</v>
      </c>
      <c r="X76">
        <v>1</v>
      </c>
      <c r="Y76">
        <v>0</v>
      </c>
      <c r="Z76">
        <v>0</v>
      </c>
      <c r="AA76" t="s">
        <v>114</v>
      </c>
      <c r="AB76">
        <v>50.31</v>
      </c>
      <c r="AC76">
        <v>0.1</v>
      </c>
      <c r="AD76">
        <v>0.05</v>
      </c>
      <c r="AE76">
        <v>0</v>
      </c>
      <c r="AF76" t="s">
        <v>2013</v>
      </c>
      <c r="AG76" t="s">
        <v>1747</v>
      </c>
      <c r="AH76">
        <v>0.7</v>
      </c>
    </row>
    <row r="77" spans="1:34" x14ac:dyDescent="0.25">
      <c r="A77" s="2">
        <v>45677</v>
      </c>
      <c r="B77" t="s">
        <v>2027</v>
      </c>
      <c r="C77" t="s">
        <v>2028</v>
      </c>
      <c r="D77">
        <v>68</v>
      </c>
      <c r="E77">
        <v>0.95348837209302328</v>
      </c>
      <c r="F77">
        <v>2.4390243902439025E-2</v>
      </c>
      <c r="G77">
        <v>50.5</v>
      </c>
      <c r="H77">
        <v>0.01</v>
      </c>
      <c r="I77">
        <v>50.49</v>
      </c>
      <c r="J77">
        <v>851.45</v>
      </c>
      <c r="K77">
        <v>56.4</v>
      </c>
      <c r="L77">
        <v>1.51</v>
      </c>
      <c r="M77" t="s">
        <v>2029</v>
      </c>
      <c r="N77">
        <v>33</v>
      </c>
      <c r="O77">
        <v>35</v>
      </c>
      <c r="P77">
        <v>42.7</v>
      </c>
      <c r="Q77">
        <v>1</v>
      </c>
      <c r="R77">
        <v>7.79</v>
      </c>
      <c r="S77">
        <v>45.36</v>
      </c>
      <c r="T77">
        <v>38.880000000000003</v>
      </c>
      <c r="U77">
        <v>1.35</v>
      </c>
      <c r="V77">
        <v>82</v>
      </c>
      <c r="W77">
        <v>3</v>
      </c>
      <c r="X77">
        <v>2</v>
      </c>
      <c r="Y77">
        <v>50.49</v>
      </c>
      <c r="Z77">
        <v>0</v>
      </c>
      <c r="AA77" t="s">
        <v>115</v>
      </c>
      <c r="AB77">
        <v>0</v>
      </c>
      <c r="AC77">
        <v>0.1</v>
      </c>
      <c r="AD77">
        <v>0.05</v>
      </c>
      <c r="AE77">
        <v>50.49</v>
      </c>
      <c r="AF77" t="s">
        <v>2013</v>
      </c>
      <c r="AG77" t="s">
        <v>1747</v>
      </c>
      <c r="AH77">
        <v>0.7</v>
      </c>
    </row>
    <row r="78" spans="1:34" x14ac:dyDescent="0.25">
      <c r="A78" s="2">
        <v>45677</v>
      </c>
      <c r="B78" t="s">
        <v>1902</v>
      </c>
      <c r="C78" t="s">
        <v>1903</v>
      </c>
      <c r="D78">
        <v>6</v>
      </c>
      <c r="E78">
        <v>0.88888888888888884</v>
      </c>
      <c r="F78">
        <v>0</v>
      </c>
      <c r="G78">
        <v>4.18</v>
      </c>
      <c r="H78">
        <v>0</v>
      </c>
      <c r="I78">
        <v>4.18</v>
      </c>
      <c r="J78">
        <v>66.92</v>
      </c>
      <c r="K78">
        <v>6</v>
      </c>
      <c r="L78">
        <v>0</v>
      </c>
      <c r="M78" t="s">
        <v>1904</v>
      </c>
      <c r="N78">
        <v>0</v>
      </c>
      <c r="O78">
        <v>6</v>
      </c>
      <c r="P78">
        <v>3.82</v>
      </c>
      <c r="Q78">
        <v>1</v>
      </c>
      <c r="R78">
        <v>0.36</v>
      </c>
      <c r="S78">
        <v>0</v>
      </c>
      <c r="T78">
        <v>0</v>
      </c>
      <c r="U78">
        <v>1.44</v>
      </c>
      <c r="V78">
        <v>8</v>
      </c>
      <c r="W78">
        <v>0</v>
      </c>
      <c r="X78">
        <v>0</v>
      </c>
      <c r="Y78">
        <v>0</v>
      </c>
      <c r="Z78">
        <v>0</v>
      </c>
      <c r="AA78" t="s">
        <v>115</v>
      </c>
      <c r="AB78">
        <v>4.18</v>
      </c>
      <c r="AC78">
        <v>0.1</v>
      </c>
      <c r="AD78">
        <v>0.05</v>
      </c>
      <c r="AE78">
        <v>0</v>
      </c>
      <c r="AF78" t="s">
        <v>1686</v>
      </c>
      <c r="AG78" t="s">
        <v>1599</v>
      </c>
      <c r="AH78">
        <v>0.7</v>
      </c>
    </row>
    <row r="79" spans="1:34" x14ac:dyDescent="0.25">
      <c r="A79" s="2">
        <v>45670</v>
      </c>
      <c r="B79" t="s">
        <v>1905</v>
      </c>
      <c r="C79" t="s">
        <v>2095</v>
      </c>
      <c r="D79">
        <v>6</v>
      </c>
      <c r="E79">
        <v>1</v>
      </c>
      <c r="F79">
        <v>0</v>
      </c>
      <c r="G79">
        <v>4.09</v>
      </c>
      <c r="H79">
        <v>0</v>
      </c>
      <c r="I79">
        <v>4.09</v>
      </c>
      <c r="J79">
        <v>62.13</v>
      </c>
      <c r="K79">
        <v>0</v>
      </c>
      <c r="L79">
        <v>0</v>
      </c>
      <c r="M79" t="s">
        <v>2096</v>
      </c>
      <c r="N79">
        <v>4</v>
      </c>
      <c r="O79">
        <v>2</v>
      </c>
      <c r="P79">
        <v>4.0599999999999996</v>
      </c>
      <c r="Q79">
        <v>0</v>
      </c>
      <c r="R79">
        <v>0.02</v>
      </c>
      <c r="S79">
        <v>4.09</v>
      </c>
      <c r="T79">
        <v>4.0599999999999996</v>
      </c>
      <c r="U79">
        <v>1.47</v>
      </c>
      <c r="V79">
        <v>6</v>
      </c>
      <c r="W79">
        <v>0</v>
      </c>
      <c r="X79">
        <v>0</v>
      </c>
      <c r="Y79">
        <v>4.09</v>
      </c>
      <c r="Z79">
        <v>0</v>
      </c>
      <c r="AA79" t="s">
        <v>114</v>
      </c>
      <c r="AB79">
        <v>0</v>
      </c>
      <c r="AC79">
        <v>0.1</v>
      </c>
      <c r="AD79">
        <v>0.05</v>
      </c>
      <c r="AE79">
        <v>4.09</v>
      </c>
      <c r="AF79" t="s">
        <v>1702</v>
      </c>
      <c r="AG79" t="s">
        <v>1814</v>
      </c>
      <c r="AH79">
        <v>0.7</v>
      </c>
    </row>
    <row r="80" spans="1:34" x14ac:dyDescent="0.25">
      <c r="A80" s="2">
        <v>45677</v>
      </c>
      <c r="B80" t="s">
        <v>1905</v>
      </c>
      <c r="C80" t="s">
        <v>2095</v>
      </c>
      <c r="D80">
        <v>9</v>
      </c>
      <c r="E80">
        <v>1</v>
      </c>
      <c r="F80">
        <v>0</v>
      </c>
      <c r="G80">
        <v>6.4</v>
      </c>
      <c r="H80">
        <v>0</v>
      </c>
      <c r="I80">
        <v>6.4</v>
      </c>
      <c r="J80">
        <v>103.88</v>
      </c>
      <c r="K80">
        <v>3</v>
      </c>
      <c r="L80">
        <v>0</v>
      </c>
      <c r="M80" t="s">
        <v>2096</v>
      </c>
      <c r="N80">
        <v>5</v>
      </c>
      <c r="O80">
        <v>4</v>
      </c>
      <c r="P80">
        <v>6.37</v>
      </c>
      <c r="Q80">
        <v>0</v>
      </c>
      <c r="R80">
        <v>0.03</v>
      </c>
      <c r="S80">
        <v>6.36</v>
      </c>
      <c r="T80">
        <v>6.33</v>
      </c>
      <c r="U80">
        <v>1.41</v>
      </c>
      <c r="V80">
        <v>9</v>
      </c>
      <c r="W80">
        <v>0</v>
      </c>
      <c r="X80">
        <v>0</v>
      </c>
      <c r="Y80">
        <v>6.4</v>
      </c>
      <c r="Z80">
        <v>0</v>
      </c>
      <c r="AA80" t="s">
        <v>115</v>
      </c>
      <c r="AB80">
        <v>0</v>
      </c>
      <c r="AC80">
        <v>0.1</v>
      </c>
      <c r="AD80">
        <v>0.05</v>
      </c>
      <c r="AE80">
        <v>6.4</v>
      </c>
      <c r="AF80" t="s">
        <v>1702</v>
      </c>
      <c r="AG80" t="s">
        <v>1814</v>
      </c>
      <c r="AH80">
        <v>0.7</v>
      </c>
    </row>
    <row r="81" spans="1:34" x14ac:dyDescent="0.25">
      <c r="A81" s="2">
        <v>45670</v>
      </c>
      <c r="B81" t="s">
        <v>1993</v>
      </c>
      <c r="C81" t="s">
        <v>1994</v>
      </c>
      <c r="D81">
        <v>110</v>
      </c>
      <c r="E81">
        <v>0.99180327868852458</v>
      </c>
      <c r="F81">
        <v>1.6528925619834711E-2</v>
      </c>
      <c r="G81">
        <v>67.28</v>
      </c>
      <c r="H81">
        <v>2.0699999999999998</v>
      </c>
      <c r="I81">
        <v>65.210000000000008</v>
      </c>
      <c r="J81">
        <v>1218.01</v>
      </c>
      <c r="K81">
        <v>72.77</v>
      </c>
      <c r="L81">
        <v>0</v>
      </c>
      <c r="M81" t="s">
        <v>1906</v>
      </c>
      <c r="N81">
        <v>8</v>
      </c>
      <c r="O81">
        <v>102</v>
      </c>
      <c r="P81">
        <v>48.9</v>
      </c>
      <c r="Q81">
        <v>1</v>
      </c>
      <c r="R81">
        <v>16.32</v>
      </c>
      <c r="S81">
        <v>11.78</v>
      </c>
      <c r="T81">
        <v>8.11</v>
      </c>
      <c r="U81">
        <v>1.63</v>
      </c>
      <c r="V81">
        <v>121</v>
      </c>
      <c r="W81">
        <v>0</v>
      </c>
      <c r="X81">
        <v>2</v>
      </c>
      <c r="Y81">
        <v>65.210000000000008</v>
      </c>
      <c r="Z81">
        <v>0</v>
      </c>
      <c r="AA81" t="s">
        <v>114</v>
      </c>
      <c r="AB81">
        <v>0</v>
      </c>
      <c r="AC81">
        <v>0.1</v>
      </c>
      <c r="AD81">
        <v>0.05</v>
      </c>
      <c r="AE81">
        <v>65.210000000000008</v>
      </c>
      <c r="AF81" t="s">
        <v>1706</v>
      </c>
      <c r="AG81" t="s">
        <v>1716</v>
      </c>
      <c r="AH81">
        <v>0.7</v>
      </c>
    </row>
    <row r="82" spans="1:34" x14ac:dyDescent="0.25">
      <c r="A82" s="2">
        <v>45670</v>
      </c>
      <c r="B82" t="s">
        <v>1995</v>
      </c>
      <c r="C82" t="s">
        <v>1996</v>
      </c>
      <c r="D82">
        <v>42</v>
      </c>
      <c r="E82">
        <v>0.8833333333333333</v>
      </c>
      <c r="F82">
        <v>5.6603773584905662E-2</v>
      </c>
      <c r="G82">
        <v>21.53</v>
      </c>
      <c r="H82">
        <v>0</v>
      </c>
      <c r="I82">
        <v>21.53</v>
      </c>
      <c r="J82">
        <v>375.36</v>
      </c>
      <c r="K82">
        <v>17.82</v>
      </c>
      <c r="L82">
        <v>0</v>
      </c>
      <c r="M82" t="s">
        <v>1907</v>
      </c>
      <c r="N82">
        <v>2</v>
      </c>
      <c r="O82">
        <v>40</v>
      </c>
      <c r="P82">
        <v>16.3</v>
      </c>
      <c r="Q82">
        <v>0</v>
      </c>
      <c r="R82">
        <v>5.22</v>
      </c>
      <c r="S82">
        <v>0</v>
      </c>
      <c r="T82">
        <v>0</v>
      </c>
      <c r="U82">
        <v>1.95</v>
      </c>
      <c r="V82">
        <v>53</v>
      </c>
      <c r="W82">
        <v>7</v>
      </c>
      <c r="X82">
        <v>3</v>
      </c>
      <c r="Y82">
        <v>0</v>
      </c>
      <c r="Z82">
        <v>0</v>
      </c>
      <c r="AA82" t="s">
        <v>114</v>
      </c>
      <c r="AB82">
        <v>21.53</v>
      </c>
      <c r="AC82">
        <v>0.1</v>
      </c>
      <c r="AD82">
        <v>0.05</v>
      </c>
      <c r="AE82">
        <v>0</v>
      </c>
      <c r="AF82" t="s">
        <v>1802</v>
      </c>
      <c r="AG82" t="s">
        <v>1599</v>
      </c>
      <c r="AH82">
        <v>0.7</v>
      </c>
    </row>
    <row r="83" spans="1:34" x14ac:dyDescent="0.25">
      <c r="A83" s="2">
        <v>45677</v>
      </c>
      <c r="B83" t="s">
        <v>1995</v>
      </c>
      <c r="C83" t="s">
        <v>1996</v>
      </c>
      <c r="D83">
        <v>53</v>
      </c>
      <c r="E83">
        <v>0.8904109589041096</v>
      </c>
      <c r="F83">
        <v>6.1538461538461542E-2</v>
      </c>
      <c r="G83">
        <v>20.73</v>
      </c>
      <c r="H83">
        <v>0</v>
      </c>
      <c r="I83">
        <v>20.73</v>
      </c>
      <c r="J83">
        <v>474.4</v>
      </c>
      <c r="K83">
        <v>22</v>
      </c>
      <c r="L83">
        <v>0</v>
      </c>
      <c r="M83" t="s">
        <v>1907</v>
      </c>
      <c r="N83">
        <v>0</v>
      </c>
      <c r="O83">
        <v>53</v>
      </c>
      <c r="P83">
        <v>18.66</v>
      </c>
      <c r="Q83">
        <v>0</v>
      </c>
      <c r="R83">
        <v>2.08</v>
      </c>
      <c r="S83">
        <v>0</v>
      </c>
      <c r="T83">
        <v>0</v>
      </c>
      <c r="U83">
        <v>2.56</v>
      </c>
      <c r="V83">
        <v>65</v>
      </c>
      <c r="W83">
        <v>8</v>
      </c>
      <c r="X83">
        <v>4</v>
      </c>
      <c r="Y83">
        <v>0</v>
      </c>
      <c r="Z83">
        <v>0</v>
      </c>
      <c r="AA83" t="s">
        <v>115</v>
      </c>
      <c r="AB83">
        <v>20.73</v>
      </c>
      <c r="AC83">
        <v>0.1</v>
      </c>
      <c r="AD83">
        <v>0.05</v>
      </c>
      <c r="AE83">
        <v>0</v>
      </c>
      <c r="AF83" t="s">
        <v>1802</v>
      </c>
      <c r="AG83" t="s">
        <v>1599</v>
      </c>
      <c r="AH83">
        <v>0.7</v>
      </c>
    </row>
    <row r="84" spans="1:34" x14ac:dyDescent="0.25">
      <c r="A84" s="2">
        <v>45677</v>
      </c>
      <c r="B84" t="s">
        <v>1978</v>
      </c>
      <c r="C84" t="s">
        <v>1979</v>
      </c>
      <c r="D84">
        <v>57</v>
      </c>
      <c r="E84">
        <v>1</v>
      </c>
      <c r="F84">
        <v>5.2631578947368418E-2</v>
      </c>
      <c r="G84">
        <v>33.43</v>
      </c>
      <c r="H84">
        <v>0.1</v>
      </c>
      <c r="I84">
        <v>33.33</v>
      </c>
      <c r="J84">
        <v>634.24</v>
      </c>
      <c r="K84">
        <v>42.39</v>
      </c>
      <c r="L84">
        <v>0</v>
      </c>
      <c r="M84" t="s">
        <v>1980</v>
      </c>
      <c r="N84">
        <v>4</v>
      </c>
      <c r="O84">
        <v>53</v>
      </c>
      <c r="P84">
        <v>31.82</v>
      </c>
      <c r="Q84">
        <v>0</v>
      </c>
      <c r="R84">
        <v>1.51</v>
      </c>
      <c r="S84">
        <v>5.25</v>
      </c>
      <c r="T84">
        <v>4.74</v>
      </c>
      <c r="U84">
        <v>1.71</v>
      </c>
      <c r="V84">
        <v>76</v>
      </c>
      <c r="W84">
        <v>0</v>
      </c>
      <c r="X84">
        <v>4</v>
      </c>
      <c r="Y84">
        <v>0</v>
      </c>
      <c r="Z84">
        <v>0</v>
      </c>
      <c r="AA84" t="s">
        <v>115</v>
      </c>
      <c r="AB84">
        <v>33.33</v>
      </c>
      <c r="AC84">
        <v>0.1</v>
      </c>
      <c r="AD84">
        <v>0.05</v>
      </c>
      <c r="AE84">
        <v>0</v>
      </c>
      <c r="AF84" t="s">
        <v>1958</v>
      </c>
      <c r="AG84" t="s">
        <v>1599</v>
      </c>
      <c r="AH84">
        <v>0.7</v>
      </c>
    </row>
    <row r="85" spans="1:34" x14ac:dyDescent="0.25">
      <c r="A85" s="2">
        <v>45670</v>
      </c>
      <c r="B85" t="s">
        <v>1997</v>
      </c>
      <c r="C85" t="s">
        <v>1918</v>
      </c>
      <c r="D85">
        <v>62</v>
      </c>
      <c r="E85">
        <v>0.92771084337349397</v>
      </c>
      <c r="F85">
        <v>1.2987012987012988E-2</v>
      </c>
      <c r="G85">
        <v>50.72</v>
      </c>
      <c r="H85">
        <v>0</v>
      </c>
      <c r="I85">
        <v>50.72</v>
      </c>
      <c r="J85">
        <v>758.99</v>
      </c>
      <c r="K85">
        <v>69.400000000000006</v>
      </c>
      <c r="L85">
        <v>0</v>
      </c>
      <c r="M85" t="s">
        <v>1908</v>
      </c>
      <c r="N85">
        <v>36</v>
      </c>
      <c r="O85">
        <v>26</v>
      </c>
      <c r="P85">
        <v>45.91</v>
      </c>
      <c r="Q85">
        <v>6</v>
      </c>
      <c r="R85">
        <v>4.82</v>
      </c>
      <c r="S85">
        <v>45.74</v>
      </c>
      <c r="T85">
        <v>41.37</v>
      </c>
      <c r="U85">
        <v>1.22</v>
      </c>
      <c r="V85">
        <v>77</v>
      </c>
      <c r="W85">
        <v>0</v>
      </c>
      <c r="X85">
        <v>1</v>
      </c>
      <c r="Y85">
        <v>0</v>
      </c>
      <c r="Z85">
        <v>0</v>
      </c>
      <c r="AA85" t="s">
        <v>114</v>
      </c>
      <c r="AB85">
        <v>50.72</v>
      </c>
      <c r="AC85">
        <v>0.1</v>
      </c>
      <c r="AD85">
        <v>0.05</v>
      </c>
      <c r="AE85">
        <v>0</v>
      </c>
      <c r="AF85" t="s">
        <v>1640</v>
      </c>
      <c r="AG85" t="s">
        <v>1749</v>
      </c>
      <c r="AH85">
        <v>0.7</v>
      </c>
    </row>
    <row r="86" spans="1:34" x14ac:dyDescent="0.25">
      <c r="A86" s="2">
        <v>45670</v>
      </c>
      <c r="B86" t="s">
        <v>1884</v>
      </c>
      <c r="C86" t="s">
        <v>1884</v>
      </c>
      <c r="D86">
        <v>73</v>
      </c>
      <c r="E86">
        <v>1</v>
      </c>
      <c r="F86">
        <v>0</v>
      </c>
      <c r="G86">
        <v>50.06</v>
      </c>
      <c r="H86">
        <v>0</v>
      </c>
      <c r="I86">
        <v>50.06</v>
      </c>
      <c r="J86">
        <v>736.65</v>
      </c>
      <c r="K86">
        <v>64.739999999999995</v>
      </c>
      <c r="L86">
        <v>0</v>
      </c>
      <c r="M86" t="s">
        <v>1910</v>
      </c>
      <c r="N86">
        <v>10</v>
      </c>
      <c r="O86">
        <v>63</v>
      </c>
      <c r="P86">
        <v>35.4</v>
      </c>
      <c r="Q86">
        <v>0</v>
      </c>
      <c r="R86">
        <v>14.65</v>
      </c>
      <c r="S86">
        <v>19.46</v>
      </c>
      <c r="T86">
        <v>13.17</v>
      </c>
      <c r="U86">
        <v>1.46</v>
      </c>
      <c r="V86">
        <v>79</v>
      </c>
      <c r="W86">
        <v>0</v>
      </c>
      <c r="X86">
        <v>0</v>
      </c>
      <c r="Y86">
        <v>50.06</v>
      </c>
      <c r="Z86">
        <v>0</v>
      </c>
      <c r="AA86" t="s">
        <v>114</v>
      </c>
      <c r="AB86">
        <v>0</v>
      </c>
      <c r="AC86">
        <v>0.1</v>
      </c>
      <c r="AD86">
        <v>0.05</v>
      </c>
      <c r="AE86">
        <v>50.06</v>
      </c>
      <c r="AF86" t="s">
        <v>1651</v>
      </c>
      <c r="AG86" t="s">
        <v>1750</v>
      </c>
      <c r="AH86">
        <v>0.7</v>
      </c>
    </row>
    <row r="87" spans="1:34" x14ac:dyDescent="0.25">
      <c r="A87" s="2">
        <v>45677</v>
      </c>
      <c r="B87" t="s">
        <v>1884</v>
      </c>
      <c r="C87" t="s">
        <v>1884</v>
      </c>
      <c r="D87">
        <v>62</v>
      </c>
      <c r="E87">
        <v>1</v>
      </c>
      <c r="F87">
        <v>0</v>
      </c>
      <c r="G87">
        <v>50.29</v>
      </c>
      <c r="H87">
        <v>0</v>
      </c>
      <c r="I87">
        <v>50.29</v>
      </c>
      <c r="J87">
        <v>771.45</v>
      </c>
      <c r="K87">
        <v>81</v>
      </c>
      <c r="L87">
        <v>0</v>
      </c>
      <c r="M87" t="s">
        <v>1910</v>
      </c>
      <c r="N87">
        <v>14</v>
      </c>
      <c r="O87">
        <v>48</v>
      </c>
      <c r="P87">
        <v>36.54</v>
      </c>
      <c r="Q87">
        <v>0</v>
      </c>
      <c r="R87">
        <v>13.74</v>
      </c>
      <c r="S87">
        <v>19.75</v>
      </c>
      <c r="T87">
        <v>18.989999999999998</v>
      </c>
      <c r="U87">
        <v>1.23</v>
      </c>
      <c r="V87">
        <v>67</v>
      </c>
      <c r="W87">
        <v>0</v>
      </c>
      <c r="X87">
        <v>0</v>
      </c>
      <c r="Y87">
        <v>50.29</v>
      </c>
      <c r="Z87">
        <v>0</v>
      </c>
      <c r="AA87" t="s">
        <v>115</v>
      </c>
      <c r="AB87">
        <v>0</v>
      </c>
      <c r="AC87">
        <v>0.1</v>
      </c>
      <c r="AD87">
        <v>0.05</v>
      </c>
      <c r="AE87">
        <v>50.29</v>
      </c>
      <c r="AF87" t="s">
        <v>1651</v>
      </c>
      <c r="AG87" t="s">
        <v>1750</v>
      </c>
      <c r="AH87">
        <v>0.7</v>
      </c>
    </row>
    <row r="88" spans="1:34" x14ac:dyDescent="0.25">
      <c r="A88" s="2">
        <v>45677</v>
      </c>
      <c r="B88" t="s">
        <v>1966</v>
      </c>
      <c r="C88" t="s">
        <v>1967</v>
      </c>
      <c r="D88">
        <v>68</v>
      </c>
      <c r="E88">
        <v>1</v>
      </c>
      <c r="F88">
        <v>5.434782608695652E-2</v>
      </c>
      <c r="G88">
        <v>50.72</v>
      </c>
      <c r="H88">
        <v>0</v>
      </c>
      <c r="I88">
        <v>50.72</v>
      </c>
      <c r="J88">
        <v>786.33</v>
      </c>
      <c r="K88">
        <v>44.11</v>
      </c>
      <c r="L88">
        <v>0</v>
      </c>
      <c r="M88" t="s">
        <v>1968</v>
      </c>
      <c r="N88">
        <v>39</v>
      </c>
      <c r="O88">
        <v>29</v>
      </c>
      <c r="P88">
        <v>47.5</v>
      </c>
      <c r="Q88">
        <v>0</v>
      </c>
      <c r="R88">
        <v>3.22</v>
      </c>
      <c r="S88">
        <v>50.7</v>
      </c>
      <c r="T88">
        <v>47.48</v>
      </c>
      <c r="U88">
        <v>1.34</v>
      </c>
      <c r="V88">
        <v>92</v>
      </c>
      <c r="W88">
        <v>0</v>
      </c>
      <c r="X88">
        <v>5</v>
      </c>
      <c r="Y88">
        <v>0</v>
      </c>
      <c r="Z88">
        <v>0</v>
      </c>
      <c r="AA88" t="s">
        <v>115</v>
      </c>
      <c r="AB88">
        <v>50.72</v>
      </c>
      <c r="AC88">
        <v>0.1</v>
      </c>
      <c r="AD88">
        <v>0.05</v>
      </c>
      <c r="AE88">
        <v>0</v>
      </c>
      <c r="AF88" t="s">
        <v>1825</v>
      </c>
      <c r="AG88" t="s">
        <v>1600</v>
      </c>
      <c r="AH88">
        <v>0.7</v>
      </c>
    </row>
    <row r="89" spans="1:34" x14ac:dyDescent="0.25">
      <c r="A89" s="2">
        <v>45670</v>
      </c>
      <c r="B89" t="s">
        <v>1914</v>
      </c>
      <c r="C89" t="s">
        <v>1915</v>
      </c>
      <c r="D89">
        <v>26</v>
      </c>
      <c r="E89">
        <v>1</v>
      </c>
      <c r="F89">
        <v>0</v>
      </c>
      <c r="G89">
        <v>21.29</v>
      </c>
      <c r="H89">
        <v>0</v>
      </c>
      <c r="I89">
        <v>21.29</v>
      </c>
      <c r="J89">
        <v>315.35000000000002</v>
      </c>
      <c r="K89">
        <v>14.52</v>
      </c>
      <c r="L89">
        <v>0</v>
      </c>
      <c r="M89" t="s">
        <v>1916</v>
      </c>
      <c r="N89">
        <v>19</v>
      </c>
      <c r="O89">
        <v>7</v>
      </c>
      <c r="P89">
        <v>18.16</v>
      </c>
      <c r="Q89">
        <v>0</v>
      </c>
      <c r="R89">
        <v>3.13</v>
      </c>
      <c r="S89">
        <v>21.29</v>
      </c>
      <c r="T89">
        <v>18.16</v>
      </c>
      <c r="U89">
        <v>1.22</v>
      </c>
      <c r="V89">
        <v>28</v>
      </c>
      <c r="W89">
        <v>0</v>
      </c>
      <c r="X89">
        <v>0</v>
      </c>
      <c r="Y89">
        <v>21.29</v>
      </c>
      <c r="Z89">
        <v>0</v>
      </c>
      <c r="AA89" t="s">
        <v>114</v>
      </c>
      <c r="AB89">
        <v>0</v>
      </c>
      <c r="AC89">
        <v>0.1</v>
      </c>
      <c r="AD89">
        <v>0.05</v>
      </c>
      <c r="AE89">
        <v>21.29</v>
      </c>
      <c r="AF89" t="s">
        <v>1637</v>
      </c>
      <c r="AG89" t="s">
        <v>1601</v>
      </c>
      <c r="AH89">
        <v>0.7</v>
      </c>
    </row>
    <row r="90" spans="1:34" x14ac:dyDescent="0.25">
      <c r="A90" s="2">
        <v>45677</v>
      </c>
      <c r="B90" t="s">
        <v>1914</v>
      </c>
      <c r="C90" t="s">
        <v>1915</v>
      </c>
      <c r="D90">
        <v>57</v>
      </c>
      <c r="E90">
        <v>0.98550724637681164</v>
      </c>
      <c r="F90">
        <v>1.4705882352941176E-2</v>
      </c>
      <c r="G90">
        <v>37</v>
      </c>
      <c r="H90">
        <v>0</v>
      </c>
      <c r="I90">
        <v>37</v>
      </c>
      <c r="J90">
        <v>658.73</v>
      </c>
      <c r="K90">
        <v>57.23</v>
      </c>
      <c r="L90">
        <v>0</v>
      </c>
      <c r="M90" t="s">
        <v>1916</v>
      </c>
      <c r="N90">
        <v>28</v>
      </c>
      <c r="O90">
        <v>29</v>
      </c>
      <c r="P90">
        <v>34.72</v>
      </c>
      <c r="Q90">
        <v>0</v>
      </c>
      <c r="R90">
        <v>2.29</v>
      </c>
      <c r="S90">
        <v>30.51</v>
      </c>
      <c r="T90">
        <v>28.64</v>
      </c>
      <c r="U90">
        <v>1.54</v>
      </c>
      <c r="V90">
        <v>68</v>
      </c>
      <c r="W90">
        <v>1</v>
      </c>
      <c r="X90">
        <v>1</v>
      </c>
      <c r="Y90">
        <v>37</v>
      </c>
      <c r="Z90">
        <v>0</v>
      </c>
      <c r="AA90" t="s">
        <v>115</v>
      </c>
      <c r="AB90">
        <v>0</v>
      </c>
      <c r="AC90">
        <v>0.1</v>
      </c>
      <c r="AD90">
        <v>0.05</v>
      </c>
      <c r="AE90">
        <v>37</v>
      </c>
      <c r="AF90" t="s">
        <v>1637</v>
      </c>
      <c r="AG90" t="s">
        <v>1601</v>
      </c>
      <c r="AH90">
        <v>0.7</v>
      </c>
    </row>
    <row r="91" spans="1:34" x14ac:dyDescent="0.25">
      <c r="A91" s="2">
        <v>45677</v>
      </c>
      <c r="B91" t="s">
        <v>2000</v>
      </c>
      <c r="C91" t="s">
        <v>1856</v>
      </c>
      <c r="D91">
        <v>133</v>
      </c>
      <c r="E91">
        <v>0.99319727891156462</v>
      </c>
      <c r="F91">
        <v>6.8493150684931503E-3</v>
      </c>
      <c r="G91">
        <v>54.35</v>
      </c>
      <c r="H91">
        <v>0.9</v>
      </c>
      <c r="I91">
        <v>53.45</v>
      </c>
      <c r="J91">
        <v>1348.33</v>
      </c>
      <c r="K91">
        <v>80</v>
      </c>
      <c r="L91">
        <v>6</v>
      </c>
      <c r="M91" t="s">
        <v>1917</v>
      </c>
      <c r="N91">
        <v>4</v>
      </c>
      <c r="O91">
        <v>129</v>
      </c>
      <c r="P91">
        <v>52.34</v>
      </c>
      <c r="Q91">
        <v>0</v>
      </c>
      <c r="R91">
        <v>1.1100000000000001</v>
      </c>
      <c r="S91">
        <v>3.8</v>
      </c>
      <c r="T91">
        <v>3.57</v>
      </c>
      <c r="U91">
        <v>2.4500000000000002</v>
      </c>
      <c r="V91">
        <v>146</v>
      </c>
      <c r="W91">
        <v>1</v>
      </c>
      <c r="X91">
        <v>1</v>
      </c>
      <c r="Y91">
        <v>53.45</v>
      </c>
      <c r="Z91">
        <v>0</v>
      </c>
      <c r="AA91" t="s">
        <v>115</v>
      </c>
      <c r="AB91">
        <v>0</v>
      </c>
      <c r="AC91">
        <v>0.1</v>
      </c>
      <c r="AD91">
        <v>0.05</v>
      </c>
      <c r="AE91">
        <v>53.45</v>
      </c>
      <c r="AF91" t="s">
        <v>1774</v>
      </c>
      <c r="AG91" t="s">
        <v>1600</v>
      </c>
      <c r="AH91">
        <v>0.7</v>
      </c>
    </row>
    <row r="92" spans="1:34" x14ac:dyDescent="0.25">
      <c r="A92" s="2">
        <v>45670</v>
      </c>
      <c r="B92" t="s">
        <v>2036</v>
      </c>
      <c r="C92" t="s">
        <v>2037</v>
      </c>
      <c r="D92">
        <v>107</v>
      </c>
      <c r="E92">
        <v>1</v>
      </c>
      <c r="F92">
        <v>0</v>
      </c>
      <c r="G92">
        <v>50.01</v>
      </c>
      <c r="H92">
        <v>0</v>
      </c>
      <c r="I92">
        <v>50.01</v>
      </c>
      <c r="J92">
        <v>927.87</v>
      </c>
      <c r="K92">
        <v>28</v>
      </c>
      <c r="L92">
        <v>0</v>
      </c>
      <c r="M92" t="s">
        <v>2038</v>
      </c>
      <c r="N92">
        <v>2</v>
      </c>
      <c r="O92">
        <v>105</v>
      </c>
      <c r="P92">
        <v>38.96</v>
      </c>
      <c r="Q92">
        <v>0</v>
      </c>
      <c r="R92">
        <v>11.05</v>
      </c>
      <c r="S92">
        <v>9.1</v>
      </c>
      <c r="T92">
        <v>5.15</v>
      </c>
      <c r="U92">
        <v>2.14</v>
      </c>
      <c r="V92">
        <v>115</v>
      </c>
      <c r="W92">
        <v>0</v>
      </c>
      <c r="X92">
        <v>0</v>
      </c>
      <c r="Y92">
        <v>50.01</v>
      </c>
      <c r="Z92">
        <v>0</v>
      </c>
      <c r="AA92" t="s">
        <v>114</v>
      </c>
      <c r="AB92">
        <v>0</v>
      </c>
      <c r="AC92">
        <v>0.1</v>
      </c>
      <c r="AD92">
        <v>0.05</v>
      </c>
      <c r="AE92">
        <v>50.01</v>
      </c>
      <c r="AF92" t="s">
        <v>1959</v>
      </c>
      <c r="AG92" t="s">
        <v>1747</v>
      </c>
      <c r="AH92">
        <v>0.7</v>
      </c>
    </row>
    <row r="93" spans="1:34" x14ac:dyDescent="0.25">
      <c r="A93" s="2">
        <v>45677</v>
      </c>
      <c r="B93" t="s">
        <v>2036</v>
      </c>
      <c r="C93" t="s">
        <v>2037</v>
      </c>
      <c r="D93">
        <v>117</v>
      </c>
      <c r="E93">
        <v>0.97777777777777775</v>
      </c>
      <c r="F93">
        <v>7.575757575757576E-3</v>
      </c>
      <c r="G93">
        <v>60.11</v>
      </c>
      <c r="H93">
        <v>0</v>
      </c>
      <c r="I93">
        <v>60.11</v>
      </c>
      <c r="J93">
        <v>1231.0899999999999</v>
      </c>
      <c r="K93">
        <v>44.6</v>
      </c>
      <c r="L93">
        <v>0</v>
      </c>
      <c r="M93" t="s">
        <v>2038</v>
      </c>
      <c r="N93">
        <v>4</v>
      </c>
      <c r="O93">
        <v>113</v>
      </c>
      <c r="P93">
        <v>51.78</v>
      </c>
      <c r="Q93">
        <v>3</v>
      </c>
      <c r="R93">
        <v>8.32</v>
      </c>
      <c r="S93">
        <v>8.65</v>
      </c>
      <c r="T93">
        <v>6.79</v>
      </c>
      <c r="U93">
        <v>1.95</v>
      </c>
      <c r="V93">
        <v>132</v>
      </c>
      <c r="W93">
        <v>0</v>
      </c>
      <c r="X93">
        <v>1</v>
      </c>
      <c r="Y93">
        <v>60.11</v>
      </c>
      <c r="Z93">
        <v>0</v>
      </c>
      <c r="AA93" t="s">
        <v>115</v>
      </c>
      <c r="AB93">
        <v>0</v>
      </c>
      <c r="AC93">
        <v>0.1</v>
      </c>
      <c r="AD93">
        <v>0.05</v>
      </c>
      <c r="AE93">
        <v>60.11</v>
      </c>
      <c r="AF93" t="s">
        <v>1959</v>
      </c>
      <c r="AG93" t="s">
        <v>1747</v>
      </c>
      <c r="AH93">
        <v>0.7</v>
      </c>
    </row>
    <row r="94" spans="1:34" x14ac:dyDescent="0.25">
      <c r="A94" s="2">
        <v>45670</v>
      </c>
      <c r="B94" t="s">
        <v>1969</v>
      </c>
      <c r="C94" t="s">
        <v>1970</v>
      </c>
      <c r="D94">
        <v>76</v>
      </c>
      <c r="E94">
        <v>0.97752808988764039</v>
      </c>
      <c r="F94">
        <v>1.1494252873563218E-2</v>
      </c>
      <c r="G94">
        <v>35.799999999999997</v>
      </c>
      <c r="H94">
        <v>0</v>
      </c>
      <c r="I94">
        <v>35.799999999999997</v>
      </c>
      <c r="J94">
        <v>714.84</v>
      </c>
      <c r="K94">
        <v>38.49</v>
      </c>
      <c r="L94">
        <v>0</v>
      </c>
      <c r="M94" t="s">
        <v>1971</v>
      </c>
      <c r="N94">
        <v>7</v>
      </c>
      <c r="O94">
        <v>69</v>
      </c>
      <c r="P94">
        <v>31.84</v>
      </c>
      <c r="Q94">
        <v>0</v>
      </c>
      <c r="R94">
        <v>3.96</v>
      </c>
      <c r="S94">
        <v>11.83</v>
      </c>
      <c r="T94">
        <v>9.52</v>
      </c>
      <c r="U94">
        <v>2.12</v>
      </c>
      <c r="V94">
        <v>87</v>
      </c>
      <c r="W94">
        <v>2</v>
      </c>
      <c r="X94">
        <v>1</v>
      </c>
      <c r="Y94">
        <v>35.799999999999997</v>
      </c>
      <c r="Z94">
        <v>0</v>
      </c>
      <c r="AA94" t="s">
        <v>114</v>
      </c>
      <c r="AB94">
        <v>0</v>
      </c>
      <c r="AC94">
        <v>0.1</v>
      </c>
      <c r="AD94">
        <v>0.05</v>
      </c>
      <c r="AE94">
        <v>35.799999999999997</v>
      </c>
      <c r="AF94" t="s">
        <v>1953</v>
      </c>
      <c r="AG94" t="s">
        <v>1601</v>
      </c>
      <c r="AH94">
        <v>0.7</v>
      </c>
    </row>
    <row r="95" spans="1:34" x14ac:dyDescent="0.25">
      <c r="A95" s="2">
        <v>45677</v>
      </c>
      <c r="B95" t="s">
        <v>1969</v>
      </c>
      <c r="C95" t="s">
        <v>1970</v>
      </c>
      <c r="D95">
        <v>92</v>
      </c>
      <c r="E95">
        <v>0.98130841121495327</v>
      </c>
      <c r="F95">
        <v>9.5238095238095247E-3</v>
      </c>
      <c r="G95">
        <v>45.1</v>
      </c>
      <c r="H95">
        <v>0</v>
      </c>
      <c r="I95">
        <v>45.1</v>
      </c>
      <c r="J95">
        <v>951.65</v>
      </c>
      <c r="K95">
        <v>43.89</v>
      </c>
      <c r="L95">
        <v>0</v>
      </c>
      <c r="M95" t="s">
        <v>1971</v>
      </c>
      <c r="N95">
        <v>8</v>
      </c>
      <c r="O95">
        <v>84</v>
      </c>
      <c r="P95">
        <v>41.75</v>
      </c>
      <c r="Q95">
        <v>1</v>
      </c>
      <c r="R95">
        <v>3.34</v>
      </c>
      <c r="S95">
        <v>14.91</v>
      </c>
      <c r="T95">
        <v>11.78</v>
      </c>
      <c r="U95">
        <v>2.04</v>
      </c>
      <c r="V95">
        <v>105</v>
      </c>
      <c r="W95">
        <v>1</v>
      </c>
      <c r="X95">
        <v>1</v>
      </c>
      <c r="Y95">
        <v>45.1</v>
      </c>
      <c r="Z95">
        <v>0</v>
      </c>
      <c r="AA95" t="s">
        <v>115</v>
      </c>
      <c r="AB95">
        <v>0</v>
      </c>
      <c r="AC95">
        <v>0.1</v>
      </c>
      <c r="AD95">
        <v>0.05</v>
      </c>
      <c r="AE95">
        <v>45.1</v>
      </c>
      <c r="AF95" t="s">
        <v>1953</v>
      </c>
      <c r="AG95" t="s">
        <v>1601</v>
      </c>
      <c r="AH95">
        <v>0.7</v>
      </c>
    </row>
    <row r="96" spans="1:34" x14ac:dyDescent="0.25">
      <c r="A96" s="2">
        <v>45670</v>
      </c>
      <c r="B96" t="s">
        <v>2019</v>
      </c>
      <c r="C96" t="s">
        <v>1919</v>
      </c>
      <c r="D96">
        <v>57</v>
      </c>
      <c r="E96">
        <v>0.98148148148148151</v>
      </c>
      <c r="F96">
        <v>0</v>
      </c>
      <c r="G96">
        <v>50.57</v>
      </c>
      <c r="H96">
        <v>0</v>
      </c>
      <c r="I96">
        <v>50.57</v>
      </c>
      <c r="J96">
        <v>630.02</v>
      </c>
      <c r="K96">
        <v>40.119999999999997</v>
      </c>
      <c r="L96">
        <v>6</v>
      </c>
      <c r="M96" t="s">
        <v>2007</v>
      </c>
      <c r="N96">
        <v>15</v>
      </c>
      <c r="O96">
        <v>42</v>
      </c>
      <c r="P96">
        <v>29.13</v>
      </c>
      <c r="Q96">
        <v>1</v>
      </c>
      <c r="R96">
        <v>21.44</v>
      </c>
      <c r="S96">
        <v>18.739999999999998</v>
      </c>
      <c r="T96">
        <v>14.77</v>
      </c>
      <c r="U96">
        <v>1.1299999999999999</v>
      </c>
      <c r="V96">
        <v>53</v>
      </c>
      <c r="W96">
        <v>0</v>
      </c>
      <c r="X96">
        <v>0</v>
      </c>
      <c r="Y96">
        <v>50.57</v>
      </c>
      <c r="Z96">
        <v>0</v>
      </c>
      <c r="AA96" t="s">
        <v>114</v>
      </c>
      <c r="AB96">
        <v>0</v>
      </c>
      <c r="AC96">
        <v>0.1</v>
      </c>
      <c r="AD96">
        <v>0.05</v>
      </c>
      <c r="AE96">
        <v>50.57</v>
      </c>
      <c r="AF96" t="s">
        <v>2003</v>
      </c>
      <c r="AG96" t="s">
        <v>1670</v>
      </c>
      <c r="AH96">
        <v>0.7</v>
      </c>
    </row>
    <row r="97" spans="1:34" x14ac:dyDescent="0.25">
      <c r="A97" s="2">
        <v>45677</v>
      </c>
      <c r="B97" t="s">
        <v>2019</v>
      </c>
      <c r="C97" t="s">
        <v>1919</v>
      </c>
      <c r="D97">
        <v>60</v>
      </c>
      <c r="E97">
        <v>0.96721311475409832</v>
      </c>
      <c r="F97">
        <v>0</v>
      </c>
      <c r="G97">
        <v>50.77</v>
      </c>
      <c r="H97">
        <v>0.13</v>
      </c>
      <c r="I97">
        <v>50.64</v>
      </c>
      <c r="J97">
        <v>654.77</v>
      </c>
      <c r="K97">
        <v>37.18</v>
      </c>
      <c r="L97">
        <v>6</v>
      </c>
      <c r="M97" t="s">
        <v>2007</v>
      </c>
      <c r="N97">
        <v>6</v>
      </c>
      <c r="O97">
        <v>54</v>
      </c>
      <c r="P97">
        <v>29.61</v>
      </c>
      <c r="Q97">
        <v>2</v>
      </c>
      <c r="R97">
        <v>21.02</v>
      </c>
      <c r="S97">
        <v>16.399999999999999</v>
      </c>
      <c r="T97">
        <v>9.6300000000000008</v>
      </c>
      <c r="U97">
        <v>1.18</v>
      </c>
      <c r="V97">
        <v>59</v>
      </c>
      <c r="W97">
        <v>0</v>
      </c>
      <c r="X97">
        <v>0</v>
      </c>
      <c r="Y97">
        <v>50.64</v>
      </c>
      <c r="Z97">
        <v>0</v>
      </c>
      <c r="AA97" t="s">
        <v>115</v>
      </c>
      <c r="AB97">
        <v>0</v>
      </c>
      <c r="AC97">
        <v>0.1</v>
      </c>
      <c r="AD97">
        <v>0.05</v>
      </c>
      <c r="AE97">
        <v>50.64</v>
      </c>
      <c r="AF97" t="s">
        <v>2003</v>
      </c>
      <c r="AG97" t="s">
        <v>1670</v>
      </c>
      <c r="AH97">
        <v>0.7</v>
      </c>
    </row>
    <row r="98" spans="1:34" x14ac:dyDescent="0.25">
      <c r="A98" s="2">
        <v>45670</v>
      </c>
      <c r="B98" t="s">
        <v>1921</v>
      </c>
      <c r="C98" t="s">
        <v>1919</v>
      </c>
      <c r="D98">
        <v>70</v>
      </c>
      <c r="E98">
        <v>0.87654320987654322</v>
      </c>
      <c r="F98">
        <v>1.4084507042253521E-2</v>
      </c>
      <c r="G98">
        <v>50.19</v>
      </c>
      <c r="H98">
        <v>0.14000000000000001</v>
      </c>
      <c r="I98">
        <v>50.05</v>
      </c>
      <c r="J98">
        <v>659.88</v>
      </c>
      <c r="K98">
        <v>45</v>
      </c>
      <c r="L98">
        <v>6</v>
      </c>
      <c r="M98" t="s">
        <v>1922</v>
      </c>
      <c r="N98">
        <v>14</v>
      </c>
      <c r="O98">
        <v>56</v>
      </c>
      <c r="P98">
        <v>33.090000000000003</v>
      </c>
      <c r="Q98">
        <v>10</v>
      </c>
      <c r="R98">
        <v>16.96</v>
      </c>
      <c r="S98">
        <v>14.61</v>
      </c>
      <c r="T98">
        <v>13.07</v>
      </c>
      <c r="U98">
        <v>1.39</v>
      </c>
      <c r="V98">
        <v>71</v>
      </c>
      <c r="W98">
        <v>0</v>
      </c>
      <c r="X98">
        <v>1</v>
      </c>
      <c r="Y98">
        <v>0</v>
      </c>
      <c r="Z98">
        <v>0</v>
      </c>
      <c r="AA98" t="s">
        <v>114</v>
      </c>
      <c r="AB98">
        <v>50.05</v>
      </c>
      <c r="AC98">
        <v>0.1</v>
      </c>
      <c r="AD98">
        <v>0.05</v>
      </c>
      <c r="AE98">
        <v>0</v>
      </c>
      <c r="AF98" t="s">
        <v>1697</v>
      </c>
      <c r="AG98" t="s">
        <v>1747</v>
      </c>
      <c r="AH98">
        <v>0.7</v>
      </c>
    </row>
    <row r="99" spans="1:34" x14ac:dyDescent="0.25">
      <c r="A99" s="2">
        <v>45677</v>
      </c>
      <c r="B99" t="s">
        <v>1921</v>
      </c>
      <c r="C99" t="s">
        <v>1919</v>
      </c>
      <c r="D99">
        <v>63</v>
      </c>
      <c r="E99">
        <v>0.98461538461538467</v>
      </c>
      <c r="F99">
        <v>0</v>
      </c>
      <c r="G99">
        <v>50.15</v>
      </c>
      <c r="H99">
        <v>0</v>
      </c>
      <c r="I99">
        <v>50.15</v>
      </c>
      <c r="J99">
        <v>642.45000000000005</v>
      </c>
      <c r="K99">
        <v>11</v>
      </c>
      <c r="L99">
        <v>0</v>
      </c>
      <c r="M99" t="s">
        <v>1922</v>
      </c>
      <c r="N99">
        <v>19</v>
      </c>
      <c r="O99">
        <v>44</v>
      </c>
      <c r="P99">
        <v>33.590000000000003</v>
      </c>
      <c r="Q99">
        <v>1</v>
      </c>
      <c r="R99">
        <v>16.559999999999999</v>
      </c>
      <c r="S99">
        <v>16</v>
      </c>
      <c r="T99">
        <v>15.24</v>
      </c>
      <c r="U99">
        <v>1.26</v>
      </c>
      <c r="V99">
        <v>64</v>
      </c>
      <c r="W99">
        <v>0</v>
      </c>
      <c r="X99">
        <v>0</v>
      </c>
      <c r="Y99">
        <v>50.15</v>
      </c>
      <c r="Z99">
        <v>0</v>
      </c>
      <c r="AA99" t="s">
        <v>115</v>
      </c>
      <c r="AB99">
        <v>0</v>
      </c>
      <c r="AC99">
        <v>0.1</v>
      </c>
      <c r="AD99">
        <v>0.05</v>
      </c>
      <c r="AE99">
        <v>50.15</v>
      </c>
      <c r="AF99" t="s">
        <v>1697</v>
      </c>
      <c r="AG99" t="s">
        <v>1747</v>
      </c>
      <c r="AH99">
        <v>0.7</v>
      </c>
    </row>
    <row r="100" spans="1:34" x14ac:dyDescent="0.25">
      <c r="A100" s="2">
        <v>45670</v>
      </c>
      <c r="B100" t="s">
        <v>1918</v>
      </c>
      <c r="C100" t="s">
        <v>1919</v>
      </c>
      <c r="D100">
        <v>74</v>
      </c>
      <c r="E100">
        <v>1</v>
      </c>
      <c r="F100">
        <v>5.8139534883720929E-2</v>
      </c>
      <c r="G100">
        <v>45.42</v>
      </c>
      <c r="H100">
        <v>0.12</v>
      </c>
      <c r="I100">
        <v>45.300000000000004</v>
      </c>
      <c r="J100">
        <v>843.9</v>
      </c>
      <c r="K100">
        <v>67.260000000000005</v>
      </c>
      <c r="L100">
        <v>18.440000000000001</v>
      </c>
      <c r="M100" t="s">
        <v>1920</v>
      </c>
      <c r="N100">
        <v>28</v>
      </c>
      <c r="O100">
        <v>46</v>
      </c>
      <c r="P100">
        <v>41.55</v>
      </c>
      <c r="Q100">
        <v>0</v>
      </c>
      <c r="R100">
        <v>3.75</v>
      </c>
      <c r="S100">
        <v>22.07</v>
      </c>
      <c r="T100">
        <v>21.52</v>
      </c>
      <c r="U100">
        <v>1.63</v>
      </c>
      <c r="V100">
        <v>86</v>
      </c>
      <c r="W100">
        <v>0</v>
      </c>
      <c r="X100">
        <v>5</v>
      </c>
      <c r="Y100">
        <v>0</v>
      </c>
      <c r="Z100">
        <v>0</v>
      </c>
      <c r="AA100" t="s">
        <v>114</v>
      </c>
      <c r="AB100">
        <v>45.300000000000004</v>
      </c>
      <c r="AC100">
        <v>0.1</v>
      </c>
      <c r="AD100">
        <v>0.05</v>
      </c>
      <c r="AE100">
        <v>0</v>
      </c>
      <c r="AF100" t="s">
        <v>1777</v>
      </c>
      <c r="AG100" t="s">
        <v>1670</v>
      </c>
      <c r="AH100">
        <v>0.7</v>
      </c>
    </row>
    <row r="101" spans="1:34" x14ac:dyDescent="0.25">
      <c r="A101" s="2">
        <v>45677</v>
      </c>
      <c r="B101" t="s">
        <v>1918</v>
      </c>
      <c r="C101" t="s">
        <v>1919</v>
      </c>
      <c r="D101">
        <v>90</v>
      </c>
      <c r="E101">
        <v>0.99009900990099009</v>
      </c>
      <c r="F101">
        <v>0.02</v>
      </c>
      <c r="G101">
        <v>54.63</v>
      </c>
      <c r="H101">
        <v>0.16</v>
      </c>
      <c r="I101">
        <v>54.470000000000006</v>
      </c>
      <c r="J101">
        <v>1146.3900000000001</v>
      </c>
      <c r="K101">
        <v>42</v>
      </c>
      <c r="L101">
        <v>7.66</v>
      </c>
      <c r="M101" t="s">
        <v>1920</v>
      </c>
      <c r="N101">
        <v>30</v>
      </c>
      <c r="O101">
        <v>60</v>
      </c>
      <c r="P101">
        <v>50.76</v>
      </c>
      <c r="Q101">
        <v>0</v>
      </c>
      <c r="R101">
        <v>3.71</v>
      </c>
      <c r="S101">
        <v>30.95</v>
      </c>
      <c r="T101">
        <v>29.17</v>
      </c>
      <c r="U101">
        <v>1.65</v>
      </c>
      <c r="V101">
        <v>100</v>
      </c>
      <c r="W101">
        <v>1</v>
      </c>
      <c r="X101">
        <v>2</v>
      </c>
      <c r="Y101">
        <v>54.470000000000006</v>
      </c>
      <c r="Z101">
        <v>0</v>
      </c>
      <c r="AA101" t="s">
        <v>115</v>
      </c>
      <c r="AB101">
        <v>0</v>
      </c>
      <c r="AC101">
        <v>0.1</v>
      </c>
      <c r="AD101">
        <v>0.05</v>
      </c>
      <c r="AE101">
        <v>54.470000000000006</v>
      </c>
      <c r="AF101" t="s">
        <v>1777</v>
      </c>
      <c r="AG101" t="s">
        <v>1670</v>
      </c>
      <c r="AH101">
        <v>0.7</v>
      </c>
    </row>
    <row r="102" spans="1:34" x14ac:dyDescent="0.25">
      <c r="A102" s="2">
        <v>45670</v>
      </c>
      <c r="B102" t="s">
        <v>1923</v>
      </c>
      <c r="C102" t="s">
        <v>1924</v>
      </c>
      <c r="D102">
        <v>43</v>
      </c>
      <c r="E102">
        <v>0.96153846153846156</v>
      </c>
      <c r="F102">
        <v>0</v>
      </c>
      <c r="G102">
        <v>49.57</v>
      </c>
      <c r="H102">
        <v>7.0000000000000007E-2</v>
      </c>
      <c r="I102">
        <v>49.5</v>
      </c>
      <c r="J102">
        <v>444.9</v>
      </c>
      <c r="K102">
        <v>28</v>
      </c>
      <c r="L102">
        <v>8.67</v>
      </c>
      <c r="M102" t="s">
        <v>1925</v>
      </c>
      <c r="N102">
        <v>3</v>
      </c>
      <c r="O102">
        <v>40</v>
      </c>
      <c r="P102">
        <v>24.26</v>
      </c>
      <c r="Q102">
        <v>0</v>
      </c>
      <c r="R102">
        <v>25.24</v>
      </c>
      <c r="S102">
        <v>9.1300000000000008</v>
      </c>
      <c r="T102">
        <v>7.32</v>
      </c>
      <c r="U102">
        <v>0.87</v>
      </c>
      <c r="V102">
        <v>50</v>
      </c>
      <c r="W102">
        <v>2</v>
      </c>
      <c r="X102">
        <v>0</v>
      </c>
      <c r="Y102">
        <v>49.5</v>
      </c>
      <c r="Z102">
        <v>0</v>
      </c>
      <c r="AA102" t="s">
        <v>114</v>
      </c>
      <c r="AB102">
        <v>0</v>
      </c>
      <c r="AC102">
        <v>0.1</v>
      </c>
      <c r="AD102">
        <v>0.05</v>
      </c>
      <c r="AE102">
        <v>49.5</v>
      </c>
      <c r="AF102" t="s">
        <v>1778</v>
      </c>
      <c r="AG102" t="s">
        <v>1816</v>
      </c>
      <c r="AH102">
        <v>0.7</v>
      </c>
    </row>
    <row r="103" spans="1:34" x14ac:dyDescent="0.25">
      <c r="A103" s="2">
        <v>45677</v>
      </c>
      <c r="B103" t="s">
        <v>1923</v>
      </c>
      <c r="C103" t="s">
        <v>1924</v>
      </c>
      <c r="D103">
        <v>60</v>
      </c>
      <c r="E103">
        <v>0.9838709677419355</v>
      </c>
      <c r="F103">
        <v>3.2786885245901641E-2</v>
      </c>
      <c r="G103">
        <v>49.37</v>
      </c>
      <c r="H103">
        <v>0</v>
      </c>
      <c r="I103">
        <v>49.37</v>
      </c>
      <c r="J103">
        <v>625.1</v>
      </c>
      <c r="K103">
        <v>57.58</v>
      </c>
      <c r="L103">
        <v>0</v>
      </c>
      <c r="M103" t="s">
        <v>1925</v>
      </c>
      <c r="N103">
        <v>3</v>
      </c>
      <c r="O103">
        <v>57</v>
      </c>
      <c r="P103">
        <v>31</v>
      </c>
      <c r="Q103">
        <v>0</v>
      </c>
      <c r="R103">
        <v>18.36</v>
      </c>
      <c r="S103">
        <v>9.58</v>
      </c>
      <c r="T103">
        <v>8.07</v>
      </c>
      <c r="U103">
        <v>1.22</v>
      </c>
      <c r="V103">
        <v>61</v>
      </c>
      <c r="W103">
        <v>1</v>
      </c>
      <c r="X103">
        <v>2</v>
      </c>
      <c r="Y103">
        <v>49.37</v>
      </c>
      <c r="Z103">
        <v>0</v>
      </c>
      <c r="AA103" t="s">
        <v>115</v>
      </c>
      <c r="AB103">
        <v>0</v>
      </c>
      <c r="AC103">
        <v>0.1</v>
      </c>
      <c r="AD103">
        <v>0.05</v>
      </c>
      <c r="AE103">
        <v>49.37</v>
      </c>
      <c r="AF103" t="s">
        <v>1778</v>
      </c>
      <c r="AG103" t="s">
        <v>1816</v>
      </c>
      <c r="AH103">
        <v>0.7</v>
      </c>
    </row>
    <row r="104" spans="1:34" x14ac:dyDescent="0.25">
      <c r="A104" s="2">
        <v>45670</v>
      </c>
      <c r="B104" t="s">
        <v>1981</v>
      </c>
      <c r="C104" t="s">
        <v>1982</v>
      </c>
      <c r="D104">
        <v>24</v>
      </c>
      <c r="E104">
        <v>0.69767441860465118</v>
      </c>
      <c r="F104">
        <v>6.6666666666666666E-2</v>
      </c>
      <c r="G104">
        <v>16.940000000000001</v>
      </c>
      <c r="H104">
        <v>0.33</v>
      </c>
      <c r="I104">
        <v>16.610000000000003</v>
      </c>
      <c r="J104">
        <v>310.39999999999998</v>
      </c>
      <c r="K104">
        <v>22</v>
      </c>
      <c r="L104">
        <v>12</v>
      </c>
      <c r="M104" t="s">
        <v>1983</v>
      </c>
      <c r="N104">
        <v>13</v>
      </c>
      <c r="O104">
        <v>11</v>
      </c>
      <c r="P104">
        <v>15.78</v>
      </c>
      <c r="Q104">
        <v>9</v>
      </c>
      <c r="R104">
        <v>0.83</v>
      </c>
      <c r="S104">
        <v>11.56</v>
      </c>
      <c r="T104">
        <v>10.91</v>
      </c>
      <c r="U104">
        <v>1.42</v>
      </c>
      <c r="V104">
        <v>30</v>
      </c>
      <c r="W104">
        <v>4</v>
      </c>
      <c r="X104">
        <v>2</v>
      </c>
      <c r="Y104">
        <v>0</v>
      </c>
      <c r="Z104">
        <v>0</v>
      </c>
      <c r="AA104" t="s">
        <v>114</v>
      </c>
      <c r="AB104">
        <v>16.610000000000003</v>
      </c>
      <c r="AC104">
        <v>0.1</v>
      </c>
      <c r="AD104">
        <v>0.05</v>
      </c>
      <c r="AE104">
        <v>0</v>
      </c>
      <c r="AF104" t="s">
        <v>1824</v>
      </c>
      <c r="AG104" t="s">
        <v>1599</v>
      </c>
      <c r="AH104">
        <v>0.7</v>
      </c>
    </row>
    <row r="105" spans="1:34" x14ac:dyDescent="0.25">
      <c r="A105" s="2">
        <v>45677</v>
      </c>
      <c r="B105" t="s">
        <v>1981</v>
      </c>
      <c r="C105" t="s">
        <v>1982</v>
      </c>
      <c r="D105">
        <v>78</v>
      </c>
      <c r="E105">
        <v>0.95</v>
      </c>
      <c r="F105">
        <v>2.1052631578947368E-2</v>
      </c>
      <c r="G105">
        <v>47.97</v>
      </c>
      <c r="H105">
        <v>0.32</v>
      </c>
      <c r="I105">
        <v>47.65</v>
      </c>
      <c r="J105">
        <v>920.02</v>
      </c>
      <c r="K105">
        <v>66.47</v>
      </c>
      <c r="L105">
        <v>9.09</v>
      </c>
      <c r="M105" t="s">
        <v>1983</v>
      </c>
      <c r="N105">
        <v>20</v>
      </c>
      <c r="O105">
        <v>58</v>
      </c>
      <c r="P105">
        <v>45.46</v>
      </c>
      <c r="Q105">
        <v>5</v>
      </c>
      <c r="R105">
        <v>2.1800000000000002</v>
      </c>
      <c r="S105">
        <v>35.78</v>
      </c>
      <c r="T105">
        <v>34.4</v>
      </c>
      <c r="U105">
        <v>1.63</v>
      </c>
      <c r="V105">
        <v>95</v>
      </c>
      <c r="W105">
        <v>0</v>
      </c>
      <c r="X105">
        <v>2</v>
      </c>
      <c r="Y105">
        <v>47.65</v>
      </c>
      <c r="Z105">
        <v>0</v>
      </c>
      <c r="AA105" t="s">
        <v>115</v>
      </c>
      <c r="AB105">
        <v>0</v>
      </c>
      <c r="AC105">
        <v>0.1</v>
      </c>
      <c r="AD105">
        <v>0.05</v>
      </c>
      <c r="AE105">
        <v>47.65</v>
      </c>
      <c r="AF105" t="s">
        <v>1824</v>
      </c>
      <c r="AG105" t="s">
        <v>1599</v>
      </c>
      <c r="AH105">
        <v>0.7</v>
      </c>
    </row>
    <row r="106" spans="1:34" x14ac:dyDescent="0.25">
      <c r="A106" s="2">
        <v>45670</v>
      </c>
      <c r="B106" t="s">
        <v>1926</v>
      </c>
      <c r="C106" t="s">
        <v>1927</v>
      </c>
      <c r="D106">
        <v>13</v>
      </c>
      <c r="E106">
        <v>0.84615384615384615</v>
      </c>
      <c r="F106">
        <v>0.31818181818181818</v>
      </c>
      <c r="G106">
        <v>12.17</v>
      </c>
      <c r="H106">
        <v>0</v>
      </c>
      <c r="I106">
        <v>12.17</v>
      </c>
      <c r="J106">
        <v>143.66</v>
      </c>
      <c r="K106">
        <v>6</v>
      </c>
      <c r="L106">
        <v>0</v>
      </c>
      <c r="M106" t="s">
        <v>1928</v>
      </c>
      <c r="N106">
        <v>0</v>
      </c>
      <c r="O106">
        <v>13</v>
      </c>
      <c r="P106">
        <v>8.09</v>
      </c>
      <c r="Q106">
        <v>0</v>
      </c>
      <c r="R106">
        <v>4.07</v>
      </c>
      <c r="S106">
        <v>9.19</v>
      </c>
      <c r="T106">
        <v>5.41</v>
      </c>
      <c r="U106">
        <v>1.07</v>
      </c>
      <c r="V106">
        <v>22</v>
      </c>
      <c r="W106">
        <v>4</v>
      </c>
      <c r="X106">
        <v>7</v>
      </c>
      <c r="Y106">
        <v>0</v>
      </c>
      <c r="Z106">
        <v>0</v>
      </c>
      <c r="AA106" t="s">
        <v>114</v>
      </c>
      <c r="AB106">
        <v>12.17</v>
      </c>
      <c r="AC106">
        <v>0.1</v>
      </c>
      <c r="AD106">
        <v>0.05</v>
      </c>
      <c r="AE106">
        <v>0</v>
      </c>
      <c r="AF106" t="s">
        <v>1817</v>
      </c>
      <c r="AG106" t="s">
        <v>1599</v>
      </c>
      <c r="AH106">
        <v>0.7</v>
      </c>
    </row>
    <row r="107" spans="1:34" x14ac:dyDescent="0.25">
      <c r="A107" s="2">
        <v>45677</v>
      </c>
      <c r="B107" t="s">
        <v>1926</v>
      </c>
      <c r="C107" t="s">
        <v>1927</v>
      </c>
      <c r="D107">
        <v>22</v>
      </c>
      <c r="E107">
        <v>0.92233009708737868</v>
      </c>
      <c r="F107">
        <v>8.4210526315789472E-2</v>
      </c>
      <c r="G107">
        <v>31.6</v>
      </c>
      <c r="H107">
        <v>0.02</v>
      </c>
      <c r="I107">
        <v>31.580000000000002</v>
      </c>
      <c r="J107">
        <v>290.22000000000003</v>
      </c>
      <c r="K107">
        <v>16.489999999999998</v>
      </c>
      <c r="L107">
        <v>0</v>
      </c>
      <c r="M107" t="s">
        <v>1928</v>
      </c>
      <c r="N107">
        <v>8</v>
      </c>
      <c r="O107">
        <v>14</v>
      </c>
      <c r="P107">
        <v>29.46</v>
      </c>
      <c r="Q107">
        <v>0</v>
      </c>
      <c r="R107">
        <v>2.12</v>
      </c>
      <c r="S107">
        <v>15.25</v>
      </c>
      <c r="T107">
        <v>14.44</v>
      </c>
      <c r="U107">
        <v>0.7</v>
      </c>
      <c r="V107">
        <v>95</v>
      </c>
      <c r="W107">
        <v>8</v>
      </c>
      <c r="X107">
        <v>8</v>
      </c>
      <c r="Y107">
        <v>0</v>
      </c>
      <c r="Z107">
        <v>0</v>
      </c>
      <c r="AA107" t="s">
        <v>115</v>
      </c>
      <c r="AB107">
        <v>31.580000000000002</v>
      </c>
      <c r="AC107">
        <v>0.1</v>
      </c>
      <c r="AD107">
        <v>0.05</v>
      </c>
      <c r="AE107">
        <v>0</v>
      </c>
      <c r="AF107" t="s">
        <v>1817</v>
      </c>
      <c r="AG107" t="s">
        <v>1599</v>
      </c>
      <c r="AH107">
        <v>0.7</v>
      </c>
    </row>
    <row r="108" spans="1:34" x14ac:dyDescent="0.25">
      <c r="A108" s="2">
        <v>45670</v>
      </c>
      <c r="B108" t="s">
        <v>1929</v>
      </c>
      <c r="C108" t="s">
        <v>1930</v>
      </c>
      <c r="D108">
        <v>83</v>
      </c>
      <c r="E108">
        <v>0.98989898989898994</v>
      </c>
      <c r="F108">
        <v>1.020408163265306E-2</v>
      </c>
      <c r="G108">
        <v>54.06</v>
      </c>
      <c r="H108">
        <v>0.5</v>
      </c>
      <c r="I108">
        <v>53.56</v>
      </c>
      <c r="J108">
        <v>1012.15</v>
      </c>
      <c r="K108">
        <v>71</v>
      </c>
      <c r="L108">
        <v>13.5</v>
      </c>
      <c r="M108" t="s">
        <v>1931</v>
      </c>
      <c r="N108">
        <v>37</v>
      </c>
      <c r="O108">
        <v>46</v>
      </c>
      <c r="P108">
        <v>52.65</v>
      </c>
      <c r="Q108">
        <v>1</v>
      </c>
      <c r="R108">
        <v>0.92</v>
      </c>
      <c r="S108">
        <v>37.35</v>
      </c>
      <c r="T108">
        <v>36.61</v>
      </c>
      <c r="U108">
        <v>1.54</v>
      </c>
      <c r="V108">
        <v>98</v>
      </c>
      <c r="W108">
        <v>0</v>
      </c>
      <c r="X108">
        <v>1</v>
      </c>
      <c r="Y108">
        <v>53.56</v>
      </c>
      <c r="Z108">
        <v>0</v>
      </c>
      <c r="AA108" t="s">
        <v>114</v>
      </c>
      <c r="AB108">
        <v>0</v>
      </c>
      <c r="AC108">
        <v>0.1</v>
      </c>
      <c r="AD108">
        <v>0.05</v>
      </c>
      <c r="AE108">
        <v>53.56</v>
      </c>
      <c r="AF108" t="s">
        <v>1737</v>
      </c>
      <c r="AG108" t="s">
        <v>1600</v>
      </c>
      <c r="AH108">
        <v>0.7</v>
      </c>
    </row>
    <row r="109" spans="1:34" x14ac:dyDescent="0.25">
      <c r="A109" s="2">
        <v>45677</v>
      </c>
      <c r="B109" t="s">
        <v>1929</v>
      </c>
      <c r="C109" t="s">
        <v>1930</v>
      </c>
      <c r="D109">
        <v>89</v>
      </c>
      <c r="E109">
        <v>1</v>
      </c>
      <c r="F109">
        <v>9.3457943925233638E-3</v>
      </c>
      <c r="G109">
        <v>50.56</v>
      </c>
      <c r="H109">
        <v>0.12</v>
      </c>
      <c r="I109">
        <v>50.440000000000005</v>
      </c>
      <c r="J109">
        <v>1045.02</v>
      </c>
      <c r="K109">
        <v>60</v>
      </c>
      <c r="L109">
        <v>1.5</v>
      </c>
      <c r="M109" t="s">
        <v>1931</v>
      </c>
      <c r="N109">
        <v>31</v>
      </c>
      <c r="O109">
        <v>58</v>
      </c>
      <c r="P109">
        <v>48.98</v>
      </c>
      <c r="Q109">
        <v>0</v>
      </c>
      <c r="R109">
        <v>1.46</v>
      </c>
      <c r="S109">
        <v>32.659999999999997</v>
      </c>
      <c r="T109">
        <v>31.94</v>
      </c>
      <c r="U109">
        <v>1.76</v>
      </c>
      <c r="V109">
        <v>107</v>
      </c>
      <c r="W109">
        <v>0</v>
      </c>
      <c r="X109">
        <v>1</v>
      </c>
      <c r="Y109">
        <v>50.440000000000005</v>
      </c>
      <c r="Z109">
        <v>0</v>
      </c>
      <c r="AA109" t="s">
        <v>115</v>
      </c>
      <c r="AB109">
        <v>0</v>
      </c>
      <c r="AC109">
        <v>0.1</v>
      </c>
      <c r="AD109">
        <v>0.05</v>
      </c>
      <c r="AE109">
        <v>50.440000000000005</v>
      </c>
      <c r="AF109" t="s">
        <v>1737</v>
      </c>
      <c r="AG109" t="s">
        <v>1600</v>
      </c>
      <c r="AH109">
        <v>0.7</v>
      </c>
    </row>
    <row r="110" spans="1:34" x14ac:dyDescent="0.25">
      <c r="A110" s="2">
        <v>45670</v>
      </c>
      <c r="B110" t="s">
        <v>1932</v>
      </c>
      <c r="C110" t="s">
        <v>1933</v>
      </c>
      <c r="D110">
        <v>66</v>
      </c>
      <c r="E110">
        <v>0.98734177215189878</v>
      </c>
      <c r="F110">
        <v>1.282051282051282E-2</v>
      </c>
      <c r="G110">
        <v>60.03</v>
      </c>
      <c r="H110">
        <v>0</v>
      </c>
      <c r="I110">
        <v>60.03</v>
      </c>
      <c r="J110">
        <v>682.62</v>
      </c>
      <c r="K110">
        <v>44.1</v>
      </c>
      <c r="L110">
        <v>0</v>
      </c>
      <c r="M110" t="s">
        <v>1934</v>
      </c>
      <c r="N110">
        <v>11</v>
      </c>
      <c r="O110">
        <v>55</v>
      </c>
      <c r="P110">
        <v>36.049999999999997</v>
      </c>
      <c r="Q110">
        <v>1</v>
      </c>
      <c r="R110">
        <v>23.97</v>
      </c>
      <c r="S110">
        <v>17.48</v>
      </c>
      <c r="T110">
        <v>14.91</v>
      </c>
      <c r="U110">
        <v>1.1000000000000001</v>
      </c>
      <c r="V110">
        <v>78</v>
      </c>
      <c r="W110">
        <v>0</v>
      </c>
      <c r="X110">
        <v>1</v>
      </c>
      <c r="Y110">
        <v>60.03</v>
      </c>
      <c r="Z110">
        <v>0</v>
      </c>
      <c r="AA110" t="s">
        <v>114</v>
      </c>
      <c r="AB110">
        <v>0</v>
      </c>
      <c r="AC110">
        <v>0.1</v>
      </c>
      <c r="AD110">
        <v>0.05</v>
      </c>
      <c r="AE110">
        <v>60.03</v>
      </c>
      <c r="AF110" t="s">
        <v>1739</v>
      </c>
      <c r="AG110" t="s">
        <v>1742</v>
      </c>
      <c r="AH110">
        <v>0.7</v>
      </c>
    </row>
    <row r="111" spans="1:34" x14ac:dyDescent="0.25">
      <c r="A111" s="2">
        <v>45677</v>
      </c>
      <c r="B111" t="s">
        <v>1932</v>
      </c>
      <c r="C111" t="s">
        <v>1933</v>
      </c>
      <c r="D111">
        <v>66</v>
      </c>
      <c r="E111">
        <v>1</v>
      </c>
      <c r="F111">
        <v>1.3333333333333334E-2</v>
      </c>
      <c r="G111">
        <v>55.25</v>
      </c>
      <c r="H111">
        <v>0</v>
      </c>
      <c r="I111">
        <v>55.25</v>
      </c>
      <c r="J111">
        <v>729.27</v>
      </c>
      <c r="K111">
        <v>46.77</v>
      </c>
      <c r="L111">
        <v>0</v>
      </c>
      <c r="M111" t="s">
        <v>1934</v>
      </c>
      <c r="N111">
        <v>18</v>
      </c>
      <c r="O111">
        <v>48</v>
      </c>
      <c r="P111">
        <v>39.42</v>
      </c>
      <c r="Q111">
        <v>0</v>
      </c>
      <c r="R111">
        <v>15.83</v>
      </c>
      <c r="S111">
        <v>33.61</v>
      </c>
      <c r="T111">
        <v>26.8</v>
      </c>
      <c r="U111">
        <v>1.19</v>
      </c>
      <c r="V111">
        <v>75</v>
      </c>
      <c r="W111">
        <v>0</v>
      </c>
      <c r="X111">
        <v>1</v>
      </c>
      <c r="Y111">
        <v>55.25</v>
      </c>
      <c r="Z111">
        <v>0</v>
      </c>
      <c r="AA111" t="s">
        <v>115</v>
      </c>
      <c r="AB111">
        <v>0</v>
      </c>
      <c r="AC111">
        <v>0.1</v>
      </c>
      <c r="AD111">
        <v>0.05</v>
      </c>
      <c r="AE111">
        <v>55.25</v>
      </c>
      <c r="AF111" t="s">
        <v>1739</v>
      </c>
      <c r="AG111" t="s">
        <v>1742</v>
      </c>
      <c r="AH111">
        <v>0.7</v>
      </c>
    </row>
    <row r="112" spans="1:34" x14ac:dyDescent="0.25">
      <c r="A112" s="2">
        <v>45670</v>
      </c>
      <c r="B112" t="s">
        <v>1946</v>
      </c>
      <c r="C112" t="s">
        <v>1947</v>
      </c>
      <c r="D112">
        <v>91</v>
      </c>
      <c r="E112">
        <v>1</v>
      </c>
      <c r="F112">
        <v>9.8039215686274508E-3</v>
      </c>
      <c r="G112">
        <v>51.64</v>
      </c>
      <c r="H112">
        <v>0</v>
      </c>
      <c r="I112">
        <v>51.64</v>
      </c>
      <c r="J112">
        <v>997.74</v>
      </c>
      <c r="K112">
        <v>68.75</v>
      </c>
      <c r="L112">
        <v>0</v>
      </c>
      <c r="M112" t="s">
        <v>1948</v>
      </c>
      <c r="N112">
        <v>49</v>
      </c>
      <c r="O112">
        <v>42</v>
      </c>
      <c r="P112">
        <v>50.14</v>
      </c>
      <c r="Q112">
        <v>0</v>
      </c>
      <c r="R112">
        <v>1.49</v>
      </c>
      <c r="S112">
        <v>46.46</v>
      </c>
      <c r="T112">
        <v>45.07</v>
      </c>
      <c r="U112">
        <v>1.76</v>
      </c>
      <c r="V112">
        <v>102</v>
      </c>
      <c r="W112">
        <v>0</v>
      </c>
      <c r="X112">
        <v>1</v>
      </c>
      <c r="Y112">
        <v>51.64</v>
      </c>
      <c r="Z112">
        <v>0</v>
      </c>
      <c r="AA112" t="s">
        <v>114</v>
      </c>
      <c r="AB112">
        <v>0</v>
      </c>
      <c r="AC112">
        <v>0.1</v>
      </c>
      <c r="AD112">
        <v>0.05</v>
      </c>
      <c r="AE112">
        <v>51.64</v>
      </c>
      <c r="AF112" t="s">
        <v>1724</v>
      </c>
      <c r="AG112" t="s">
        <v>1600</v>
      </c>
      <c r="AH112">
        <v>0.7</v>
      </c>
    </row>
    <row r="113" spans="1:34" x14ac:dyDescent="0.25">
      <c r="A113" s="2">
        <v>45677</v>
      </c>
      <c r="B113" t="s">
        <v>1946</v>
      </c>
      <c r="C113" t="s">
        <v>1947</v>
      </c>
      <c r="D113">
        <v>92</v>
      </c>
      <c r="E113">
        <v>0.99019607843137258</v>
      </c>
      <c r="F113">
        <v>1.9801980198019802E-2</v>
      </c>
      <c r="G113">
        <v>51.48</v>
      </c>
      <c r="H113">
        <v>0.02</v>
      </c>
      <c r="I113">
        <v>51.459999999999994</v>
      </c>
      <c r="J113">
        <v>1061.3699999999999</v>
      </c>
      <c r="K113">
        <v>61.39</v>
      </c>
      <c r="L113">
        <v>4.46</v>
      </c>
      <c r="M113" t="s">
        <v>1948</v>
      </c>
      <c r="N113">
        <v>39</v>
      </c>
      <c r="O113">
        <v>53</v>
      </c>
      <c r="P113">
        <v>50.82</v>
      </c>
      <c r="Q113">
        <v>0</v>
      </c>
      <c r="R113">
        <v>0.64</v>
      </c>
      <c r="S113">
        <v>46.06</v>
      </c>
      <c r="T113">
        <v>45.51</v>
      </c>
      <c r="U113">
        <v>1.79</v>
      </c>
      <c r="V113">
        <v>101</v>
      </c>
      <c r="W113">
        <v>1</v>
      </c>
      <c r="X113">
        <v>2</v>
      </c>
      <c r="Y113">
        <v>51.459999999999994</v>
      </c>
      <c r="Z113">
        <v>0</v>
      </c>
      <c r="AA113" t="s">
        <v>115</v>
      </c>
      <c r="AB113">
        <v>0</v>
      </c>
      <c r="AC113">
        <v>0.1</v>
      </c>
      <c r="AD113">
        <v>0.05</v>
      </c>
      <c r="AE113">
        <v>51.459999999999994</v>
      </c>
      <c r="AF113" t="s">
        <v>1724</v>
      </c>
      <c r="AG113" t="s">
        <v>1600</v>
      </c>
      <c r="AH113">
        <v>0.7</v>
      </c>
    </row>
    <row r="114" spans="1:34" x14ac:dyDescent="0.25">
      <c r="A114" s="2">
        <v>45670</v>
      </c>
      <c r="B114" t="s">
        <v>2001</v>
      </c>
      <c r="C114" t="s">
        <v>2002</v>
      </c>
      <c r="D114">
        <v>60</v>
      </c>
      <c r="E114">
        <v>0.98571428571428577</v>
      </c>
      <c r="F114">
        <v>0</v>
      </c>
      <c r="G114">
        <v>52.14</v>
      </c>
      <c r="H114">
        <v>0</v>
      </c>
      <c r="I114">
        <v>52.14</v>
      </c>
      <c r="J114">
        <v>670.93</v>
      </c>
      <c r="K114">
        <v>39</v>
      </c>
      <c r="L114">
        <v>0</v>
      </c>
      <c r="M114" t="s">
        <v>1938</v>
      </c>
      <c r="N114">
        <v>25</v>
      </c>
      <c r="O114">
        <v>35</v>
      </c>
      <c r="P114">
        <v>38.81</v>
      </c>
      <c r="Q114">
        <v>1</v>
      </c>
      <c r="R114">
        <v>13.33</v>
      </c>
      <c r="S114">
        <v>34.61</v>
      </c>
      <c r="T114">
        <v>26.67</v>
      </c>
      <c r="U114">
        <v>1.1499999999999999</v>
      </c>
      <c r="V114">
        <v>69</v>
      </c>
      <c r="W114">
        <v>0</v>
      </c>
      <c r="X114">
        <v>0</v>
      </c>
      <c r="Y114">
        <v>52.14</v>
      </c>
      <c r="Z114">
        <v>0</v>
      </c>
      <c r="AA114" t="s">
        <v>114</v>
      </c>
      <c r="AB114">
        <v>0</v>
      </c>
      <c r="AC114">
        <v>0.1</v>
      </c>
      <c r="AD114">
        <v>0.05</v>
      </c>
      <c r="AE114">
        <v>52.14</v>
      </c>
      <c r="AF114" t="s">
        <v>1682</v>
      </c>
      <c r="AG114" t="s">
        <v>1751</v>
      </c>
      <c r="AH114">
        <v>0.7</v>
      </c>
    </row>
    <row r="115" spans="1:34" x14ac:dyDescent="0.25">
      <c r="A115" s="2">
        <v>45677</v>
      </c>
      <c r="B115" t="s">
        <v>2001</v>
      </c>
      <c r="C115" t="s">
        <v>2002</v>
      </c>
      <c r="D115">
        <v>55</v>
      </c>
      <c r="E115">
        <v>1</v>
      </c>
      <c r="F115">
        <v>0</v>
      </c>
      <c r="G115">
        <v>53.25</v>
      </c>
      <c r="H115">
        <v>0.13</v>
      </c>
      <c r="I115">
        <v>53.12</v>
      </c>
      <c r="J115">
        <v>782.02</v>
      </c>
      <c r="K115">
        <v>21.3</v>
      </c>
      <c r="L115">
        <v>9.09</v>
      </c>
      <c r="M115" t="s">
        <v>1938</v>
      </c>
      <c r="N115">
        <v>18</v>
      </c>
      <c r="O115">
        <v>37</v>
      </c>
      <c r="P115">
        <v>39.97</v>
      </c>
      <c r="Q115">
        <v>0</v>
      </c>
      <c r="R115">
        <v>13.16</v>
      </c>
      <c r="S115">
        <v>33.26</v>
      </c>
      <c r="T115">
        <v>24.35</v>
      </c>
      <c r="U115">
        <v>1.03</v>
      </c>
      <c r="V115">
        <v>74</v>
      </c>
      <c r="W115">
        <v>0</v>
      </c>
      <c r="X115">
        <v>0</v>
      </c>
      <c r="Y115">
        <v>53.12</v>
      </c>
      <c r="Z115">
        <v>0</v>
      </c>
      <c r="AA115" t="s">
        <v>115</v>
      </c>
      <c r="AB115">
        <v>0</v>
      </c>
      <c r="AC115">
        <v>0.1</v>
      </c>
      <c r="AD115">
        <v>0.05</v>
      </c>
      <c r="AE115">
        <v>53.12</v>
      </c>
      <c r="AF115" t="s">
        <v>1682</v>
      </c>
      <c r="AG115" t="s">
        <v>1751</v>
      </c>
      <c r="AH115">
        <v>0.7</v>
      </c>
    </row>
    <row r="116" spans="1:34" x14ac:dyDescent="0.25">
      <c r="A116" s="2">
        <v>45670</v>
      </c>
      <c r="B116" t="s">
        <v>1935</v>
      </c>
      <c r="C116" t="s">
        <v>1936</v>
      </c>
      <c r="D116">
        <v>7</v>
      </c>
      <c r="E116">
        <v>1</v>
      </c>
      <c r="F116">
        <v>0.2857142857142857</v>
      </c>
      <c r="G116">
        <v>9.77</v>
      </c>
      <c r="H116">
        <v>0</v>
      </c>
      <c r="I116">
        <v>9.77</v>
      </c>
      <c r="J116">
        <v>88.43</v>
      </c>
      <c r="K116">
        <v>8</v>
      </c>
      <c r="L116">
        <v>0</v>
      </c>
      <c r="M116" t="s">
        <v>1937</v>
      </c>
      <c r="N116">
        <v>4</v>
      </c>
      <c r="O116">
        <v>3</v>
      </c>
      <c r="P116">
        <v>9.17</v>
      </c>
      <c r="Q116">
        <v>0</v>
      </c>
      <c r="R116">
        <v>0.6</v>
      </c>
      <c r="S116">
        <v>9.77</v>
      </c>
      <c r="T116">
        <v>9.17</v>
      </c>
      <c r="U116">
        <v>0.72</v>
      </c>
      <c r="V116">
        <v>14</v>
      </c>
      <c r="W116">
        <v>0</v>
      </c>
      <c r="X116">
        <v>4</v>
      </c>
      <c r="Y116">
        <v>0</v>
      </c>
      <c r="Z116">
        <v>0</v>
      </c>
      <c r="AA116" t="s">
        <v>114</v>
      </c>
      <c r="AB116">
        <v>9.77</v>
      </c>
      <c r="AC116">
        <v>0.1</v>
      </c>
      <c r="AD116">
        <v>0.05</v>
      </c>
      <c r="AE116">
        <v>0</v>
      </c>
      <c r="AF116" t="s">
        <v>1605</v>
      </c>
      <c r="AG116" t="s">
        <v>1601</v>
      </c>
      <c r="AH116">
        <v>0.7</v>
      </c>
    </row>
    <row r="117" spans="1:34" x14ac:dyDescent="0.25">
      <c r="A117" s="2">
        <v>45677</v>
      </c>
      <c r="B117" t="s">
        <v>1935</v>
      </c>
      <c r="C117" t="s">
        <v>1936</v>
      </c>
      <c r="D117">
        <v>34</v>
      </c>
      <c r="E117">
        <v>1</v>
      </c>
      <c r="F117">
        <v>3.8461538461538464E-2</v>
      </c>
      <c r="G117">
        <v>27</v>
      </c>
      <c r="H117">
        <v>0.51</v>
      </c>
      <c r="I117">
        <v>26.49</v>
      </c>
      <c r="J117">
        <v>445.17</v>
      </c>
      <c r="K117">
        <v>18</v>
      </c>
      <c r="L117">
        <v>6</v>
      </c>
      <c r="M117" t="s">
        <v>1937</v>
      </c>
      <c r="N117">
        <v>8</v>
      </c>
      <c r="O117">
        <v>26</v>
      </c>
      <c r="P117">
        <v>23.72</v>
      </c>
      <c r="Q117">
        <v>0</v>
      </c>
      <c r="R117">
        <v>2.78</v>
      </c>
      <c r="S117">
        <v>0.79</v>
      </c>
      <c r="T117">
        <v>0.79</v>
      </c>
      <c r="U117">
        <v>1.26</v>
      </c>
      <c r="V117">
        <v>52</v>
      </c>
      <c r="W117">
        <v>0</v>
      </c>
      <c r="X117">
        <v>2</v>
      </c>
      <c r="Y117">
        <v>26.49</v>
      </c>
      <c r="Z117">
        <v>0</v>
      </c>
      <c r="AA117" t="s">
        <v>115</v>
      </c>
      <c r="AB117">
        <v>0</v>
      </c>
      <c r="AC117">
        <v>0.1</v>
      </c>
      <c r="AD117">
        <v>0.05</v>
      </c>
      <c r="AE117">
        <v>26.49</v>
      </c>
      <c r="AF117" t="s">
        <v>1605</v>
      </c>
      <c r="AG117" t="s">
        <v>1601</v>
      </c>
      <c r="AH117">
        <v>0.7</v>
      </c>
    </row>
    <row r="118" spans="1:34" x14ac:dyDescent="0.25">
      <c r="A118" s="2">
        <v>45670</v>
      </c>
      <c r="B118" t="s">
        <v>2020</v>
      </c>
      <c r="C118" t="s">
        <v>2021</v>
      </c>
      <c r="D118">
        <v>75</v>
      </c>
      <c r="E118">
        <v>1</v>
      </c>
      <c r="F118">
        <v>0</v>
      </c>
      <c r="G118">
        <v>48.19</v>
      </c>
      <c r="H118">
        <v>0.84</v>
      </c>
      <c r="I118">
        <v>47.349999999999994</v>
      </c>
      <c r="J118">
        <v>879.64</v>
      </c>
      <c r="K118">
        <v>40</v>
      </c>
      <c r="L118">
        <v>14.17</v>
      </c>
      <c r="M118" t="s">
        <v>2022</v>
      </c>
      <c r="N118">
        <v>2</v>
      </c>
      <c r="O118">
        <v>73</v>
      </c>
      <c r="P118">
        <v>35.479999999999997</v>
      </c>
      <c r="Q118">
        <v>0</v>
      </c>
      <c r="R118">
        <v>11.87</v>
      </c>
      <c r="S118">
        <v>13.6</v>
      </c>
      <c r="T118">
        <v>9.0500000000000007</v>
      </c>
      <c r="U118">
        <v>1.56</v>
      </c>
      <c r="V118">
        <v>79</v>
      </c>
      <c r="W118">
        <v>0</v>
      </c>
      <c r="X118">
        <v>0</v>
      </c>
      <c r="Y118">
        <v>47.349999999999994</v>
      </c>
      <c r="Z118">
        <v>0</v>
      </c>
      <c r="AA118" t="s">
        <v>114</v>
      </c>
      <c r="AB118">
        <v>0</v>
      </c>
      <c r="AC118">
        <v>0.1</v>
      </c>
      <c r="AD118">
        <v>0.05</v>
      </c>
      <c r="AE118">
        <v>47.349999999999994</v>
      </c>
      <c r="AF118" t="s">
        <v>1962</v>
      </c>
      <c r="AG118" t="s">
        <v>1601</v>
      </c>
      <c r="AH118">
        <v>0.7</v>
      </c>
    </row>
    <row r="119" spans="1:34" x14ac:dyDescent="0.25">
      <c r="A119" s="2">
        <v>45677</v>
      </c>
      <c r="B119" t="s">
        <v>2020</v>
      </c>
      <c r="C119" t="s">
        <v>2021</v>
      </c>
      <c r="D119">
        <v>68</v>
      </c>
      <c r="E119">
        <v>0.92</v>
      </c>
      <c r="F119">
        <v>4.3478260869565216E-2</v>
      </c>
      <c r="G119">
        <v>46.57</v>
      </c>
      <c r="H119">
        <v>7.0000000000000007E-2</v>
      </c>
      <c r="I119">
        <v>46.5</v>
      </c>
      <c r="J119">
        <v>916.48</v>
      </c>
      <c r="K119">
        <v>63.45</v>
      </c>
      <c r="L119">
        <v>7.05</v>
      </c>
      <c r="M119" t="s">
        <v>2022</v>
      </c>
      <c r="N119">
        <v>3</v>
      </c>
      <c r="O119">
        <v>65</v>
      </c>
      <c r="P119">
        <v>37.89</v>
      </c>
      <c r="Q119">
        <v>6</v>
      </c>
      <c r="R119">
        <v>8.61</v>
      </c>
      <c r="S119">
        <v>13.5</v>
      </c>
      <c r="T119">
        <v>10.18</v>
      </c>
      <c r="U119">
        <v>1.46</v>
      </c>
      <c r="V119">
        <v>69</v>
      </c>
      <c r="W119">
        <v>0</v>
      </c>
      <c r="X119">
        <v>3</v>
      </c>
      <c r="Y119">
        <v>0</v>
      </c>
      <c r="Z119">
        <v>46.5</v>
      </c>
      <c r="AA119" t="s">
        <v>115</v>
      </c>
      <c r="AB119">
        <v>0</v>
      </c>
      <c r="AC119">
        <v>0.1</v>
      </c>
      <c r="AD119">
        <v>0.05</v>
      </c>
      <c r="AE119">
        <v>46.5</v>
      </c>
      <c r="AF119" t="s">
        <v>1962</v>
      </c>
      <c r="AG119" t="s">
        <v>1601</v>
      </c>
      <c r="AH119">
        <v>0.7</v>
      </c>
    </row>
    <row r="120" spans="1:34" x14ac:dyDescent="0.25">
      <c r="A120" s="2">
        <v>45670</v>
      </c>
      <c r="B120" t="s">
        <v>1905</v>
      </c>
      <c r="C120" t="s">
        <v>1884</v>
      </c>
      <c r="D120">
        <v>27</v>
      </c>
      <c r="E120">
        <v>1</v>
      </c>
      <c r="F120">
        <v>2.7777777777777776E-2</v>
      </c>
      <c r="G120">
        <v>21.26</v>
      </c>
      <c r="H120">
        <v>0</v>
      </c>
      <c r="I120">
        <v>21.26</v>
      </c>
      <c r="J120">
        <v>282.70999999999998</v>
      </c>
      <c r="K120">
        <v>9</v>
      </c>
      <c r="L120">
        <v>0</v>
      </c>
      <c r="M120" t="s">
        <v>1939</v>
      </c>
      <c r="N120">
        <v>5</v>
      </c>
      <c r="O120">
        <v>22</v>
      </c>
      <c r="P120">
        <v>15.39</v>
      </c>
      <c r="Q120">
        <v>0</v>
      </c>
      <c r="R120">
        <v>5.86</v>
      </c>
      <c r="S120">
        <v>13.18</v>
      </c>
      <c r="T120">
        <v>10.76</v>
      </c>
      <c r="U120">
        <v>1.27</v>
      </c>
      <c r="V120">
        <v>36</v>
      </c>
      <c r="W120">
        <v>0</v>
      </c>
      <c r="X120">
        <v>1</v>
      </c>
      <c r="Y120">
        <v>21.26</v>
      </c>
      <c r="Z120">
        <v>0</v>
      </c>
      <c r="AA120" t="s">
        <v>114</v>
      </c>
      <c r="AB120">
        <v>0</v>
      </c>
      <c r="AC120">
        <v>0.1</v>
      </c>
      <c r="AD120">
        <v>0.05</v>
      </c>
      <c r="AE120">
        <v>21.26</v>
      </c>
      <c r="AF120" t="s">
        <v>1779</v>
      </c>
      <c r="AG120" t="s">
        <v>1788</v>
      </c>
      <c r="AH120">
        <v>0.7</v>
      </c>
    </row>
    <row r="121" spans="1:34" x14ac:dyDescent="0.25">
      <c r="A121" s="2">
        <v>45677</v>
      </c>
      <c r="B121" t="s">
        <v>1905</v>
      </c>
      <c r="C121" t="s">
        <v>1884</v>
      </c>
      <c r="D121">
        <v>44</v>
      </c>
      <c r="E121">
        <v>1</v>
      </c>
      <c r="F121">
        <v>0</v>
      </c>
      <c r="G121">
        <v>40.18</v>
      </c>
      <c r="H121">
        <v>0.11</v>
      </c>
      <c r="I121">
        <v>40.07</v>
      </c>
      <c r="J121">
        <v>549.86</v>
      </c>
      <c r="K121">
        <v>42.54</v>
      </c>
      <c r="L121">
        <v>0</v>
      </c>
      <c r="M121" t="s">
        <v>1939</v>
      </c>
      <c r="N121">
        <v>11</v>
      </c>
      <c r="O121">
        <v>33</v>
      </c>
      <c r="P121">
        <v>26.72</v>
      </c>
      <c r="Q121">
        <v>0</v>
      </c>
      <c r="R121">
        <v>13.34</v>
      </c>
      <c r="S121">
        <v>13.95</v>
      </c>
      <c r="T121">
        <v>10.36</v>
      </c>
      <c r="U121">
        <v>1.1000000000000001</v>
      </c>
      <c r="V121">
        <v>49</v>
      </c>
      <c r="W121">
        <v>0</v>
      </c>
      <c r="X121">
        <v>0</v>
      </c>
      <c r="Y121">
        <v>40.07</v>
      </c>
      <c r="Z121">
        <v>0</v>
      </c>
      <c r="AA121" t="s">
        <v>115</v>
      </c>
      <c r="AB121">
        <v>0</v>
      </c>
      <c r="AC121">
        <v>0.1</v>
      </c>
      <c r="AD121">
        <v>0.05</v>
      </c>
      <c r="AE121">
        <v>40.07</v>
      </c>
      <c r="AF121" t="s">
        <v>1779</v>
      </c>
      <c r="AG121" t="s">
        <v>1788</v>
      </c>
      <c r="AH121">
        <v>0.7</v>
      </c>
    </row>
    <row r="122" spans="1:34" x14ac:dyDescent="0.25">
      <c r="A122" s="2">
        <v>45670</v>
      </c>
      <c r="B122" t="s">
        <v>1940</v>
      </c>
      <c r="C122" t="s">
        <v>1941</v>
      </c>
      <c r="D122">
        <v>46</v>
      </c>
      <c r="E122">
        <v>0.96226415094339623</v>
      </c>
      <c r="F122">
        <v>3.9215686274509803E-2</v>
      </c>
      <c r="G122">
        <v>50.16</v>
      </c>
      <c r="H122">
        <v>0.01</v>
      </c>
      <c r="I122">
        <v>50.15</v>
      </c>
      <c r="J122">
        <v>504.29</v>
      </c>
      <c r="K122">
        <v>99</v>
      </c>
      <c r="L122">
        <v>0</v>
      </c>
      <c r="M122" t="s">
        <v>1942</v>
      </c>
      <c r="N122">
        <v>15</v>
      </c>
      <c r="O122">
        <v>31</v>
      </c>
      <c r="P122">
        <v>24.69</v>
      </c>
      <c r="Q122">
        <v>1</v>
      </c>
      <c r="R122">
        <v>25.46</v>
      </c>
      <c r="S122">
        <v>37.21</v>
      </c>
      <c r="T122">
        <v>21.37</v>
      </c>
      <c r="U122">
        <v>0.92</v>
      </c>
      <c r="V122">
        <v>51</v>
      </c>
      <c r="W122">
        <v>1</v>
      </c>
      <c r="X122">
        <v>2</v>
      </c>
      <c r="Y122">
        <v>50.15</v>
      </c>
      <c r="Z122">
        <v>0</v>
      </c>
      <c r="AA122" t="s">
        <v>114</v>
      </c>
      <c r="AB122">
        <v>0</v>
      </c>
      <c r="AC122">
        <v>0.1</v>
      </c>
      <c r="AD122">
        <v>0.05</v>
      </c>
      <c r="AE122">
        <v>50.15</v>
      </c>
      <c r="AF122" t="s">
        <v>1741</v>
      </c>
      <c r="AG122" t="s">
        <v>1815</v>
      </c>
      <c r="AH122">
        <v>0.7</v>
      </c>
    </row>
    <row r="123" spans="1:34" x14ac:dyDescent="0.25">
      <c r="A123" s="2">
        <v>45677</v>
      </c>
      <c r="B123" t="s">
        <v>1940</v>
      </c>
      <c r="C123" t="s">
        <v>1941</v>
      </c>
      <c r="D123">
        <v>63</v>
      </c>
      <c r="E123">
        <v>1</v>
      </c>
      <c r="F123">
        <v>0</v>
      </c>
      <c r="G123">
        <v>50.17</v>
      </c>
      <c r="H123">
        <v>0.01</v>
      </c>
      <c r="I123">
        <v>50.160000000000004</v>
      </c>
      <c r="J123">
        <v>623.91</v>
      </c>
      <c r="K123">
        <v>21</v>
      </c>
      <c r="L123">
        <v>0</v>
      </c>
      <c r="M123" t="s">
        <v>1942</v>
      </c>
      <c r="N123">
        <v>14</v>
      </c>
      <c r="O123">
        <v>49</v>
      </c>
      <c r="P123">
        <v>28.26</v>
      </c>
      <c r="Q123">
        <v>0</v>
      </c>
      <c r="R123">
        <v>21.9</v>
      </c>
      <c r="S123">
        <v>35.770000000000003</v>
      </c>
      <c r="T123">
        <v>24.25</v>
      </c>
      <c r="U123">
        <v>1.26</v>
      </c>
      <c r="V123">
        <v>58</v>
      </c>
      <c r="W123">
        <v>0</v>
      </c>
      <c r="X123">
        <v>0</v>
      </c>
      <c r="Y123">
        <v>50.160000000000004</v>
      </c>
      <c r="Z123">
        <v>0</v>
      </c>
      <c r="AA123" t="s">
        <v>115</v>
      </c>
      <c r="AB123">
        <v>0</v>
      </c>
      <c r="AC123">
        <v>0.1</v>
      </c>
      <c r="AD123">
        <v>0.05</v>
      </c>
      <c r="AE123">
        <v>50.160000000000004</v>
      </c>
      <c r="AF123" t="s">
        <v>1741</v>
      </c>
      <c r="AG123" t="s">
        <v>1815</v>
      </c>
      <c r="AH123">
        <v>0.7</v>
      </c>
    </row>
    <row r="124" spans="1:34" x14ac:dyDescent="0.25">
      <c r="A124" s="2">
        <v>45670</v>
      </c>
      <c r="B124" t="s">
        <v>1943</v>
      </c>
      <c r="C124" t="s">
        <v>1944</v>
      </c>
      <c r="D124">
        <v>2</v>
      </c>
      <c r="E124">
        <v>1</v>
      </c>
      <c r="F124">
        <v>0.25</v>
      </c>
      <c r="G124">
        <v>2.61</v>
      </c>
      <c r="H124">
        <v>0</v>
      </c>
      <c r="I124">
        <v>2.61</v>
      </c>
      <c r="J124">
        <v>29.59</v>
      </c>
      <c r="K124">
        <v>0</v>
      </c>
      <c r="L124">
        <v>0</v>
      </c>
      <c r="M124" t="s">
        <v>1945</v>
      </c>
      <c r="N124">
        <v>2</v>
      </c>
      <c r="O124">
        <v>0</v>
      </c>
      <c r="P124">
        <v>2.61</v>
      </c>
      <c r="Q124">
        <v>0</v>
      </c>
      <c r="R124">
        <v>0</v>
      </c>
      <c r="S124">
        <v>2.61</v>
      </c>
      <c r="T124">
        <v>2.61</v>
      </c>
      <c r="U124">
        <v>0.77</v>
      </c>
      <c r="V124">
        <v>4</v>
      </c>
      <c r="W124">
        <v>0</v>
      </c>
      <c r="X124">
        <v>1</v>
      </c>
      <c r="Y124">
        <v>0</v>
      </c>
      <c r="Z124">
        <v>0</v>
      </c>
      <c r="AA124" t="s">
        <v>114</v>
      </c>
      <c r="AB124">
        <v>2.61</v>
      </c>
      <c r="AC124">
        <v>0.1</v>
      </c>
      <c r="AD124">
        <v>0.05</v>
      </c>
      <c r="AE124">
        <v>0</v>
      </c>
      <c r="AF124" t="s">
        <v>1806</v>
      </c>
      <c r="AG124" t="s">
        <v>1599</v>
      </c>
      <c r="AH124">
        <v>0.7</v>
      </c>
    </row>
    <row r="125" spans="1:34" x14ac:dyDescent="0.25">
      <c r="A125" s="2">
        <v>45677</v>
      </c>
      <c r="B125" t="s">
        <v>1991</v>
      </c>
      <c r="C125" t="s">
        <v>1992</v>
      </c>
      <c r="D125">
        <v>77</v>
      </c>
      <c r="E125">
        <v>1</v>
      </c>
      <c r="F125">
        <v>1.1494252873563218E-2</v>
      </c>
      <c r="G125">
        <v>50.35</v>
      </c>
      <c r="H125">
        <v>0.13</v>
      </c>
      <c r="I125">
        <v>50.22</v>
      </c>
      <c r="J125">
        <v>812.98</v>
      </c>
      <c r="K125">
        <v>43.68</v>
      </c>
      <c r="L125">
        <v>0</v>
      </c>
      <c r="M125" t="s">
        <v>1855</v>
      </c>
      <c r="N125">
        <v>15</v>
      </c>
      <c r="O125">
        <v>62</v>
      </c>
      <c r="P125">
        <v>36.880000000000003</v>
      </c>
      <c r="Q125">
        <v>0</v>
      </c>
      <c r="R125">
        <v>13.34</v>
      </c>
      <c r="S125">
        <v>15.57</v>
      </c>
      <c r="T125">
        <v>14.1</v>
      </c>
      <c r="U125">
        <v>1.53</v>
      </c>
      <c r="V125">
        <v>87</v>
      </c>
      <c r="W125">
        <v>0</v>
      </c>
      <c r="X125">
        <v>1</v>
      </c>
      <c r="Y125">
        <v>50.22</v>
      </c>
      <c r="Z125">
        <v>0</v>
      </c>
      <c r="AA125" t="s">
        <v>115</v>
      </c>
      <c r="AB125">
        <v>0</v>
      </c>
      <c r="AC125">
        <v>0.1</v>
      </c>
      <c r="AD125">
        <v>0.05</v>
      </c>
      <c r="AE125">
        <v>50.22</v>
      </c>
      <c r="AF125" t="s">
        <v>1693</v>
      </c>
      <c r="AG125" t="s">
        <v>1745</v>
      </c>
      <c r="AH125">
        <v>0.7</v>
      </c>
    </row>
    <row r="126" spans="1:34" x14ac:dyDescent="0.25">
      <c r="A126" s="2">
        <v>45670</v>
      </c>
      <c r="B126" t="s">
        <v>2160</v>
      </c>
      <c r="C126" t="s">
        <v>1918</v>
      </c>
      <c r="D126">
        <v>11</v>
      </c>
      <c r="E126">
        <v>1</v>
      </c>
      <c r="F126">
        <v>0</v>
      </c>
      <c r="G126">
        <v>9.0299999999999994</v>
      </c>
      <c r="H126">
        <v>0</v>
      </c>
      <c r="I126">
        <v>9.0299999999999994</v>
      </c>
      <c r="J126">
        <v>134.09</v>
      </c>
      <c r="K126">
        <v>0</v>
      </c>
      <c r="L126">
        <v>0</v>
      </c>
      <c r="M126" t="s">
        <v>2161</v>
      </c>
      <c r="N126">
        <v>2</v>
      </c>
      <c r="O126">
        <v>9</v>
      </c>
      <c r="P126">
        <v>6.62</v>
      </c>
      <c r="Q126">
        <v>0</v>
      </c>
      <c r="R126">
        <v>2.41</v>
      </c>
      <c r="S126">
        <v>0</v>
      </c>
      <c r="T126">
        <v>0</v>
      </c>
      <c r="U126">
        <v>1.22</v>
      </c>
      <c r="V126">
        <v>14</v>
      </c>
      <c r="W126">
        <v>0</v>
      </c>
      <c r="X126">
        <v>0</v>
      </c>
      <c r="Y126">
        <v>9.0299999999999994</v>
      </c>
      <c r="Z126">
        <v>0</v>
      </c>
      <c r="AA126" t="s">
        <v>114</v>
      </c>
      <c r="AB126">
        <v>0</v>
      </c>
      <c r="AC126">
        <v>0.1</v>
      </c>
      <c r="AD126">
        <v>0.05</v>
      </c>
      <c r="AE126">
        <v>9.0299999999999994</v>
      </c>
      <c r="AF126" t="s">
        <v>2014</v>
      </c>
      <c r="AG126" t="s">
        <v>1670</v>
      </c>
      <c r="AH126">
        <v>0.7</v>
      </c>
    </row>
    <row r="127" spans="1:34" x14ac:dyDescent="0.25">
      <c r="A127" s="2">
        <v>45677</v>
      </c>
      <c r="B127" t="s">
        <v>2160</v>
      </c>
      <c r="C127" t="s">
        <v>1918</v>
      </c>
      <c r="D127">
        <v>74</v>
      </c>
      <c r="E127">
        <v>0.99038461538461542</v>
      </c>
      <c r="F127">
        <v>0</v>
      </c>
      <c r="G127">
        <v>50.22</v>
      </c>
      <c r="H127">
        <v>0.28999999999999998</v>
      </c>
      <c r="I127">
        <v>49.93</v>
      </c>
      <c r="J127">
        <v>726</v>
      </c>
      <c r="K127">
        <v>28</v>
      </c>
      <c r="L127">
        <v>4</v>
      </c>
      <c r="M127" t="s">
        <v>2161</v>
      </c>
      <c r="N127">
        <v>9</v>
      </c>
      <c r="O127">
        <v>65</v>
      </c>
      <c r="P127">
        <v>38.549999999999997</v>
      </c>
      <c r="Q127">
        <v>1</v>
      </c>
      <c r="R127">
        <v>11.39</v>
      </c>
      <c r="S127">
        <v>12.93</v>
      </c>
      <c r="T127">
        <v>11.36</v>
      </c>
      <c r="U127">
        <v>1.47</v>
      </c>
      <c r="V127">
        <v>103</v>
      </c>
      <c r="W127">
        <v>0</v>
      </c>
      <c r="X127">
        <v>0</v>
      </c>
      <c r="Y127">
        <v>49.93</v>
      </c>
      <c r="Z127">
        <v>0</v>
      </c>
      <c r="AA127" t="s">
        <v>115</v>
      </c>
      <c r="AB127">
        <v>0</v>
      </c>
      <c r="AC127">
        <v>0.1</v>
      </c>
      <c r="AD127">
        <v>0.05</v>
      </c>
      <c r="AE127">
        <v>49.93</v>
      </c>
      <c r="AF127" t="s">
        <v>2014</v>
      </c>
      <c r="AG127" t="s">
        <v>1670</v>
      </c>
      <c r="AH127">
        <v>0.7</v>
      </c>
    </row>
    <row r="128" spans="1:34" x14ac:dyDescent="0.25">
      <c r="A128" s="2">
        <v>45670</v>
      </c>
      <c r="B128" t="s">
        <v>2030</v>
      </c>
      <c r="C128" t="s">
        <v>2031</v>
      </c>
      <c r="D128">
        <v>58</v>
      </c>
      <c r="E128">
        <v>1</v>
      </c>
      <c r="F128">
        <v>1.5384615384615385E-2</v>
      </c>
      <c r="G128">
        <v>31.61</v>
      </c>
      <c r="H128">
        <v>0</v>
      </c>
      <c r="I128">
        <v>31.61</v>
      </c>
      <c r="J128">
        <v>616.05999999999995</v>
      </c>
      <c r="K128">
        <v>27</v>
      </c>
      <c r="L128">
        <v>4.46</v>
      </c>
      <c r="M128" t="s">
        <v>2032</v>
      </c>
      <c r="N128">
        <v>16</v>
      </c>
      <c r="O128">
        <v>42</v>
      </c>
      <c r="P128">
        <v>28.33</v>
      </c>
      <c r="Q128">
        <v>0</v>
      </c>
      <c r="R128">
        <v>3.28</v>
      </c>
      <c r="S128">
        <v>21.23</v>
      </c>
      <c r="T128">
        <v>19.66</v>
      </c>
      <c r="U128">
        <v>1.83</v>
      </c>
      <c r="V128">
        <v>65</v>
      </c>
      <c r="W128">
        <v>0</v>
      </c>
      <c r="X128">
        <v>1</v>
      </c>
      <c r="Y128">
        <v>31.61</v>
      </c>
      <c r="Z128">
        <v>0</v>
      </c>
      <c r="AA128" t="s">
        <v>114</v>
      </c>
      <c r="AB128">
        <v>0</v>
      </c>
      <c r="AC128">
        <v>0.1</v>
      </c>
      <c r="AD128">
        <v>0.05</v>
      </c>
      <c r="AE128">
        <v>31.61</v>
      </c>
      <c r="AF128" t="s">
        <v>2016</v>
      </c>
      <c r="AG128" t="s">
        <v>1601</v>
      </c>
      <c r="AH128">
        <v>0.7</v>
      </c>
    </row>
    <row r="129" spans="1:34" x14ac:dyDescent="0.25">
      <c r="A129" s="2">
        <v>45677</v>
      </c>
      <c r="B129" t="s">
        <v>2030</v>
      </c>
      <c r="C129" t="s">
        <v>2031</v>
      </c>
      <c r="D129">
        <v>68</v>
      </c>
      <c r="E129">
        <v>1</v>
      </c>
      <c r="F129">
        <v>3.7037037037037035E-2</v>
      </c>
      <c r="G129">
        <v>39.33</v>
      </c>
      <c r="H129">
        <v>0.23</v>
      </c>
      <c r="I129">
        <v>39.1</v>
      </c>
      <c r="J129">
        <v>854.38</v>
      </c>
      <c r="K129">
        <v>92.99</v>
      </c>
      <c r="L129">
        <v>7.5</v>
      </c>
      <c r="M129" t="s">
        <v>2032</v>
      </c>
      <c r="N129">
        <v>23</v>
      </c>
      <c r="O129">
        <v>45</v>
      </c>
      <c r="P129">
        <v>37.86</v>
      </c>
      <c r="Q129">
        <v>0</v>
      </c>
      <c r="R129">
        <v>1.24</v>
      </c>
      <c r="S129">
        <v>25.51</v>
      </c>
      <c r="T129">
        <v>24.6</v>
      </c>
      <c r="U129">
        <v>1.73</v>
      </c>
      <c r="V129">
        <v>81</v>
      </c>
      <c r="W129">
        <v>0</v>
      </c>
      <c r="X129">
        <v>3</v>
      </c>
      <c r="Y129">
        <v>39.1</v>
      </c>
      <c r="Z129">
        <v>0</v>
      </c>
      <c r="AA129" t="s">
        <v>115</v>
      </c>
      <c r="AB129">
        <v>0</v>
      </c>
      <c r="AC129">
        <v>0.1</v>
      </c>
      <c r="AD129">
        <v>0.05</v>
      </c>
      <c r="AE129">
        <v>39.1</v>
      </c>
      <c r="AF129" t="s">
        <v>2016</v>
      </c>
      <c r="AG129" t="s">
        <v>1601</v>
      </c>
      <c r="AH129">
        <v>0.7</v>
      </c>
    </row>
    <row r="130" spans="1:34" x14ac:dyDescent="0.25">
      <c r="A130" s="2">
        <v>45677</v>
      </c>
      <c r="B130" t="s">
        <v>2162</v>
      </c>
      <c r="C130" t="s">
        <v>1875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2163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 t="s">
        <v>115</v>
      </c>
      <c r="AB130">
        <v>0</v>
      </c>
      <c r="AC130">
        <v>0.1</v>
      </c>
      <c r="AD130">
        <v>0.05</v>
      </c>
      <c r="AE130">
        <v>0</v>
      </c>
      <c r="AF130" t="s">
        <v>2039</v>
      </c>
      <c r="AG130" t="s">
        <v>1788</v>
      </c>
      <c r="AH130">
        <v>0.7</v>
      </c>
    </row>
    <row r="131" spans="1:34" x14ac:dyDescent="0.25">
      <c r="A131" s="2">
        <v>45670</v>
      </c>
      <c r="B131" t="s">
        <v>2057</v>
      </c>
      <c r="C131" t="s">
        <v>1856</v>
      </c>
      <c r="D131">
        <v>82</v>
      </c>
      <c r="E131">
        <v>1</v>
      </c>
      <c r="F131">
        <v>0</v>
      </c>
      <c r="G131">
        <v>44.64</v>
      </c>
      <c r="H131">
        <v>0.01</v>
      </c>
      <c r="I131">
        <v>44.63</v>
      </c>
      <c r="J131">
        <v>845.9</v>
      </c>
      <c r="K131">
        <v>52.88</v>
      </c>
      <c r="L131">
        <v>0</v>
      </c>
      <c r="M131" t="s">
        <v>2058</v>
      </c>
      <c r="N131">
        <v>32</v>
      </c>
      <c r="O131">
        <v>50</v>
      </c>
      <c r="P131">
        <v>43.33</v>
      </c>
      <c r="Q131">
        <v>0</v>
      </c>
      <c r="R131">
        <v>1.31</v>
      </c>
      <c r="S131">
        <v>26.65</v>
      </c>
      <c r="T131">
        <v>26.37</v>
      </c>
      <c r="U131">
        <v>1.84</v>
      </c>
      <c r="V131">
        <v>96</v>
      </c>
      <c r="W131">
        <v>0</v>
      </c>
      <c r="X131">
        <v>0</v>
      </c>
      <c r="Y131">
        <v>44.63</v>
      </c>
      <c r="Z131">
        <v>0</v>
      </c>
      <c r="AA131" t="s">
        <v>114</v>
      </c>
      <c r="AB131">
        <v>0</v>
      </c>
      <c r="AC131">
        <v>0.1</v>
      </c>
      <c r="AD131">
        <v>0.05</v>
      </c>
      <c r="AE131">
        <v>44.63</v>
      </c>
      <c r="AF131" t="s">
        <v>2040</v>
      </c>
      <c r="AG131" t="s">
        <v>1599</v>
      </c>
      <c r="AH131">
        <v>0.7</v>
      </c>
    </row>
    <row r="132" spans="1:34" x14ac:dyDescent="0.25">
      <c r="A132" s="2">
        <v>45677</v>
      </c>
      <c r="B132" t="s">
        <v>2057</v>
      </c>
      <c r="C132" t="s">
        <v>1856</v>
      </c>
      <c r="D132">
        <v>79</v>
      </c>
      <c r="E132">
        <v>0.98989898989898994</v>
      </c>
      <c r="F132">
        <v>1.020408163265306E-2</v>
      </c>
      <c r="G132">
        <v>46.54</v>
      </c>
      <c r="H132">
        <v>0</v>
      </c>
      <c r="I132">
        <v>46.54</v>
      </c>
      <c r="J132">
        <v>986.83</v>
      </c>
      <c r="K132">
        <v>60.36</v>
      </c>
      <c r="L132">
        <v>0</v>
      </c>
      <c r="M132" t="s">
        <v>2058</v>
      </c>
      <c r="N132">
        <v>25</v>
      </c>
      <c r="O132">
        <v>54</v>
      </c>
      <c r="P132">
        <v>45.64</v>
      </c>
      <c r="Q132">
        <v>1</v>
      </c>
      <c r="R132">
        <v>0.89</v>
      </c>
      <c r="S132">
        <v>26.74</v>
      </c>
      <c r="T132">
        <v>26.34</v>
      </c>
      <c r="U132">
        <v>1.7</v>
      </c>
      <c r="V132">
        <v>98</v>
      </c>
      <c r="W132">
        <v>0</v>
      </c>
      <c r="X132">
        <v>1</v>
      </c>
      <c r="Y132">
        <v>46.54</v>
      </c>
      <c r="Z132">
        <v>0</v>
      </c>
      <c r="AA132" t="s">
        <v>115</v>
      </c>
      <c r="AB132">
        <v>0</v>
      </c>
      <c r="AC132">
        <v>0.1</v>
      </c>
      <c r="AD132">
        <v>0.05</v>
      </c>
      <c r="AE132">
        <v>46.54</v>
      </c>
      <c r="AF132" t="s">
        <v>2040</v>
      </c>
      <c r="AG132" t="s">
        <v>1599</v>
      </c>
      <c r="AH132">
        <v>0.7</v>
      </c>
    </row>
    <row r="133" spans="1:34" x14ac:dyDescent="0.25">
      <c r="A133" s="2">
        <v>45670</v>
      </c>
      <c r="B133" t="s">
        <v>2059</v>
      </c>
      <c r="C133" t="s">
        <v>2060</v>
      </c>
      <c r="D133">
        <v>82</v>
      </c>
      <c r="E133">
        <v>0.88461538461538458</v>
      </c>
      <c r="F133">
        <v>0</v>
      </c>
      <c r="G133">
        <v>50.02</v>
      </c>
      <c r="H133">
        <v>0.1</v>
      </c>
      <c r="I133">
        <v>49.92</v>
      </c>
      <c r="J133">
        <v>852.17</v>
      </c>
      <c r="K133">
        <v>12</v>
      </c>
      <c r="L133">
        <v>0</v>
      </c>
      <c r="M133" t="s">
        <v>2061</v>
      </c>
      <c r="N133">
        <v>13</v>
      </c>
      <c r="O133">
        <v>69</v>
      </c>
      <c r="P133">
        <v>37.299999999999997</v>
      </c>
      <c r="Q133">
        <v>5</v>
      </c>
      <c r="R133">
        <v>12.61</v>
      </c>
      <c r="S133">
        <v>17.72</v>
      </c>
      <c r="T133">
        <v>15.97</v>
      </c>
      <c r="U133">
        <v>1.64</v>
      </c>
      <c r="V133">
        <v>92</v>
      </c>
      <c r="W133">
        <v>7</v>
      </c>
      <c r="X133">
        <v>0</v>
      </c>
      <c r="Y133">
        <v>0</v>
      </c>
      <c r="Z133">
        <v>0</v>
      </c>
      <c r="AA133" t="s">
        <v>114</v>
      </c>
      <c r="AB133">
        <v>49.92</v>
      </c>
      <c r="AC133">
        <v>0.1</v>
      </c>
      <c r="AD133">
        <v>0.05</v>
      </c>
      <c r="AE133">
        <v>0</v>
      </c>
      <c r="AF133" t="s">
        <v>2044</v>
      </c>
      <c r="AG133" t="s">
        <v>1814</v>
      </c>
      <c r="AH133">
        <v>0.7</v>
      </c>
    </row>
    <row r="134" spans="1:34" x14ac:dyDescent="0.25">
      <c r="A134" s="2">
        <v>45677</v>
      </c>
      <c r="B134" t="s">
        <v>2059</v>
      </c>
      <c r="C134" t="s">
        <v>2060</v>
      </c>
      <c r="D134">
        <v>86</v>
      </c>
      <c r="E134">
        <v>0.78448275862068961</v>
      </c>
      <c r="F134">
        <v>0</v>
      </c>
      <c r="G134">
        <v>54.34</v>
      </c>
      <c r="H134">
        <v>0</v>
      </c>
      <c r="I134">
        <v>54.34</v>
      </c>
      <c r="J134">
        <v>879.98</v>
      </c>
      <c r="K134">
        <v>44.69</v>
      </c>
      <c r="L134">
        <v>0</v>
      </c>
      <c r="M134" t="s">
        <v>2061</v>
      </c>
      <c r="N134">
        <v>11</v>
      </c>
      <c r="O134">
        <v>75</v>
      </c>
      <c r="P134">
        <v>42.26</v>
      </c>
      <c r="Q134">
        <v>0</v>
      </c>
      <c r="R134">
        <v>12.08</v>
      </c>
      <c r="S134">
        <v>18.12</v>
      </c>
      <c r="T134">
        <v>17.3</v>
      </c>
      <c r="U134">
        <v>1.58</v>
      </c>
      <c r="V134">
        <v>91</v>
      </c>
      <c r="W134">
        <v>25</v>
      </c>
      <c r="X134">
        <v>0</v>
      </c>
      <c r="Y134">
        <v>0</v>
      </c>
      <c r="Z134">
        <v>0</v>
      </c>
      <c r="AA134" t="s">
        <v>115</v>
      </c>
      <c r="AB134">
        <v>54.34</v>
      </c>
      <c r="AC134">
        <v>0.1</v>
      </c>
      <c r="AD134">
        <v>0.05</v>
      </c>
      <c r="AE134">
        <v>0</v>
      </c>
      <c r="AF134" t="s">
        <v>2044</v>
      </c>
      <c r="AG134" t="s">
        <v>1814</v>
      </c>
      <c r="AH134">
        <v>0.7</v>
      </c>
    </row>
    <row r="135" spans="1:34" x14ac:dyDescent="0.25">
      <c r="A135" s="2">
        <v>45670</v>
      </c>
      <c r="B135" t="s">
        <v>2062</v>
      </c>
      <c r="C135" t="s">
        <v>2063</v>
      </c>
      <c r="D135">
        <v>75</v>
      </c>
      <c r="E135">
        <v>0.93617021276595747</v>
      </c>
      <c r="F135">
        <v>3.4090909090909088E-2</v>
      </c>
      <c r="G135">
        <v>51.64</v>
      </c>
      <c r="H135">
        <v>0.01</v>
      </c>
      <c r="I135">
        <v>51.63</v>
      </c>
      <c r="J135">
        <v>960.33</v>
      </c>
      <c r="K135">
        <v>68.760000000000005</v>
      </c>
      <c r="L135">
        <v>17.59</v>
      </c>
      <c r="M135" t="s">
        <v>2064</v>
      </c>
      <c r="N135">
        <v>43</v>
      </c>
      <c r="O135">
        <v>32</v>
      </c>
      <c r="P135">
        <v>50</v>
      </c>
      <c r="Q135">
        <v>6</v>
      </c>
      <c r="R135">
        <v>1.64</v>
      </c>
      <c r="S135">
        <v>44.26</v>
      </c>
      <c r="T135">
        <v>43.38</v>
      </c>
      <c r="U135">
        <v>1.45</v>
      </c>
      <c r="V135">
        <v>88</v>
      </c>
      <c r="W135">
        <v>0</v>
      </c>
      <c r="X135">
        <v>3</v>
      </c>
      <c r="Y135">
        <v>0</v>
      </c>
      <c r="Z135">
        <v>0</v>
      </c>
      <c r="AA135" t="s">
        <v>114</v>
      </c>
      <c r="AB135">
        <v>51.63</v>
      </c>
      <c r="AC135">
        <v>0.1</v>
      </c>
      <c r="AD135">
        <v>0.05</v>
      </c>
      <c r="AE135">
        <v>0</v>
      </c>
      <c r="AF135" t="s">
        <v>2046</v>
      </c>
      <c r="AG135" t="s">
        <v>1600</v>
      </c>
      <c r="AH135">
        <v>0.7</v>
      </c>
    </row>
    <row r="136" spans="1:34" x14ac:dyDescent="0.25">
      <c r="A136" s="2">
        <v>45677</v>
      </c>
      <c r="B136" t="s">
        <v>2062</v>
      </c>
      <c r="C136" t="s">
        <v>2063</v>
      </c>
      <c r="D136">
        <v>78</v>
      </c>
      <c r="E136">
        <v>0.99019607843137258</v>
      </c>
      <c r="F136">
        <v>9.9009900990099015E-2</v>
      </c>
      <c r="G136">
        <v>44.58</v>
      </c>
      <c r="H136">
        <v>0</v>
      </c>
      <c r="I136">
        <v>44.58</v>
      </c>
      <c r="J136">
        <v>842.56</v>
      </c>
      <c r="K136">
        <v>78.08</v>
      </c>
      <c r="L136">
        <v>0</v>
      </c>
      <c r="M136" t="s">
        <v>2064</v>
      </c>
      <c r="N136">
        <v>36</v>
      </c>
      <c r="O136">
        <v>42</v>
      </c>
      <c r="P136">
        <v>43.86</v>
      </c>
      <c r="Q136">
        <v>1</v>
      </c>
      <c r="R136">
        <v>0.72</v>
      </c>
      <c r="S136">
        <v>43.78</v>
      </c>
      <c r="T136">
        <v>43.06</v>
      </c>
      <c r="U136">
        <v>1.75</v>
      </c>
      <c r="V136">
        <v>101</v>
      </c>
      <c r="W136">
        <v>0</v>
      </c>
      <c r="X136">
        <v>10</v>
      </c>
      <c r="Y136">
        <v>0</v>
      </c>
      <c r="Z136">
        <v>0</v>
      </c>
      <c r="AA136" t="s">
        <v>115</v>
      </c>
      <c r="AB136">
        <v>44.58</v>
      </c>
      <c r="AC136">
        <v>0.1</v>
      </c>
      <c r="AD136">
        <v>0.05</v>
      </c>
      <c r="AE136">
        <v>0</v>
      </c>
      <c r="AF136" t="s">
        <v>2046</v>
      </c>
      <c r="AG136" t="s">
        <v>1600</v>
      </c>
      <c r="AH136">
        <v>0.7</v>
      </c>
    </row>
    <row r="137" spans="1:34" x14ac:dyDescent="0.25">
      <c r="A137" s="2">
        <v>45670</v>
      </c>
      <c r="B137" t="s">
        <v>2065</v>
      </c>
      <c r="C137" t="s">
        <v>2066</v>
      </c>
      <c r="D137">
        <v>28</v>
      </c>
      <c r="E137">
        <v>1</v>
      </c>
      <c r="F137">
        <v>0.21052631578947367</v>
      </c>
      <c r="G137">
        <v>15.77</v>
      </c>
      <c r="H137">
        <v>0</v>
      </c>
      <c r="I137">
        <v>15.77</v>
      </c>
      <c r="J137">
        <v>262.55</v>
      </c>
      <c r="K137">
        <v>10</v>
      </c>
      <c r="L137">
        <v>0</v>
      </c>
      <c r="M137" t="s">
        <v>2067</v>
      </c>
      <c r="N137">
        <v>17</v>
      </c>
      <c r="O137">
        <v>11</v>
      </c>
      <c r="P137">
        <v>15.15</v>
      </c>
      <c r="Q137">
        <v>0</v>
      </c>
      <c r="R137">
        <v>0.62</v>
      </c>
      <c r="S137">
        <v>15.77</v>
      </c>
      <c r="T137">
        <v>15.15</v>
      </c>
      <c r="U137">
        <v>1.78</v>
      </c>
      <c r="V137">
        <v>38</v>
      </c>
      <c r="W137">
        <v>0</v>
      </c>
      <c r="X137">
        <v>8</v>
      </c>
      <c r="Y137">
        <v>0</v>
      </c>
      <c r="Z137">
        <v>0</v>
      </c>
      <c r="AA137" t="s">
        <v>114</v>
      </c>
      <c r="AB137">
        <v>15.77</v>
      </c>
      <c r="AC137">
        <v>0.1</v>
      </c>
      <c r="AD137">
        <v>0.05</v>
      </c>
      <c r="AE137">
        <v>0</v>
      </c>
      <c r="AF137" t="s">
        <v>2049</v>
      </c>
      <c r="AG137" t="s">
        <v>1599</v>
      </c>
      <c r="AH137">
        <v>0.7</v>
      </c>
    </row>
    <row r="138" spans="1:34" x14ac:dyDescent="0.25">
      <c r="A138" s="2">
        <v>45677</v>
      </c>
      <c r="B138" t="s">
        <v>2065</v>
      </c>
      <c r="C138" t="s">
        <v>2066</v>
      </c>
      <c r="D138">
        <v>26</v>
      </c>
      <c r="E138">
        <v>1</v>
      </c>
      <c r="F138">
        <v>0.3</v>
      </c>
      <c r="G138">
        <v>14.65</v>
      </c>
      <c r="H138">
        <v>0</v>
      </c>
      <c r="I138">
        <v>14.65</v>
      </c>
      <c r="J138">
        <v>289.68</v>
      </c>
      <c r="K138">
        <v>9</v>
      </c>
      <c r="L138">
        <v>0</v>
      </c>
      <c r="M138" t="s">
        <v>2067</v>
      </c>
      <c r="N138">
        <v>6</v>
      </c>
      <c r="O138">
        <v>20</v>
      </c>
      <c r="P138">
        <v>14.34</v>
      </c>
      <c r="Q138">
        <v>0</v>
      </c>
      <c r="R138">
        <v>0.32</v>
      </c>
      <c r="S138">
        <v>14.65</v>
      </c>
      <c r="T138">
        <v>14.34</v>
      </c>
      <c r="U138">
        <v>1.77</v>
      </c>
      <c r="V138">
        <v>40</v>
      </c>
      <c r="W138">
        <v>0</v>
      </c>
      <c r="X138">
        <v>12</v>
      </c>
      <c r="Y138">
        <v>0</v>
      </c>
      <c r="Z138">
        <v>0</v>
      </c>
      <c r="AA138" t="s">
        <v>115</v>
      </c>
      <c r="AB138">
        <v>14.65</v>
      </c>
      <c r="AC138">
        <v>0.1</v>
      </c>
      <c r="AD138">
        <v>0.05</v>
      </c>
      <c r="AE138">
        <v>0</v>
      </c>
      <c r="AF138" t="s">
        <v>2049</v>
      </c>
      <c r="AG138" t="s">
        <v>1599</v>
      </c>
      <c r="AH138">
        <v>0.7</v>
      </c>
    </row>
    <row r="139" spans="1:34" x14ac:dyDescent="0.25">
      <c r="A139" s="2">
        <v>45670</v>
      </c>
      <c r="B139" t="s">
        <v>2068</v>
      </c>
      <c r="C139" t="s">
        <v>1840</v>
      </c>
      <c r="D139">
        <v>116</v>
      </c>
      <c r="E139">
        <v>1</v>
      </c>
      <c r="F139">
        <v>0</v>
      </c>
      <c r="G139">
        <v>54.93</v>
      </c>
      <c r="H139">
        <v>0.23</v>
      </c>
      <c r="I139">
        <v>54.7</v>
      </c>
      <c r="J139">
        <v>1088.0999999999999</v>
      </c>
      <c r="K139">
        <v>53.7</v>
      </c>
      <c r="L139">
        <v>21.3</v>
      </c>
      <c r="M139" t="s">
        <v>2069</v>
      </c>
      <c r="N139">
        <v>6</v>
      </c>
      <c r="O139">
        <v>110</v>
      </c>
      <c r="P139">
        <v>48.13</v>
      </c>
      <c r="Q139">
        <v>0</v>
      </c>
      <c r="R139">
        <v>6.58</v>
      </c>
      <c r="S139">
        <v>9.19</v>
      </c>
      <c r="T139">
        <v>7.29</v>
      </c>
      <c r="U139">
        <v>2.11</v>
      </c>
      <c r="V139">
        <v>131</v>
      </c>
      <c r="W139">
        <v>0</v>
      </c>
      <c r="X139">
        <v>0</v>
      </c>
      <c r="Y139">
        <v>54.7</v>
      </c>
      <c r="Z139">
        <v>0</v>
      </c>
      <c r="AA139" t="s">
        <v>114</v>
      </c>
      <c r="AB139">
        <v>0</v>
      </c>
      <c r="AC139">
        <v>0.1</v>
      </c>
      <c r="AD139">
        <v>0.05</v>
      </c>
      <c r="AE139">
        <v>54.7</v>
      </c>
      <c r="AF139" t="s">
        <v>2050</v>
      </c>
      <c r="AG139" t="s">
        <v>1599</v>
      </c>
      <c r="AH139">
        <v>0.7</v>
      </c>
    </row>
    <row r="140" spans="1:34" x14ac:dyDescent="0.25">
      <c r="A140" s="2">
        <v>45677</v>
      </c>
      <c r="B140" t="s">
        <v>2068</v>
      </c>
      <c r="C140" t="s">
        <v>1840</v>
      </c>
      <c r="D140">
        <v>144</v>
      </c>
      <c r="E140">
        <v>0.93548387096774188</v>
      </c>
      <c r="F140">
        <v>0</v>
      </c>
      <c r="G140">
        <v>76.11</v>
      </c>
      <c r="H140">
        <v>0.89</v>
      </c>
      <c r="I140">
        <v>75.22</v>
      </c>
      <c r="J140">
        <v>1659.01</v>
      </c>
      <c r="K140">
        <v>108.37</v>
      </c>
      <c r="L140">
        <v>13.5</v>
      </c>
      <c r="M140" t="s">
        <v>2069</v>
      </c>
      <c r="N140">
        <v>10</v>
      </c>
      <c r="O140">
        <v>134</v>
      </c>
      <c r="P140">
        <v>68.400000000000006</v>
      </c>
      <c r="Q140">
        <v>0</v>
      </c>
      <c r="R140">
        <v>6.82</v>
      </c>
      <c r="S140">
        <v>12.61</v>
      </c>
      <c r="T140">
        <v>11.71</v>
      </c>
      <c r="U140">
        <v>1.89</v>
      </c>
      <c r="V140">
        <v>174</v>
      </c>
      <c r="W140">
        <v>12</v>
      </c>
      <c r="X140">
        <v>0</v>
      </c>
      <c r="Y140">
        <v>0</v>
      </c>
      <c r="Z140">
        <v>0</v>
      </c>
      <c r="AA140" t="s">
        <v>115</v>
      </c>
      <c r="AB140">
        <v>75.22</v>
      </c>
      <c r="AC140">
        <v>0.1</v>
      </c>
      <c r="AD140">
        <v>0.05</v>
      </c>
      <c r="AE140">
        <v>0</v>
      </c>
      <c r="AF140" t="s">
        <v>2050</v>
      </c>
      <c r="AG140" t="s">
        <v>1599</v>
      </c>
      <c r="AH140">
        <v>0.7</v>
      </c>
    </row>
    <row r="141" spans="1:34" x14ac:dyDescent="0.25">
      <c r="A141" s="2">
        <v>45670</v>
      </c>
      <c r="B141" t="s">
        <v>2070</v>
      </c>
      <c r="C141" t="s">
        <v>2071</v>
      </c>
      <c r="D141">
        <v>47</v>
      </c>
      <c r="E141">
        <v>0.80327868852459017</v>
      </c>
      <c r="F141">
        <v>0</v>
      </c>
      <c r="G141">
        <v>36.82</v>
      </c>
      <c r="H141">
        <v>0</v>
      </c>
      <c r="I141">
        <v>36.82</v>
      </c>
      <c r="J141">
        <v>569.22</v>
      </c>
      <c r="K141">
        <v>28.57</v>
      </c>
      <c r="L141">
        <v>6.81</v>
      </c>
      <c r="M141" t="s">
        <v>2072</v>
      </c>
      <c r="N141">
        <v>5</v>
      </c>
      <c r="O141">
        <v>42</v>
      </c>
      <c r="P141">
        <v>25.03</v>
      </c>
      <c r="Q141">
        <v>1</v>
      </c>
      <c r="R141">
        <v>11.79</v>
      </c>
      <c r="S141">
        <v>22.1</v>
      </c>
      <c r="T141">
        <v>16.010000000000002</v>
      </c>
      <c r="U141">
        <v>1.28</v>
      </c>
      <c r="V141">
        <v>49</v>
      </c>
      <c r="W141">
        <v>11</v>
      </c>
      <c r="X141">
        <v>0</v>
      </c>
      <c r="Y141">
        <v>0</v>
      </c>
      <c r="Z141">
        <v>0</v>
      </c>
      <c r="AA141" t="s">
        <v>114</v>
      </c>
      <c r="AB141">
        <v>36.82</v>
      </c>
      <c r="AC141">
        <v>0.1</v>
      </c>
      <c r="AD141">
        <v>0.05</v>
      </c>
      <c r="AE141">
        <v>0</v>
      </c>
      <c r="AF141" t="s">
        <v>2051</v>
      </c>
      <c r="AG141" t="s">
        <v>1746</v>
      </c>
      <c r="AH141">
        <v>0.7</v>
      </c>
    </row>
    <row r="142" spans="1:34" x14ac:dyDescent="0.25">
      <c r="A142" s="2">
        <v>45677</v>
      </c>
      <c r="B142" t="s">
        <v>2070</v>
      </c>
      <c r="C142" t="s">
        <v>2071</v>
      </c>
      <c r="D142">
        <v>7</v>
      </c>
      <c r="E142">
        <v>1</v>
      </c>
      <c r="F142">
        <v>0</v>
      </c>
      <c r="G142">
        <v>7.4</v>
      </c>
      <c r="H142">
        <v>0.01</v>
      </c>
      <c r="I142">
        <v>7.3900000000000006</v>
      </c>
      <c r="J142">
        <v>150.94999999999999</v>
      </c>
      <c r="K142">
        <v>16.05</v>
      </c>
      <c r="L142">
        <v>1.86</v>
      </c>
      <c r="M142" t="s">
        <v>2072</v>
      </c>
      <c r="N142">
        <v>2</v>
      </c>
      <c r="O142">
        <v>5</v>
      </c>
      <c r="P142">
        <v>5.72</v>
      </c>
      <c r="Q142">
        <v>0</v>
      </c>
      <c r="R142">
        <v>1.68</v>
      </c>
      <c r="S142">
        <v>7.4</v>
      </c>
      <c r="T142">
        <v>5.72</v>
      </c>
      <c r="U142">
        <v>0.95</v>
      </c>
      <c r="V142">
        <v>10</v>
      </c>
      <c r="W142">
        <v>0</v>
      </c>
      <c r="X142">
        <v>0</v>
      </c>
      <c r="Y142">
        <v>7.3900000000000006</v>
      </c>
      <c r="Z142">
        <v>0</v>
      </c>
      <c r="AA142" t="s">
        <v>115</v>
      </c>
      <c r="AB142">
        <v>0</v>
      </c>
      <c r="AC142">
        <v>0.1</v>
      </c>
      <c r="AD142">
        <v>0.05</v>
      </c>
      <c r="AE142">
        <v>7.3900000000000006</v>
      </c>
      <c r="AF142" t="s">
        <v>2051</v>
      </c>
      <c r="AG142" t="s">
        <v>1746</v>
      </c>
      <c r="AH142">
        <v>0.7</v>
      </c>
    </row>
    <row r="143" spans="1:34" x14ac:dyDescent="0.25">
      <c r="A143" s="2">
        <v>45670</v>
      </c>
      <c r="B143" t="s">
        <v>2073</v>
      </c>
      <c r="C143" t="s">
        <v>2074</v>
      </c>
      <c r="D143">
        <v>30</v>
      </c>
      <c r="E143">
        <v>1</v>
      </c>
      <c r="F143">
        <v>5.8823529411764705E-2</v>
      </c>
      <c r="G143">
        <v>16.93</v>
      </c>
      <c r="H143">
        <v>0.33</v>
      </c>
      <c r="I143">
        <v>16.600000000000001</v>
      </c>
      <c r="J143">
        <v>355.33</v>
      </c>
      <c r="K143">
        <v>20</v>
      </c>
      <c r="L143">
        <v>1.5</v>
      </c>
      <c r="M143" t="s">
        <v>2075</v>
      </c>
      <c r="N143">
        <v>7</v>
      </c>
      <c r="O143">
        <v>23</v>
      </c>
      <c r="P143">
        <v>15.8</v>
      </c>
      <c r="Q143">
        <v>0</v>
      </c>
      <c r="R143">
        <v>0.8</v>
      </c>
      <c r="S143">
        <v>6.56</v>
      </c>
      <c r="T143">
        <v>6.16</v>
      </c>
      <c r="U143">
        <v>1.77</v>
      </c>
      <c r="V143">
        <v>34</v>
      </c>
      <c r="W143">
        <v>0</v>
      </c>
      <c r="X143">
        <v>2</v>
      </c>
      <c r="Y143">
        <v>0</v>
      </c>
      <c r="Z143">
        <v>0</v>
      </c>
      <c r="AA143" t="s">
        <v>114</v>
      </c>
      <c r="AB143">
        <v>16.600000000000001</v>
      </c>
      <c r="AC143">
        <v>0.1</v>
      </c>
      <c r="AD143">
        <v>0.05</v>
      </c>
      <c r="AE143">
        <v>0</v>
      </c>
      <c r="AF143" t="s">
        <v>2052</v>
      </c>
      <c r="AG143" t="s">
        <v>1601</v>
      </c>
      <c r="AH143">
        <v>0.7</v>
      </c>
    </row>
    <row r="144" spans="1:34" x14ac:dyDescent="0.25">
      <c r="A144" s="2">
        <v>45677</v>
      </c>
      <c r="B144" t="s">
        <v>2073</v>
      </c>
      <c r="C144" t="s">
        <v>2074</v>
      </c>
      <c r="D144">
        <v>30</v>
      </c>
      <c r="E144">
        <v>1</v>
      </c>
      <c r="F144">
        <v>5.128205128205128E-2</v>
      </c>
      <c r="G144">
        <v>17.239999999999998</v>
      </c>
      <c r="H144">
        <v>0</v>
      </c>
      <c r="I144">
        <v>17.239999999999998</v>
      </c>
      <c r="J144">
        <v>337.44</v>
      </c>
      <c r="K144">
        <v>36</v>
      </c>
      <c r="L144">
        <v>0</v>
      </c>
      <c r="M144" t="s">
        <v>2075</v>
      </c>
      <c r="N144">
        <v>9</v>
      </c>
      <c r="O144">
        <v>21</v>
      </c>
      <c r="P144">
        <v>16.8</v>
      </c>
      <c r="Q144">
        <v>0</v>
      </c>
      <c r="R144">
        <v>0.45</v>
      </c>
      <c r="S144">
        <v>12.25</v>
      </c>
      <c r="T144">
        <v>11.83</v>
      </c>
      <c r="U144">
        <v>1.74</v>
      </c>
      <c r="V144">
        <v>39</v>
      </c>
      <c r="W144">
        <v>0</v>
      </c>
      <c r="X144">
        <v>2</v>
      </c>
      <c r="Y144">
        <v>0</v>
      </c>
      <c r="Z144">
        <v>0</v>
      </c>
      <c r="AA144" t="s">
        <v>115</v>
      </c>
      <c r="AB144">
        <v>17.239999999999998</v>
      </c>
      <c r="AC144">
        <v>0.1</v>
      </c>
      <c r="AD144">
        <v>0.05</v>
      </c>
      <c r="AE144">
        <v>0</v>
      </c>
      <c r="AF144" t="s">
        <v>2052</v>
      </c>
      <c r="AG144" t="s">
        <v>1601</v>
      </c>
      <c r="AH144">
        <v>0.7</v>
      </c>
    </row>
    <row r="145" spans="1:34" x14ac:dyDescent="0.25">
      <c r="A145" s="2">
        <v>45670</v>
      </c>
      <c r="B145" t="s">
        <v>2076</v>
      </c>
      <c r="C145" t="s">
        <v>2077</v>
      </c>
      <c r="D145">
        <v>76</v>
      </c>
      <c r="E145">
        <v>0.98765432098765427</v>
      </c>
      <c r="F145">
        <v>2.5000000000000001E-2</v>
      </c>
      <c r="G145">
        <v>51.34</v>
      </c>
      <c r="H145">
        <v>0.03</v>
      </c>
      <c r="I145">
        <v>51.31</v>
      </c>
      <c r="J145">
        <v>789.68</v>
      </c>
      <c r="K145">
        <v>62.51</v>
      </c>
      <c r="L145">
        <v>0</v>
      </c>
      <c r="M145" t="s">
        <v>2078</v>
      </c>
      <c r="N145">
        <v>29</v>
      </c>
      <c r="O145">
        <v>47</v>
      </c>
      <c r="P145">
        <v>42.96</v>
      </c>
      <c r="Q145">
        <v>1</v>
      </c>
      <c r="R145">
        <v>8.34</v>
      </c>
      <c r="S145">
        <v>29.12</v>
      </c>
      <c r="T145">
        <v>25.69</v>
      </c>
      <c r="U145">
        <v>1.48</v>
      </c>
      <c r="V145">
        <v>80</v>
      </c>
      <c r="W145">
        <v>0</v>
      </c>
      <c r="X145">
        <v>2</v>
      </c>
      <c r="Y145">
        <v>51.31</v>
      </c>
      <c r="Z145">
        <v>0</v>
      </c>
      <c r="AA145" t="s">
        <v>114</v>
      </c>
      <c r="AB145">
        <v>0</v>
      </c>
      <c r="AC145">
        <v>0.1</v>
      </c>
      <c r="AD145">
        <v>0.05</v>
      </c>
      <c r="AE145">
        <v>51.31</v>
      </c>
      <c r="AF145" t="s">
        <v>2053</v>
      </c>
      <c r="AG145" t="s">
        <v>1787</v>
      </c>
      <c r="AH145">
        <v>0.7</v>
      </c>
    </row>
    <row r="146" spans="1:34" x14ac:dyDescent="0.25">
      <c r="A146" s="2">
        <v>45677</v>
      </c>
      <c r="B146" t="s">
        <v>2076</v>
      </c>
      <c r="C146" t="s">
        <v>2077</v>
      </c>
      <c r="D146">
        <v>81</v>
      </c>
      <c r="E146">
        <v>0.97894736842105268</v>
      </c>
      <c r="F146">
        <v>3.2258064516129031E-2</v>
      </c>
      <c r="G146">
        <v>50.4</v>
      </c>
      <c r="H146">
        <v>0</v>
      </c>
      <c r="I146">
        <v>50.4</v>
      </c>
      <c r="J146">
        <v>958.3</v>
      </c>
      <c r="K146">
        <v>76.36</v>
      </c>
      <c r="L146">
        <v>9.3000000000000007</v>
      </c>
      <c r="M146" t="s">
        <v>2078</v>
      </c>
      <c r="N146">
        <v>21</v>
      </c>
      <c r="O146">
        <v>60</v>
      </c>
      <c r="P146">
        <v>40.69</v>
      </c>
      <c r="Q146">
        <v>0</v>
      </c>
      <c r="R146">
        <v>9.7100000000000009</v>
      </c>
      <c r="S146">
        <v>29.92</v>
      </c>
      <c r="T146">
        <v>23.87</v>
      </c>
      <c r="U146">
        <v>1.61</v>
      </c>
      <c r="V146">
        <v>93</v>
      </c>
      <c r="W146">
        <v>2</v>
      </c>
      <c r="X146">
        <v>3</v>
      </c>
      <c r="Y146">
        <v>50.4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50.4</v>
      </c>
      <c r="AF146" t="s">
        <v>2053</v>
      </c>
      <c r="AG146" t="s">
        <v>1787</v>
      </c>
      <c r="AH146">
        <v>0.7</v>
      </c>
    </row>
    <row r="147" spans="1:34" x14ac:dyDescent="0.25">
      <c r="A147" s="2">
        <v>45670</v>
      </c>
      <c r="B147" t="s">
        <v>2079</v>
      </c>
      <c r="C147" t="s">
        <v>2080</v>
      </c>
      <c r="D147">
        <v>55</v>
      </c>
      <c r="E147">
        <v>0.9850746268656716</v>
      </c>
      <c r="F147">
        <v>0</v>
      </c>
      <c r="G147">
        <v>30.7</v>
      </c>
      <c r="H147">
        <v>7.0000000000000007E-2</v>
      </c>
      <c r="I147">
        <v>30.63</v>
      </c>
      <c r="J147">
        <v>569.42999999999995</v>
      </c>
      <c r="K147">
        <v>15.44</v>
      </c>
      <c r="L147">
        <v>5.84</v>
      </c>
      <c r="M147" t="s">
        <v>2081</v>
      </c>
      <c r="N147">
        <v>3</v>
      </c>
      <c r="O147">
        <v>52</v>
      </c>
      <c r="P147">
        <v>22.03</v>
      </c>
      <c r="Q147">
        <v>0</v>
      </c>
      <c r="R147">
        <v>8.6</v>
      </c>
      <c r="S147">
        <v>0</v>
      </c>
      <c r="T147">
        <v>0</v>
      </c>
      <c r="U147">
        <v>1.79</v>
      </c>
      <c r="V147">
        <v>66</v>
      </c>
      <c r="W147">
        <v>1</v>
      </c>
      <c r="X147">
        <v>0</v>
      </c>
      <c r="Y147">
        <v>30.63</v>
      </c>
      <c r="Z147">
        <v>0</v>
      </c>
      <c r="AA147" t="s">
        <v>114</v>
      </c>
      <c r="AB147">
        <v>0</v>
      </c>
      <c r="AC147">
        <v>0.1</v>
      </c>
      <c r="AD147">
        <v>0.05</v>
      </c>
      <c r="AE147">
        <v>30.63</v>
      </c>
      <c r="AF147" t="s">
        <v>2054</v>
      </c>
      <c r="AG147" t="s">
        <v>1599</v>
      </c>
      <c r="AH147">
        <v>0.7</v>
      </c>
    </row>
    <row r="148" spans="1:34" x14ac:dyDescent="0.25">
      <c r="A148" s="2">
        <v>45677</v>
      </c>
      <c r="B148" t="s">
        <v>2079</v>
      </c>
      <c r="C148" t="s">
        <v>2080</v>
      </c>
      <c r="D148">
        <v>75</v>
      </c>
      <c r="E148">
        <v>0.91397849462365588</v>
      </c>
      <c r="F148">
        <v>5.8823529411764705E-2</v>
      </c>
      <c r="G148">
        <v>34.33</v>
      </c>
      <c r="H148">
        <v>0</v>
      </c>
      <c r="I148">
        <v>34.33</v>
      </c>
      <c r="J148">
        <v>723.33</v>
      </c>
      <c r="K148">
        <v>62.97</v>
      </c>
      <c r="L148">
        <v>0</v>
      </c>
      <c r="M148" t="s">
        <v>2081</v>
      </c>
      <c r="N148">
        <v>4</v>
      </c>
      <c r="O148">
        <v>71</v>
      </c>
      <c r="P148">
        <v>28.82</v>
      </c>
      <c r="Q148">
        <v>5</v>
      </c>
      <c r="R148">
        <v>5.51</v>
      </c>
      <c r="S148">
        <v>3.92</v>
      </c>
      <c r="T148">
        <v>3.63</v>
      </c>
      <c r="U148">
        <v>2.1800000000000002</v>
      </c>
      <c r="V148">
        <v>85</v>
      </c>
      <c r="W148">
        <v>3</v>
      </c>
      <c r="X148">
        <v>5</v>
      </c>
      <c r="Y148">
        <v>0</v>
      </c>
      <c r="Z148">
        <v>0</v>
      </c>
      <c r="AA148" t="s">
        <v>115</v>
      </c>
      <c r="AB148">
        <v>34.33</v>
      </c>
      <c r="AC148">
        <v>0.1</v>
      </c>
      <c r="AD148">
        <v>0.05</v>
      </c>
      <c r="AE148">
        <v>0</v>
      </c>
      <c r="AF148" t="s">
        <v>2054</v>
      </c>
      <c r="AG148" t="s">
        <v>1599</v>
      </c>
      <c r="AH148">
        <v>0.7</v>
      </c>
    </row>
    <row r="149" spans="1:34" x14ac:dyDescent="0.25">
      <c r="A149" s="2">
        <v>45670</v>
      </c>
      <c r="B149" t="s">
        <v>2097</v>
      </c>
      <c r="C149" t="s">
        <v>2098</v>
      </c>
      <c r="D149">
        <v>88</v>
      </c>
      <c r="E149">
        <v>1</v>
      </c>
      <c r="F149">
        <v>1.8018018018018018E-2</v>
      </c>
      <c r="G149">
        <v>50.49</v>
      </c>
      <c r="H149">
        <v>0</v>
      </c>
      <c r="I149">
        <v>50.49</v>
      </c>
      <c r="J149">
        <v>810.65</v>
      </c>
      <c r="K149">
        <v>45.77</v>
      </c>
      <c r="L149">
        <v>0</v>
      </c>
      <c r="M149" t="s">
        <v>2099</v>
      </c>
      <c r="N149">
        <v>9</v>
      </c>
      <c r="O149">
        <v>79</v>
      </c>
      <c r="P149">
        <v>41.15</v>
      </c>
      <c r="Q149">
        <v>0</v>
      </c>
      <c r="R149">
        <v>9.33</v>
      </c>
      <c r="S149">
        <v>11.67</v>
      </c>
      <c r="T149">
        <v>9.42</v>
      </c>
      <c r="U149">
        <v>1.74</v>
      </c>
      <c r="V149">
        <v>111</v>
      </c>
      <c r="W149">
        <v>0</v>
      </c>
      <c r="X149">
        <v>2</v>
      </c>
      <c r="Y149">
        <v>50.49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50.49</v>
      </c>
      <c r="AF149" t="s">
        <v>2086</v>
      </c>
      <c r="AG149" t="s">
        <v>1670</v>
      </c>
      <c r="AH149">
        <v>0.7</v>
      </c>
    </row>
    <row r="150" spans="1:34" x14ac:dyDescent="0.25">
      <c r="A150" s="2">
        <v>45677</v>
      </c>
      <c r="B150" t="s">
        <v>2097</v>
      </c>
      <c r="C150" t="s">
        <v>2098</v>
      </c>
      <c r="D150">
        <v>64</v>
      </c>
      <c r="E150">
        <v>1</v>
      </c>
      <c r="F150">
        <v>8.7912087912087919E-2</v>
      </c>
      <c r="G150">
        <v>37.1</v>
      </c>
      <c r="H150">
        <v>7.0000000000000007E-2</v>
      </c>
      <c r="I150">
        <v>37.03</v>
      </c>
      <c r="J150">
        <v>591.66</v>
      </c>
      <c r="K150">
        <v>57.42</v>
      </c>
      <c r="L150">
        <v>1.51</v>
      </c>
      <c r="M150" t="s">
        <v>2099</v>
      </c>
      <c r="N150">
        <v>9</v>
      </c>
      <c r="O150">
        <v>55</v>
      </c>
      <c r="P150">
        <v>32.4</v>
      </c>
      <c r="Q150">
        <v>0</v>
      </c>
      <c r="R150">
        <v>4.63</v>
      </c>
      <c r="S150">
        <v>20.48</v>
      </c>
      <c r="T150">
        <v>19.059999999999999</v>
      </c>
      <c r="U150">
        <v>1.73</v>
      </c>
      <c r="V150">
        <v>91</v>
      </c>
      <c r="W150">
        <v>0</v>
      </c>
      <c r="X150">
        <v>8</v>
      </c>
      <c r="Y150">
        <v>0</v>
      </c>
      <c r="Z150">
        <v>0</v>
      </c>
      <c r="AA150" t="s">
        <v>115</v>
      </c>
      <c r="AB150">
        <v>37.03</v>
      </c>
      <c r="AC150">
        <v>0.1</v>
      </c>
      <c r="AD150">
        <v>0.05</v>
      </c>
      <c r="AE150">
        <v>0</v>
      </c>
      <c r="AF150" t="s">
        <v>2086</v>
      </c>
      <c r="AG150" t="s">
        <v>1670</v>
      </c>
      <c r="AH150">
        <v>0.7</v>
      </c>
    </row>
    <row r="151" spans="1:34" x14ac:dyDescent="0.25">
      <c r="A151" s="2">
        <v>45670</v>
      </c>
      <c r="B151" t="s">
        <v>2100</v>
      </c>
      <c r="C151" t="s">
        <v>2101</v>
      </c>
      <c r="D151">
        <v>72</v>
      </c>
      <c r="E151">
        <v>0.98347107438016534</v>
      </c>
      <c r="F151">
        <v>5.0420168067226892E-2</v>
      </c>
      <c r="G151">
        <v>61.1</v>
      </c>
      <c r="H151">
        <v>0</v>
      </c>
      <c r="I151">
        <v>61.1</v>
      </c>
      <c r="J151">
        <v>736.71</v>
      </c>
      <c r="K151">
        <v>60</v>
      </c>
      <c r="L151">
        <v>0</v>
      </c>
      <c r="M151" t="s">
        <v>2102</v>
      </c>
      <c r="N151">
        <v>15</v>
      </c>
      <c r="O151">
        <v>57</v>
      </c>
      <c r="P151">
        <v>50.09</v>
      </c>
      <c r="Q151">
        <v>0</v>
      </c>
      <c r="R151">
        <v>11.01</v>
      </c>
      <c r="S151">
        <v>26.86</v>
      </c>
      <c r="T151">
        <v>23.81</v>
      </c>
      <c r="U151">
        <v>1.18</v>
      </c>
      <c r="V151">
        <v>119</v>
      </c>
      <c r="W151">
        <v>2</v>
      </c>
      <c r="X151">
        <v>6</v>
      </c>
      <c r="Y151">
        <v>0</v>
      </c>
      <c r="Z151">
        <v>0</v>
      </c>
      <c r="AA151" t="s">
        <v>114</v>
      </c>
      <c r="AB151">
        <v>61.1</v>
      </c>
      <c r="AC151">
        <v>0.1</v>
      </c>
      <c r="AD151">
        <v>0.05</v>
      </c>
      <c r="AE151">
        <v>0</v>
      </c>
      <c r="AF151" t="s">
        <v>2088</v>
      </c>
      <c r="AG151" t="s">
        <v>1670</v>
      </c>
      <c r="AH151">
        <v>0.7</v>
      </c>
    </row>
    <row r="152" spans="1:34" x14ac:dyDescent="0.25">
      <c r="A152" s="2">
        <v>45677</v>
      </c>
      <c r="B152" t="s">
        <v>2100</v>
      </c>
      <c r="C152" t="s">
        <v>2101</v>
      </c>
      <c r="D152">
        <v>86</v>
      </c>
      <c r="E152">
        <v>0.9642857142857143</v>
      </c>
      <c r="F152">
        <v>1.4814814814814815E-2</v>
      </c>
      <c r="G152">
        <v>67.95</v>
      </c>
      <c r="H152">
        <v>1.47</v>
      </c>
      <c r="I152">
        <v>66.48</v>
      </c>
      <c r="J152">
        <v>945.24</v>
      </c>
      <c r="K152">
        <v>71.23</v>
      </c>
      <c r="L152">
        <v>17.68</v>
      </c>
      <c r="M152" t="s">
        <v>2102</v>
      </c>
      <c r="N152">
        <v>9</v>
      </c>
      <c r="O152">
        <v>77</v>
      </c>
      <c r="P152">
        <v>51.54</v>
      </c>
      <c r="Q152">
        <v>0</v>
      </c>
      <c r="R152">
        <v>14.94</v>
      </c>
      <c r="S152">
        <v>19.59</v>
      </c>
      <c r="T152">
        <v>17.579999999999998</v>
      </c>
      <c r="U152">
        <v>1.27</v>
      </c>
      <c r="V152">
        <v>135</v>
      </c>
      <c r="W152">
        <v>5</v>
      </c>
      <c r="X152">
        <v>2</v>
      </c>
      <c r="Y152">
        <v>66.48</v>
      </c>
      <c r="Z152">
        <v>0</v>
      </c>
      <c r="AA152" t="s">
        <v>115</v>
      </c>
      <c r="AB152">
        <v>0</v>
      </c>
      <c r="AC152">
        <v>0.1</v>
      </c>
      <c r="AD152">
        <v>0.05</v>
      </c>
      <c r="AE152">
        <v>66.48</v>
      </c>
      <c r="AF152" t="s">
        <v>2088</v>
      </c>
      <c r="AG152" t="s">
        <v>1670</v>
      </c>
      <c r="AH152">
        <v>0.7</v>
      </c>
    </row>
    <row r="153" spans="1:34" x14ac:dyDescent="0.25">
      <c r="A153" s="2">
        <v>45670</v>
      </c>
      <c r="B153" t="s">
        <v>2103</v>
      </c>
      <c r="C153" t="s">
        <v>2104</v>
      </c>
      <c r="D153">
        <v>35</v>
      </c>
      <c r="E153">
        <v>0.82692307692307687</v>
      </c>
      <c r="F153">
        <v>2.3255813953488372E-2</v>
      </c>
      <c r="G153">
        <v>24.56</v>
      </c>
      <c r="H153">
        <v>0</v>
      </c>
      <c r="I153">
        <v>24.56</v>
      </c>
      <c r="J153">
        <v>444.31</v>
      </c>
      <c r="K153">
        <v>58.45</v>
      </c>
      <c r="L153">
        <v>0</v>
      </c>
      <c r="M153" t="s">
        <v>2105</v>
      </c>
      <c r="N153">
        <v>14</v>
      </c>
      <c r="O153">
        <v>21</v>
      </c>
      <c r="P153">
        <v>22.58</v>
      </c>
      <c r="Q153">
        <v>0</v>
      </c>
      <c r="R153">
        <v>1.97</v>
      </c>
      <c r="S153">
        <v>15.12</v>
      </c>
      <c r="T153">
        <v>13.94</v>
      </c>
      <c r="U153">
        <v>1.43</v>
      </c>
      <c r="V153">
        <v>43</v>
      </c>
      <c r="W153">
        <v>9</v>
      </c>
      <c r="X153">
        <v>1</v>
      </c>
      <c r="Y153">
        <v>0</v>
      </c>
      <c r="Z153">
        <v>0</v>
      </c>
      <c r="AA153" t="s">
        <v>114</v>
      </c>
      <c r="AB153">
        <v>24.56</v>
      </c>
      <c r="AC153">
        <v>0.1</v>
      </c>
      <c r="AD153">
        <v>0.05</v>
      </c>
      <c r="AE153">
        <v>0</v>
      </c>
      <c r="AF153" t="s">
        <v>2089</v>
      </c>
      <c r="AG153" t="s">
        <v>1599</v>
      </c>
      <c r="AH153">
        <v>0.7</v>
      </c>
    </row>
    <row r="154" spans="1:34" x14ac:dyDescent="0.25">
      <c r="A154" s="2">
        <v>45677</v>
      </c>
      <c r="B154" t="s">
        <v>2103</v>
      </c>
      <c r="C154" t="s">
        <v>2104</v>
      </c>
      <c r="D154">
        <v>17</v>
      </c>
      <c r="E154">
        <v>0.8571428571428571</v>
      </c>
      <c r="F154">
        <v>0</v>
      </c>
      <c r="G154">
        <v>13.35</v>
      </c>
      <c r="H154">
        <v>0</v>
      </c>
      <c r="I154">
        <v>13.35</v>
      </c>
      <c r="J154">
        <v>236.2</v>
      </c>
      <c r="K154">
        <v>19.920000000000002</v>
      </c>
      <c r="L154">
        <v>0</v>
      </c>
      <c r="M154" t="s">
        <v>2105</v>
      </c>
      <c r="N154">
        <v>9</v>
      </c>
      <c r="O154">
        <v>8</v>
      </c>
      <c r="P154">
        <v>12.65</v>
      </c>
      <c r="Q154">
        <v>1</v>
      </c>
      <c r="R154">
        <v>0.7</v>
      </c>
      <c r="S154">
        <v>11.67</v>
      </c>
      <c r="T154">
        <v>11.2</v>
      </c>
      <c r="U154">
        <v>1.27</v>
      </c>
      <c r="V154">
        <v>18</v>
      </c>
      <c r="W154">
        <v>2</v>
      </c>
      <c r="X154">
        <v>0</v>
      </c>
      <c r="Y154">
        <v>0</v>
      </c>
      <c r="Z154">
        <v>0</v>
      </c>
      <c r="AA154" t="s">
        <v>115</v>
      </c>
      <c r="AB154">
        <v>13.35</v>
      </c>
      <c r="AC154">
        <v>0.1</v>
      </c>
      <c r="AD154">
        <v>0.05</v>
      </c>
      <c r="AE154">
        <v>0</v>
      </c>
      <c r="AF154" t="s">
        <v>2089</v>
      </c>
      <c r="AG154" t="s">
        <v>1599</v>
      </c>
      <c r="AH154">
        <v>0.7</v>
      </c>
    </row>
    <row r="155" spans="1:34" x14ac:dyDescent="0.25">
      <c r="A155" s="2">
        <v>45670</v>
      </c>
      <c r="B155" t="s">
        <v>2106</v>
      </c>
      <c r="C155" t="s">
        <v>2107</v>
      </c>
      <c r="D155">
        <v>93</v>
      </c>
      <c r="E155">
        <v>1</v>
      </c>
      <c r="F155">
        <v>8.4033613445378158E-2</v>
      </c>
      <c r="G155">
        <v>55.74</v>
      </c>
      <c r="H155">
        <v>0.26</v>
      </c>
      <c r="I155">
        <v>55.480000000000004</v>
      </c>
      <c r="J155">
        <v>1012.71</v>
      </c>
      <c r="K155">
        <v>45</v>
      </c>
      <c r="L155">
        <v>7.65</v>
      </c>
      <c r="M155" t="s">
        <v>2108</v>
      </c>
      <c r="N155">
        <v>42</v>
      </c>
      <c r="O155">
        <v>51</v>
      </c>
      <c r="P155">
        <v>53.4</v>
      </c>
      <c r="Q155">
        <v>0</v>
      </c>
      <c r="R155">
        <v>2.0699999999999998</v>
      </c>
      <c r="S155">
        <v>27.4</v>
      </c>
      <c r="T155">
        <v>26.51</v>
      </c>
      <c r="U155">
        <v>1.67</v>
      </c>
      <c r="V155">
        <v>119</v>
      </c>
      <c r="W155">
        <v>0</v>
      </c>
      <c r="X155">
        <v>10</v>
      </c>
      <c r="Y155">
        <v>0</v>
      </c>
      <c r="Z155">
        <v>0</v>
      </c>
      <c r="AA155" t="s">
        <v>114</v>
      </c>
      <c r="AB155">
        <v>55.480000000000004</v>
      </c>
      <c r="AC155">
        <v>0.1</v>
      </c>
      <c r="AD155">
        <v>0.05</v>
      </c>
      <c r="AE155">
        <v>0</v>
      </c>
      <c r="AF155" t="s">
        <v>2090</v>
      </c>
      <c r="AG155" t="s">
        <v>1601</v>
      </c>
      <c r="AH155">
        <v>0.7</v>
      </c>
    </row>
    <row r="156" spans="1:34" x14ac:dyDescent="0.25">
      <c r="A156" s="2">
        <v>45677</v>
      </c>
      <c r="B156" t="s">
        <v>2106</v>
      </c>
      <c r="C156" t="s">
        <v>2107</v>
      </c>
      <c r="D156">
        <v>76</v>
      </c>
      <c r="E156">
        <v>1</v>
      </c>
      <c r="F156">
        <v>1.1235955056179775E-2</v>
      </c>
      <c r="G156">
        <v>38.54</v>
      </c>
      <c r="H156">
        <v>0.44</v>
      </c>
      <c r="I156">
        <v>38.1</v>
      </c>
      <c r="J156">
        <v>890.81</v>
      </c>
      <c r="K156">
        <v>94.33</v>
      </c>
      <c r="L156">
        <v>12</v>
      </c>
      <c r="M156" t="s">
        <v>2108</v>
      </c>
      <c r="N156">
        <v>16</v>
      </c>
      <c r="O156">
        <v>60</v>
      </c>
      <c r="P156">
        <v>36.950000000000003</v>
      </c>
      <c r="Q156">
        <v>0</v>
      </c>
      <c r="R156">
        <v>1.1399999999999999</v>
      </c>
      <c r="S156">
        <v>8.0500000000000007</v>
      </c>
      <c r="T156">
        <v>8.02</v>
      </c>
      <c r="U156">
        <v>1.97</v>
      </c>
      <c r="V156">
        <v>89</v>
      </c>
      <c r="W156">
        <v>0</v>
      </c>
      <c r="X156">
        <v>1</v>
      </c>
      <c r="Y156">
        <v>38.1</v>
      </c>
      <c r="Z156">
        <v>0</v>
      </c>
      <c r="AA156" t="s">
        <v>115</v>
      </c>
      <c r="AB156">
        <v>0</v>
      </c>
      <c r="AC156">
        <v>0.1</v>
      </c>
      <c r="AD156">
        <v>0.05</v>
      </c>
      <c r="AE156">
        <v>38.1</v>
      </c>
      <c r="AF156" t="s">
        <v>2090</v>
      </c>
      <c r="AG156" t="s">
        <v>1601</v>
      </c>
      <c r="AH156">
        <v>0.7</v>
      </c>
    </row>
    <row r="157" spans="1:34" x14ac:dyDescent="0.25">
      <c r="A157" s="2">
        <v>45670</v>
      </c>
      <c r="B157" t="s">
        <v>2114</v>
      </c>
      <c r="C157" t="s">
        <v>2115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2116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 t="s">
        <v>114</v>
      </c>
      <c r="AB157">
        <v>0</v>
      </c>
      <c r="AC157">
        <v>0.1</v>
      </c>
      <c r="AD157">
        <v>0.05</v>
      </c>
      <c r="AE157">
        <v>0</v>
      </c>
      <c r="AF157" t="s">
        <v>2109</v>
      </c>
      <c r="AG157" t="s">
        <v>1670</v>
      </c>
      <c r="AH157">
        <v>0.7</v>
      </c>
    </row>
    <row r="158" spans="1:34" x14ac:dyDescent="0.25">
      <c r="A158" s="2">
        <v>45677</v>
      </c>
      <c r="B158" t="s">
        <v>2114</v>
      </c>
      <c r="C158" t="s">
        <v>2115</v>
      </c>
      <c r="D158">
        <v>70</v>
      </c>
      <c r="E158">
        <v>0.85416666666666663</v>
      </c>
      <c r="F158">
        <v>4.878048780487805E-2</v>
      </c>
      <c r="G158">
        <v>50.88</v>
      </c>
      <c r="H158">
        <v>1.1499999999999999</v>
      </c>
      <c r="I158">
        <v>49.730000000000004</v>
      </c>
      <c r="J158">
        <v>944.33</v>
      </c>
      <c r="K158">
        <v>33.9</v>
      </c>
      <c r="L158">
        <v>22.06</v>
      </c>
      <c r="M158" t="s">
        <v>2116</v>
      </c>
      <c r="N158">
        <v>22</v>
      </c>
      <c r="O158">
        <v>48</v>
      </c>
      <c r="P158">
        <v>48.32</v>
      </c>
      <c r="Q158">
        <v>0</v>
      </c>
      <c r="R158">
        <v>1.4</v>
      </c>
      <c r="S158">
        <v>25.01</v>
      </c>
      <c r="T158">
        <v>23.59</v>
      </c>
      <c r="U158">
        <v>1.38</v>
      </c>
      <c r="V158">
        <v>82</v>
      </c>
      <c r="W158">
        <v>14</v>
      </c>
      <c r="X158">
        <v>4</v>
      </c>
      <c r="Y158">
        <v>0</v>
      </c>
      <c r="Z158">
        <v>0</v>
      </c>
      <c r="AA158" t="s">
        <v>115</v>
      </c>
      <c r="AB158">
        <v>49.730000000000004</v>
      </c>
      <c r="AC158">
        <v>0.1</v>
      </c>
      <c r="AD158">
        <v>0.05</v>
      </c>
      <c r="AE158">
        <v>0</v>
      </c>
      <c r="AF158" t="s">
        <v>2109</v>
      </c>
      <c r="AG158" t="s">
        <v>1670</v>
      </c>
      <c r="AH158">
        <v>0.7</v>
      </c>
    </row>
    <row r="159" spans="1:34" x14ac:dyDescent="0.25">
      <c r="A159" s="2">
        <v>45670</v>
      </c>
      <c r="B159" t="s">
        <v>2117</v>
      </c>
      <c r="C159" t="s">
        <v>2118</v>
      </c>
      <c r="D159">
        <v>76</v>
      </c>
      <c r="E159">
        <v>0.75757575757575757</v>
      </c>
      <c r="F159">
        <v>0.02</v>
      </c>
      <c r="G159">
        <v>71.31</v>
      </c>
      <c r="H159">
        <v>0.54</v>
      </c>
      <c r="I159">
        <v>70.77</v>
      </c>
      <c r="J159">
        <v>750</v>
      </c>
      <c r="K159">
        <v>58.39</v>
      </c>
      <c r="L159">
        <v>0</v>
      </c>
      <c r="M159" t="s">
        <v>2119</v>
      </c>
      <c r="N159">
        <v>14</v>
      </c>
      <c r="O159">
        <v>62</v>
      </c>
      <c r="P159">
        <v>53.66</v>
      </c>
      <c r="Q159">
        <v>31</v>
      </c>
      <c r="R159">
        <v>17.11</v>
      </c>
      <c r="S159">
        <v>20.13</v>
      </c>
      <c r="T159">
        <v>17.079999999999998</v>
      </c>
      <c r="U159">
        <v>1.07</v>
      </c>
      <c r="V159">
        <v>100</v>
      </c>
      <c r="W159">
        <v>1</v>
      </c>
      <c r="X159">
        <v>2</v>
      </c>
      <c r="Y159">
        <v>0</v>
      </c>
      <c r="Z159">
        <v>0</v>
      </c>
      <c r="AA159" t="s">
        <v>114</v>
      </c>
      <c r="AB159">
        <v>70.77</v>
      </c>
      <c r="AC159">
        <v>0.1</v>
      </c>
      <c r="AD159">
        <v>0.05</v>
      </c>
      <c r="AE159">
        <v>0</v>
      </c>
      <c r="AF159" t="s">
        <v>2110</v>
      </c>
      <c r="AG159" t="s">
        <v>1670</v>
      </c>
      <c r="AH159">
        <v>0.7</v>
      </c>
    </row>
    <row r="160" spans="1:34" x14ac:dyDescent="0.25">
      <c r="A160" s="2">
        <v>45677</v>
      </c>
      <c r="B160" t="s">
        <v>2117</v>
      </c>
      <c r="C160" t="s">
        <v>2118</v>
      </c>
      <c r="D160">
        <v>75</v>
      </c>
      <c r="E160">
        <v>0.95049504950495045</v>
      </c>
      <c r="F160">
        <v>5.2083333333333336E-2</v>
      </c>
      <c r="G160">
        <v>69.41</v>
      </c>
      <c r="H160">
        <v>0.01</v>
      </c>
      <c r="I160">
        <v>69.399999999999991</v>
      </c>
      <c r="J160">
        <v>799.68</v>
      </c>
      <c r="K160">
        <v>25</v>
      </c>
      <c r="L160">
        <v>0</v>
      </c>
      <c r="M160" t="s">
        <v>2119</v>
      </c>
      <c r="N160">
        <v>10</v>
      </c>
      <c r="O160">
        <v>65</v>
      </c>
      <c r="P160">
        <v>54.8</v>
      </c>
      <c r="Q160">
        <v>0</v>
      </c>
      <c r="R160">
        <v>14.6</v>
      </c>
      <c r="S160">
        <v>19.82</v>
      </c>
      <c r="T160">
        <v>16.239999999999998</v>
      </c>
      <c r="U160">
        <v>1.08</v>
      </c>
      <c r="V160">
        <v>96</v>
      </c>
      <c r="W160">
        <v>5</v>
      </c>
      <c r="X160">
        <v>5</v>
      </c>
      <c r="Y160">
        <v>0</v>
      </c>
      <c r="Z160">
        <v>0</v>
      </c>
      <c r="AA160" t="s">
        <v>115</v>
      </c>
      <c r="AB160">
        <v>69.399999999999991</v>
      </c>
      <c r="AC160">
        <v>0.1</v>
      </c>
      <c r="AD160">
        <v>0.05</v>
      </c>
      <c r="AE160">
        <v>0</v>
      </c>
      <c r="AF160" t="s">
        <v>2110</v>
      </c>
      <c r="AG160" t="s">
        <v>1670</v>
      </c>
      <c r="AH160">
        <v>0.7</v>
      </c>
    </row>
    <row r="161" spans="1:34" x14ac:dyDescent="0.25">
      <c r="A161" s="2">
        <v>45670</v>
      </c>
      <c r="B161" t="s">
        <v>2125</v>
      </c>
      <c r="C161" t="s">
        <v>2126</v>
      </c>
      <c r="D161">
        <v>61</v>
      </c>
      <c r="E161">
        <v>1</v>
      </c>
      <c r="F161">
        <v>5.0632911392405063E-2</v>
      </c>
      <c r="G161">
        <v>30.95</v>
      </c>
      <c r="H161">
        <v>0</v>
      </c>
      <c r="I161">
        <v>30.95</v>
      </c>
      <c r="J161">
        <v>596.55999999999995</v>
      </c>
      <c r="K161">
        <v>41</v>
      </c>
      <c r="L161">
        <v>3.09</v>
      </c>
      <c r="M161" t="s">
        <v>2127</v>
      </c>
      <c r="N161">
        <v>18</v>
      </c>
      <c r="O161">
        <v>43</v>
      </c>
      <c r="P161">
        <v>29.67</v>
      </c>
      <c r="Q161">
        <v>0</v>
      </c>
      <c r="R161">
        <v>1.28</v>
      </c>
      <c r="S161">
        <v>18.97</v>
      </c>
      <c r="T161">
        <v>18.32</v>
      </c>
      <c r="U161">
        <v>1.97</v>
      </c>
      <c r="V161">
        <v>79</v>
      </c>
      <c r="W161">
        <v>0</v>
      </c>
      <c r="X161">
        <v>4</v>
      </c>
      <c r="Y161">
        <v>0</v>
      </c>
      <c r="Z161">
        <v>0</v>
      </c>
      <c r="AA161" t="s">
        <v>114</v>
      </c>
      <c r="AB161">
        <v>30.95</v>
      </c>
      <c r="AC161">
        <v>0.1</v>
      </c>
      <c r="AD161">
        <v>0.05</v>
      </c>
      <c r="AE161">
        <v>0</v>
      </c>
      <c r="AF161" t="s">
        <v>2121</v>
      </c>
      <c r="AG161" t="s">
        <v>1601</v>
      </c>
      <c r="AH161">
        <v>0.7</v>
      </c>
    </row>
    <row r="162" spans="1:34" x14ac:dyDescent="0.25">
      <c r="A162" s="2">
        <v>45677</v>
      </c>
      <c r="B162" t="s">
        <v>2125</v>
      </c>
      <c r="C162" t="s">
        <v>2126</v>
      </c>
      <c r="D162">
        <v>25</v>
      </c>
      <c r="E162">
        <v>1</v>
      </c>
      <c r="F162">
        <v>6.25E-2</v>
      </c>
      <c r="G162">
        <v>14.53</v>
      </c>
      <c r="H162">
        <v>0</v>
      </c>
      <c r="I162">
        <v>14.53</v>
      </c>
      <c r="J162">
        <v>300.16000000000003</v>
      </c>
      <c r="K162">
        <v>26.77</v>
      </c>
      <c r="L162">
        <v>1.37</v>
      </c>
      <c r="M162" t="s">
        <v>2127</v>
      </c>
      <c r="N162">
        <v>7</v>
      </c>
      <c r="O162">
        <v>18</v>
      </c>
      <c r="P162">
        <v>14.09</v>
      </c>
      <c r="Q162">
        <v>0</v>
      </c>
      <c r="R162">
        <v>0.44</v>
      </c>
      <c r="S162">
        <v>10.32</v>
      </c>
      <c r="T162">
        <v>9.98</v>
      </c>
      <c r="U162">
        <v>1.72</v>
      </c>
      <c r="V162">
        <v>32</v>
      </c>
      <c r="W162">
        <v>0</v>
      </c>
      <c r="X162">
        <v>2</v>
      </c>
      <c r="Y162">
        <v>0</v>
      </c>
      <c r="Z162">
        <v>0</v>
      </c>
      <c r="AA162" t="s">
        <v>115</v>
      </c>
      <c r="AB162">
        <v>14.53</v>
      </c>
      <c r="AC162">
        <v>0.1</v>
      </c>
      <c r="AD162">
        <v>0.05</v>
      </c>
      <c r="AE162">
        <v>0</v>
      </c>
      <c r="AF162" t="s">
        <v>2121</v>
      </c>
      <c r="AG162" t="s">
        <v>1601</v>
      </c>
      <c r="AH162">
        <v>0.7</v>
      </c>
    </row>
    <row r="163" spans="1:34" x14ac:dyDescent="0.25">
      <c r="A163" s="2">
        <v>45670</v>
      </c>
      <c r="B163" t="s">
        <v>2128</v>
      </c>
      <c r="C163" t="s">
        <v>2129</v>
      </c>
      <c r="D163">
        <v>78</v>
      </c>
      <c r="E163">
        <v>0.98913043478260865</v>
      </c>
      <c r="F163">
        <v>1.098901098901099E-2</v>
      </c>
      <c r="G163">
        <v>50.65</v>
      </c>
      <c r="H163">
        <v>0.24</v>
      </c>
      <c r="I163">
        <v>50.41</v>
      </c>
      <c r="J163">
        <v>875.75</v>
      </c>
      <c r="K163">
        <v>21.34</v>
      </c>
      <c r="L163">
        <v>6</v>
      </c>
      <c r="M163" t="s">
        <v>2130</v>
      </c>
      <c r="N163">
        <v>13</v>
      </c>
      <c r="O163">
        <v>65</v>
      </c>
      <c r="P163">
        <v>39.08</v>
      </c>
      <c r="Q163">
        <v>1</v>
      </c>
      <c r="R163">
        <v>11.32</v>
      </c>
      <c r="S163">
        <v>14.77</v>
      </c>
      <c r="T163">
        <v>12.78</v>
      </c>
      <c r="U163">
        <v>1.54</v>
      </c>
      <c r="V163">
        <v>91</v>
      </c>
      <c r="W163">
        <v>0</v>
      </c>
      <c r="X163">
        <v>1</v>
      </c>
      <c r="Y163">
        <v>50.41</v>
      </c>
      <c r="Z163">
        <v>0</v>
      </c>
      <c r="AA163" t="s">
        <v>114</v>
      </c>
      <c r="AB163">
        <v>0</v>
      </c>
      <c r="AC163">
        <v>0.1</v>
      </c>
      <c r="AD163">
        <v>0.05</v>
      </c>
      <c r="AE163">
        <v>50.41</v>
      </c>
      <c r="AF163" t="s">
        <v>2122</v>
      </c>
      <c r="AG163" t="s">
        <v>1747</v>
      </c>
      <c r="AH163">
        <v>0.7</v>
      </c>
    </row>
    <row r="164" spans="1:34" x14ac:dyDescent="0.25">
      <c r="A164" s="2">
        <v>45677</v>
      </c>
      <c r="B164" t="s">
        <v>2128</v>
      </c>
      <c r="C164" t="s">
        <v>2129</v>
      </c>
      <c r="D164">
        <v>81</v>
      </c>
      <c r="E164">
        <v>0.97872340425531912</v>
      </c>
      <c r="F164">
        <v>4.3478260869565216E-2</v>
      </c>
      <c r="G164">
        <v>50.08</v>
      </c>
      <c r="H164">
        <v>0.09</v>
      </c>
      <c r="I164">
        <v>49.989999999999995</v>
      </c>
      <c r="J164">
        <v>890.19</v>
      </c>
      <c r="K164">
        <v>26</v>
      </c>
      <c r="L164">
        <v>0</v>
      </c>
      <c r="M164" t="s">
        <v>2130</v>
      </c>
      <c r="N164">
        <v>14</v>
      </c>
      <c r="O164">
        <v>67</v>
      </c>
      <c r="P164">
        <v>40.049999999999997</v>
      </c>
      <c r="Q164">
        <v>0</v>
      </c>
      <c r="R164">
        <v>9.9499999999999993</v>
      </c>
      <c r="S164">
        <v>18.88</v>
      </c>
      <c r="T164">
        <v>16.95</v>
      </c>
      <c r="U164">
        <v>1.62</v>
      </c>
      <c r="V164">
        <v>92</v>
      </c>
      <c r="W164">
        <v>2</v>
      </c>
      <c r="X164">
        <v>4</v>
      </c>
      <c r="Y164">
        <v>0</v>
      </c>
      <c r="Z164">
        <v>0</v>
      </c>
      <c r="AA164" t="s">
        <v>115</v>
      </c>
      <c r="AB164">
        <v>49.989999999999995</v>
      </c>
      <c r="AC164">
        <v>0.1</v>
      </c>
      <c r="AD164">
        <v>0.05</v>
      </c>
      <c r="AE164">
        <v>0</v>
      </c>
      <c r="AF164" t="s">
        <v>2122</v>
      </c>
      <c r="AG164" t="s">
        <v>1747</v>
      </c>
      <c r="AH164">
        <v>0.7</v>
      </c>
    </row>
    <row r="165" spans="1:34" x14ac:dyDescent="0.25">
      <c r="A165" s="2">
        <v>45670</v>
      </c>
      <c r="B165" t="s">
        <v>2131</v>
      </c>
      <c r="C165" t="s">
        <v>2132</v>
      </c>
      <c r="D165">
        <v>63</v>
      </c>
      <c r="E165">
        <v>0.84745762711864403</v>
      </c>
      <c r="F165">
        <v>0.09</v>
      </c>
      <c r="G165">
        <v>55.57</v>
      </c>
      <c r="H165">
        <v>0.12</v>
      </c>
      <c r="I165">
        <v>55.45</v>
      </c>
      <c r="J165">
        <v>725.94</v>
      </c>
      <c r="K165">
        <v>48.42</v>
      </c>
      <c r="L165">
        <v>0</v>
      </c>
      <c r="M165" t="s">
        <v>2133</v>
      </c>
      <c r="N165">
        <v>27</v>
      </c>
      <c r="O165">
        <v>36</v>
      </c>
      <c r="P165">
        <v>52.78</v>
      </c>
      <c r="Q165">
        <v>16</v>
      </c>
      <c r="R165">
        <v>2.66</v>
      </c>
      <c r="S165">
        <v>26.64</v>
      </c>
      <c r="T165">
        <v>25.69</v>
      </c>
      <c r="U165">
        <v>1.1299999999999999</v>
      </c>
      <c r="V165">
        <v>100</v>
      </c>
      <c r="W165">
        <v>2</v>
      </c>
      <c r="X165">
        <v>9</v>
      </c>
      <c r="Y165">
        <v>0</v>
      </c>
      <c r="Z165">
        <v>0</v>
      </c>
      <c r="AA165" t="s">
        <v>114</v>
      </c>
      <c r="AB165">
        <v>55.45</v>
      </c>
      <c r="AC165">
        <v>0.1</v>
      </c>
      <c r="AD165">
        <v>0.05</v>
      </c>
      <c r="AE165">
        <v>0</v>
      </c>
      <c r="AF165" t="s">
        <v>2123</v>
      </c>
      <c r="AG165" t="s">
        <v>1599</v>
      </c>
      <c r="AH165">
        <v>0.7</v>
      </c>
    </row>
    <row r="166" spans="1:34" x14ac:dyDescent="0.25">
      <c r="A166" s="2">
        <v>45677</v>
      </c>
      <c r="B166" t="s">
        <v>2131</v>
      </c>
      <c r="C166" t="s">
        <v>2132</v>
      </c>
      <c r="D166">
        <v>46</v>
      </c>
      <c r="E166">
        <v>0.76666666666666672</v>
      </c>
      <c r="F166">
        <v>8.6956521739130432E-2</v>
      </c>
      <c r="G166">
        <v>33.64</v>
      </c>
      <c r="H166">
        <v>1.51</v>
      </c>
      <c r="I166">
        <v>32.130000000000003</v>
      </c>
      <c r="J166">
        <v>567.19000000000005</v>
      </c>
      <c r="K166">
        <v>18</v>
      </c>
      <c r="L166">
        <v>12</v>
      </c>
      <c r="M166" t="s">
        <v>2133</v>
      </c>
      <c r="N166">
        <v>6</v>
      </c>
      <c r="O166">
        <v>40</v>
      </c>
      <c r="P166">
        <v>29.56</v>
      </c>
      <c r="Q166">
        <v>12</v>
      </c>
      <c r="R166">
        <v>2.58</v>
      </c>
      <c r="S166">
        <v>8.2200000000000006</v>
      </c>
      <c r="T166">
        <v>8.17</v>
      </c>
      <c r="U166">
        <v>1.37</v>
      </c>
      <c r="V166">
        <v>69</v>
      </c>
      <c r="W166">
        <v>9</v>
      </c>
      <c r="X166">
        <v>6</v>
      </c>
      <c r="Y166">
        <v>0</v>
      </c>
      <c r="Z166">
        <v>0</v>
      </c>
      <c r="AA166" t="s">
        <v>115</v>
      </c>
      <c r="AB166">
        <v>32.130000000000003</v>
      </c>
      <c r="AC166">
        <v>0.1</v>
      </c>
      <c r="AD166">
        <v>0.05</v>
      </c>
      <c r="AE166">
        <v>0</v>
      </c>
      <c r="AF166" t="s">
        <v>2123</v>
      </c>
      <c r="AG166" t="s">
        <v>1599</v>
      </c>
      <c r="AH166">
        <v>0.7</v>
      </c>
    </row>
    <row r="167" spans="1:34" x14ac:dyDescent="0.25">
      <c r="A167" s="2">
        <v>45670</v>
      </c>
      <c r="B167" t="s">
        <v>2134</v>
      </c>
      <c r="C167" t="s">
        <v>2135</v>
      </c>
      <c r="D167">
        <v>35</v>
      </c>
      <c r="E167">
        <v>0.5</v>
      </c>
      <c r="F167">
        <v>0.22448979591836735</v>
      </c>
      <c r="G167">
        <v>17.71</v>
      </c>
      <c r="H167">
        <v>0</v>
      </c>
      <c r="I167">
        <v>17.71</v>
      </c>
      <c r="J167">
        <v>317.87</v>
      </c>
      <c r="K167">
        <v>23.99</v>
      </c>
      <c r="L167">
        <v>0</v>
      </c>
      <c r="M167" t="s">
        <v>2136</v>
      </c>
      <c r="N167">
        <v>2</v>
      </c>
      <c r="O167">
        <v>33</v>
      </c>
      <c r="P167">
        <v>15.5</v>
      </c>
      <c r="Q167">
        <v>0</v>
      </c>
      <c r="R167">
        <v>2.2200000000000002</v>
      </c>
      <c r="S167">
        <v>6.52</v>
      </c>
      <c r="T167">
        <v>6.2</v>
      </c>
      <c r="U167">
        <v>1.98</v>
      </c>
      <c r="V167">
        <v>49</v>
      </c>
      <c r="W167">
        <v>49</v>
      </c>
      <c r="X167">
        <v>11</v>
      </c>
      <c r="Y167">
        <v>0</v>
      </c>
      <c r="Z167">
        <v>0</v>
      </c>
      <c r="AA167" t="s">
        <v>114</v>
      </c>
      <c r="AB167">
        <v>17.71</v>
      </c>
      <c r="AC167">
        <v>0.1</v>
      </c>
      <c r="AD167">
        <v>0.05</v>
      </c>
      <c r="AE167">
        <v>0</v>
      </c>
      <c r="AF167" t="s">
        <v>2124</v>
      </c>
      <c r="AG167" t="s">
        <v>1599</v>
      </c>
      <c r="AH167">
        <v>0.7</v>
      </c>
    </row>
    <row r="168" spans="1:34" x14ac:dyDescent="0.25">
      <c r="A168" s="2">
        <v>45670</v>
      </c>
      <c r="B168" t="s">
        <v>2167</v>
      </c>
      <c r="C168" t="s">
        <v>2168</v>
      </c>
      <c r="D168">
        <v>82</v>
      </c>
      <c r="E168">
        <v>0.94285714285714284</v>
      </c>
      <c r="F168">
        <v>3.0303030303030304E-2</v>
      </c>
      <c r="G168">
        <v>46.7</v>
      </c>
      <c r="H168">
        <v>0.01</v>
      </c>
      <c r="I168">
        <v>46.690000000000005</v>
      </c>
      <c r="J168">
        <v>954.34</v>
      </c>
      <c r="K168">
        <v>30</v>
      </c>
      <c r="L168">
        <v>0</v>
      </c>
      <c r="M168" t="s">
        <v>2169</v>
      </c>
      <c r="N168">
        <v>29</v>
      </c>
      <c r="O168">
        <v>53</v>
      </c>
      <c r="P168">
        <v>45.87</v>
      </c>
      <c r="Q168">
        <v>0</v>
      </c>
      <c r="R168">
        <v>0.82</v>
      </c>
      <c r="S168">
        <v>22.72</v>
      </c>
      <c r="T168">
        <v>22.62</v>
      </c>
      <c r="U168">
        <v>1.76</v>
      </c>
      <c r="V168">
        <v>99</v>
      </c>
      <c r="W168">
        <v>6</v>
      </c>
      <c r="X168">
        <v>3</v>
      </c>
      <c r="Y168">
        <v>0</v>
      </c>
      <c r="Z168">
        <v>0</v>
      </c>
      <c r="AA168" t="s">
        <v>114</v>
      </c>
      <c r="AB168">
        <v>46.690000000000005</v>
      </c>
      <c r="AC168">
        <v>0.1</v>
      </c>
      <c r="AD168">
        <v>0.05</v>
      </c>
      <c r="AE168">
        <v>0</v>
      </c>
      <c r="AF168" t="s">
        <v>2165</v>
      </c>
      <c r="AG168" t="s">
        <v>1599</v>
      </c>
      <c r="AH168">
        <v>0.7</v>
      </c>
    </row>
    <row r="169" spans="1:34" x14ac:dyDescent="0.25">
      <c r="A169" s="2">
        <v>45677</v>
      </c>
      <c r="B169" t="s">
        <v>2167</v>
      </c>
      <c r="C169" t="s">
        <v>2168</v>
      </c>
      <c r="D169">
        <v>152</v>
      </c>
      <c r="E169">
        <v>0.99428571428571433</v>
      </c>
      <c r="F169">
        <v>2.8735632183908046E-2</v>
      </c>
      <c r="G169">
        <v>71.62</v>
      </c>
      <c r="H169">
        <v>1.3</v>
      </c>
      <c r="I169">
        <v>70.320000000000007</v>
      </c>
      <c r="J169">
        <v>1748.35</v>
      </c>
      <c r="K169">
        <v>161.83000000000001</v>
      </c>
      <c r="L169">
        <v>6</v>
      </c>
      <c r="M169" t="s">
        <v>2169</v>
      </c>
      <c r="N169">
        <v>18</v>
      </c>
      <c r="O169">
        <v>134</v>
      </c>
      <c r="P169">
        <v>67.69</v>
      </c>
      <c r="Q169">
        <v>1</v>
      </c>
      <c r="R169">
        <v>2.62</v>
      </c>
      <c r="S169">
        <v>16.73</v>
      </c>
      <c r="T169">
        <v>15.28</v>
      </c>
      <c r="U169">
        <v>2.12</v>
      </c>
      <c r="V169">
        <v>174</v>
      </c>
      <c r="W169">
        <v>0</v>
      </c>
      <c r="X169">
        <v>5</v>
      </c>
      <c r="Y169">
        <v>70.320000000000007</v>
      </c>
      <c r="Z169">
        <v>0</v>
      </c>
      <c r="AA169" t="s">
        <v>115</v>
      </c>
      <c r="AB169">
        <v>0</v>
      </c>
      <c r="AC169">
        <v>0.1</v>
      </c>
      <c r="AD169">
        <v>0.05</v>
      </c>
      <c r="AE169">
        <v>70.320000000000007</v>
      </c>
      <c r="AF169" t="s">
        <v>2165</v>
      </c>
      <c r="AG169" t="s">
        <v>1599</v>
      </c>
      <c r="AH169">
        <v>0.7</v>
      </c>
    </row>
    <row r="170" spans="1:34" x14ac:dyDescent="0.25">
      <c r="A170" s="2">
        <v>45670</v>
      </c>
      <c r="B170" t="s">
        <v>2170</v>
      </c>
      <c r="C170" t="s">
        <v>2171</v>
      </c>
      <c r="D170">
        <v>35</v>
      </c>
      <c r="E170">
        <v>1</v>
      </c>
      <c r="F170">
        <v>0</v>
      </c>
      <c r="G170">
        <v>18.829999999999998</v>
      </c>
      <c r="H170">
        <v>0</v>
      </c>
      <c r="I170">
        <v>18.829999999999998</v>
      </c>
      <c r="J170">
        <v>372.04</v>
      </c>
      <c r="K170">
        <v>31.89</v>
      </c>
      <c r="L170">
        <v>0</v>
      </c>
      <c r="M170" t="s">
        <v>2172</v>
      </c>
      <c r="N170">
        <v>6</v>
      </c>
      <c r="O170">
        <v>29</v>
      </c>
      <c r="P170">
        <v>18.600000000000001</v>
      </c>
      <c r="Q170">
        <v>0</v>
      </c>
      <c r="R170">
        <v>0.22</v>
      </c>
      <c r="S170">
        <v>0</v>
      </c>
      <c r="T170">
        <v>0</v>
      </c>
      <c r="U170">
        <v>1.86</v>
      </c>
      <c r="V170">
        <v>42</v>
      </c>
      <c r="W170">
        <v>0</v>
      </c>
      <c r="X170">
        <v>0</v>
      </c>
      <c r="Y170">
        <v>18.829999999999998</v>
      </c>
      <c r="Z170">
        <v>0</v>
      </c>
      <c r="AA170" t="s">
        <v>114</v>
      </c>
      <c r="AB170">
        <v>0</v>
      </c>
      <c r="AC170">
        <v>0.1</v>
      </c>
      <c r="AD170">
        <v>0.05</v>
      </c>
      <c r="AE170">
        <v>18.829999999999998</v>
      </c>
      <c r="AF170" t="s">
        <v>2166</v>
      </c>
      <c r="AG170" t="s">
        <v>1599</v>
      </c>
      <c r="AH170">
        <v>0.7</v>
      </c>
    </row>
    <row r="171" spans="1:34" x14ac:dyDescent="0.25">
      <c r="A171" s="2">
        <v>45677</v>
      </c>
      <c r="B171" t="s">
        <v>2170</v>
      </c>
      <c r="C171" t="s">
        <v>2171</v>
      </c>
      <c r="D171">
        <v>44</v>
      </c>
      <c r="E171">
        <v>0.96153846153846156</v>
      </c>
      <c r="F171">
        <v>0</v>
      </c>
      <c r="G171">
        <v>29.85</v>
      </c>
      <c r="H171">
        <v>0.12</v>
      </c>
      <c r="I171">
        <v>29.73</v>
      </c>
      <c r="J171">
        <v>607.66999999999996</v>
      </c>
      <c r="K171">
        <v>63.79</v>
      </c>
      <c r="L171">
        <v>12.18</v>
      </c>
      <c r="M171" t="s">
        <v>2172</v>
      </c>
      <c r="N171">
        <v>20</v>
      </c>
      <c r="O171">
        <v>24</v>
      </c>
      <c r="P171">
        <v>29.07</v>
      </c>
      <c r="Q171">
        <v>1</v>
      </c>
      <c r="R171">
        <v>0.65</v>
      </c>
      <c r="S171">
        <v>25.96</v>
      </c>
      <c r="T171">
        <v>25.34</v>
      </c>
      <c r="U171">
        <v>1.47</v>
      </c>
      <c r="V171">
        <v>50</v>
      </c>
      <c r="W171">
        <v>1</v>
      </c>
      <c r="X171">
        <v>0</v>
      </c>
      <c r="Y171">
        <v>29.73</v>
      </c>
      <c r="Z171">
        <v>0</v>
      </c>
      <c r="AA171" t="s">
        <v>115</v>
      </c>
      <c r="AB171">
        <v>0</v>
      </c>
      <c r="AC171">
        <v>0.1</v>
      </c>
      <c r="AD171">
        <v>0.05</v>
      </c>
      <c r="AE171">
        <v>29.73</v>
      </c>
      <c r="AF171" t="s">
        <v>2166</v>
      </c>
      <c r="AG171" t="s">
        <v>1599</v>
      </c>
      <c r="AH171">
        <v>0.7</v>
      </c>
    </row>
    <row r="172" spans="1:34" x14ac:dyDescent="0.25">
      <c r="A172" s="2">
        <v>45677</v>
      </c>
      <c r="B172" t="s">
        <v>2173</v>
      </c>
      <c r="C172" t="s">
        <v>2174</v>
      </c>
      <c r="D172">
        <v>63</v>
      </c>
      <c r="E172">
        <v>0.92380952380952386</v>
      </c>
      <c r="F172">
        <v>0.19587628865979381</v>
      </c>
      <c r="G172">
        <v>35.659999999999997</v>
      </c>
      <c r="H172">
        <v>0.23</v>
      </c>
      <c r="I172">
        <v>35.43</v>
      </c>
      <c r="J172">
        <v>869.21</v>
      </c>
      <c r="K172">
        <v>38.96</v>
      </c>
      <c r="L172">
        <v>7.51</v>
      </c>
      <c r="M172" t="s">
        <v>2175</v>
      </c>
      <c r="N172">
        <v>9</v>
      </c>
      <c r="O172">
        <v>54</v>
      </c>
      <c r="P172">
        <v>34.06</v>
      </c>
      <c r="Q172">
        <v>7</v>
      </c>
      <c r="R172">
        <v>1.38</v>
      </c>
      <c r="S172">
        <v>3.93</v>
      </c>
      <c r="T172">
        <v>3.66</v>
      </c>
      <c r="U172">
        <v>1.77</v>
      </c>
      <c r="V172">
        <v>97</v>
      </c>
      <c r="W172">
        <v>1</v>
      </c>
      <c r="X172">
        <v>19</v>
      </c>
      <c r="Y172">
        <v>0</v>
      </c>
      <c r="Z172">
        <v>0</v>
      </c>
      <c r="AA172" t="s">
        <v>115</v>
      </c>
      <c r="AB172">
        <v>35.43</v>
      </c>
      <c r="AC172">
        <v>0.1</v>
      </c>
      <c r="AD172">
        <v>0.05</v>
      </c>
      <c r="AE172">
        <v>0</v>
      </c>
      <c r="AF172" t="s">
        <v>2164</v>
      </c>
      <c r="AG172" t="s">
        <v>1599</v>
      </c>
      <c r="AH172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AA45"/>
  <sheetViews>
    <sheetView showGridLines="0" topLeftCell="B3" workbookViewId="0">
      <selection activeCell="L9" sqref="L9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  <col min="10" max="10" width="17" customWidth="1"/>
    <col min="21" max="27" width="0" hidden="1" customWidth="1"/>
  </cols>
  <sheetData>
    <row r="3" spans="1:27" ht="30" x14ac:dyDescent="0.25">
      <c r="A3" s="89" t="s">
        <v>16</v>
      </c>
      <c r="B3" s="89" t="s">
        <v>42</v>
      </c>
      <c r="C3" t="s">
        <v>2034</v>
      </c>
      <c r="D3" t="s">
        <v>2035</v>
      </c>
      <c r="J3" s="90" t="s">
        <v>16</v>
      </c>
      <c r="K3" s="91" t="s">
        <v>42</v>
      </c>
      <c r="L3" s="92" t="s">
        <v>2137</v>
      </c>
      <c r="M3" s="92" t="s">
        <v>2155</v>
      </c>
      <c r="N3" s="92" t="s">
        <v>2138</v>
      </c>
      <c r="O3" s="92" t="s">
        <v>39</v>
      </c>
      <c r="P3" s="92" t="s">
        <v>2139</v>
      </c>
      <c r="Q3" s="93" t="s">
        <v>2140</v>
      </c>
      <c r="R3" t="s">
        <v>2156</v>
      </c>
      <c r="U3" t="s">
        <v>16</v>
      </c>
      <c r="V3" t="s">
        <v>35</v>
      </c>
      <c r="W3" t="s">
        <v>10</v>
      </c>
      <c r="X3" t="s">
        <v>192</v>
      </c>
      <c r="Y3" t="s">
        <v>2138</v>
      </c>
    </row>
    <row r="4" spans="1:27" x14ac:dyDescent="0.25">
      <c r="A4" t="s">
        <v>1749</v>
      </c>
      <c r="B4" t="s">
        <v>114</v>
      </c>
      <c r="C4">
        <v>50.72</v>
      </c>
      <c r="D4">
        <v>50</v>
      </c>
      <c r="E4" s="99">
        <f>+C4-D4</f>
        <v>0.71999999999999886</v>
      </c>
      <c r="J4" s="96" t="s">
        <v>1749</v>
      </c>
      <c r="K4" s="97" t="s">
        <v>114</v>
      </c>
      <c r="L4" s="98">
        <v>50</v>
      </c>
      <c r="M4" s="98"/>
      <c r="N4" s="98">
        <f t="shared" ref="N4:N42" si="0">+L4+M4</f>
        <v>50</v>
      </c>
      <c r="O4" s="98">
        <v>50.72</v>
      </c>
      <c r="P4" s="98">
        <v>50</v>
      </c>
      <c r="Q4" s="100">
        <v>0</v>
      </c>
      <c r="R4" s="95">
        <f>+O4/L4</f>
        <v>1.0144</v>
      </c>
      <c r="S4">
        <f>+L4+M4-O4</f>
        <v>-0.71999999999999886</v>
      </c>
      <c r="U4" t="s">
        <v>1749</v>
      </c>
      <c r="V4" t="s">
        <v>114</v>
      </c>
      <c r="W4">
        <v>50</v>
      </c>
      <c r="Y4">
        <f>+W4+X4</f>
        <v>50</v>
      </c>
      <c r="AA4" t="b">
        <f t="shared" ref="AA4:AA42" si="1">J4=U4</f>
        <v>1</v>
      </c>
    </row>
    <row r="5" spans="1:27" x14ac:dyDescent="0.25">
      <c r="A5" t="s">
        <v>1749</v>
      </c>
      <c r="B5" t="s">
        <v>115</v>
      </c>
      <c r="C5">
        <v>50.76</v>
      </c>
      <c r="D5">
        <v>50</v>
      </c>
      <c r="E5" s="99">
        <f t="shared" ref="E5:E43" si="2">+C5-D5</f>
        <v>0.75999999999999801</v>
      </c>
      <c r="J5" s="96" t="s">
        <v>1749</v>
      </c>
      <c r="K5" s="97" t="s">
        <v>115</v>
      </c>
      <c r="L5" s="98">
        <v>50</v>
      </c>
      <c r="M5" s="98"/>
      <c r="N5" s="98">
        <f t="shared" si="0"/>
        <v>50</v>
      </c>
      <c r="O5" s="98">
        <v>50.76</v>
      </c>
      <c r="P5" s="98">
        <v>50</v>
      </c>
      <c r="Q5" s="100">
        <v>0</v>
      </c>
      <c r="R5" s="95">
        <f t="shared" ref="R5:R42" si="3">+O5/L5</f>
        <v>1.0151999999999999</v>
      </c>
      <c r="S5">
        <f t="shared" ref="S5:S42" si="4">+L5+M5-O5</f>
        <v>-0.75999999999999801</v>
      </c>
      <c r="U5" t="s">
        <v>1749</v>
      </c>
      <c r="V5" t="s">
        <v>115</v>
      </c>
      <c r="W5">
        <v>50</v>
      </c>
      <c r="Y5">
        <f t="shared" ref="Y5:Y15" si="5">+W5+X5</f>
        <v>50</v>
      </c>
      <c r="AA5" t="b">
        <f t="shared" si="1"/>
        <v>1</v>
      </c>
    </row>
    <row r="6" spans="1:27" x14ac:dyDescent="0.25">
      <c r="A6" t="s">
        <v>1815</v>
      </c>
      <c r="B6" t="s">
        <v>114</v>
      </c>
      <c r="C6">
        <v>50.15</v>
      </c>
      <c r="D6">
        <v>50</v>
      </c>
      <c r="E6" s="99">
        <f t="shared" si="2"/>
        <v>0.14999999999999858</v>
      </c>
      <c r="J6" s="96" t="s">
        <v>1815</v>
      </c>
      <c r="K6" s="97" t="s">
        <v>114</v>
      </c>
      <c r="L6" s="98">
        <v>50</v>
      </c>
      <c r="M6" s="98"/>
      <c r="N6" s="98">
        <f t="shared" si="0"/>
        <v>50</v>
      </c>
      <c r="O6" s="98">
        <v>50.15</v>
      </c>
      <c r="P6" s="98">
        <v>50</v>
      </c>
      <c r="Q6" s="94">
        <f t="shared" ref="Q6:Q13" si="6">+O6-P6</f>
        <v>0.14999999999999858</v>
      </c>
      <c r="R6" s="95">
        <f t="shared" si="3"/>
        <v>1.0029999999999999</v>
      </c>
      <c r="S6">
        <f t="shared" si="4"/>
        <v>-0.14999999999999858</v>
      </c>
      <c r="U6" t="s">
        <v>1815</v>
      </c>
      <c r="V6" t="s">
        <v>114</v>
      </c>
      <c r="W6">
        <v>50</v>
      </c>
      <c r="Y6">
        <f t="shared" si="5"/>
        <v>50</v>
      </c>
      <c r="AA6" t="b">
        <f t="shared" si="1"/>
        <v>1</v>
      </c>
    </row>
    <row r="7" spans="1:27" x14ac:dyDescent="0.25">
      <c r="A7" t="s">
        <v>1815</v>
      </c>
      <c r="B7" t="s">
        <v>115</v>
      </c>
      <c r="C7">
        <v>50.160000000000004</v>
      </c>
      <c r="D7">
        <v>50</v>
      </c>
      <c r="E7" s="99">
        <f t="shared" si="2"/>
        <v>0.16000000000000369</v>
      </c>
      <c r="J7" s="96" t="s">
        <v>1815</v>
      </c>
      <c r="K7" s="97" t="s">
        <v>115</v>
      </c>
      <c r="L7" s="98">
        <v>50</v>
      </c>
      <c r="M7" s="98"/>
      <c r="N7" s="98">
        <f t="shared" si="0"/>
        <v>50</v>
      </c>
      <c r="O7" s="98">
        <v>50.160000000000004</v>
      </c>
      <c r="P7" s="98">
        <v>50</v>
      </c>
      <c r="Q7" s="94">
        <f t="shared" si="6"/>
        <v>0.16000000000000369</v>
      </c>
      <c r="R7" s="95">
        <f t="shared" si="3"/>
        <v>1.0032000000000001</v>
      </c>
      <c r="S7">
        <f t="shared" si="4"/>
        <v>-0.16000000000000369</v>
      </c>
      <c r="U7" t="s">
        <v>1815</v>
      </c>
      <c r="V7" t="s">
        <v>115</v>
      </c>
      <c r="W7">
        <v>50</v>
      </c>
      <c r="Y7">
        <f t="shared" si="5"/>
        <v>50</v>
      </c>
      <c r="AA7" t="b">
        <f t="shared" si="1"/>
        <v>1</v>
      </c>
    </row>
    <row r="8" spans="1:27" x14ac:dyDescent="0.25">
      <c r="A8" t="s">
        <v>1814</v>
      </c>
      <c r="B8" t="s">
        <v>114</v>
      </c>
      <c r="C8">
        <v>78.38</v>
      </c>
      <c r="D8">
        <v>78.38</v>
      </c>
      <c r="E8" s="99">
        <f t="shared" si="2"/>
        <v>0</v>
      </c>
      <c r="J8" s="101" t="s">
        <v>1814</v>
      </c>
      <c r="K8" s="102" t="s">
        <v>114</v>
      </c>
      <c r="L8" s="103">
        <v>85</v>
      </c>
      <c r="M8" s="103"/>
      <c r="N8" s="103">
        <f t="shared" si="0"/>
        <v>85</v>
      </c>
      <c r="O8" s="103">
        <v>78.38</v>
      </c>
      <c r="P8" s="103">
        <v>78.38</v>
      </c>
      <c r="Q8" s="104">
        <f t="shared" si="6"/>
        <v>0</v>
      </c>
      <c r="R8" s="105">
        <f t="shared" si="3"/>
        <v>0.92211764705882349</v>
      </c>
      <c r="S8">
        <f t="shared" si="4"/>
        <v>6.6200000000000045</v>
      </c>
      <c r="U8" t="s">
        <v>1814</v>
      </c>
      <c r="V8" t="s">
        <v>114</v>
      </c>
      <c r="W8">
        <v>85</v>
      </c>
      <c r="Y8">
        <f t="shared" si="5"/>
        <v>85</v>
      </c>
      <c r="AA8" t="b">
        <f t="shared" si="1"/>
        <v>1</v>
      </c>
    </row>
    <row r="9" spans="1:27" x14ac:dyDescent="0.25">
      <c r="A9" t="s">
        <v>1814</v>
      </c>
      <c r="B9" t="s">
        <v>115</v>
      </c>
      <c r="C9">
        <v>104.64</v>
      </c>
      <c r="D9">
        <v>104.64</v>
      </c>
      <c r="E9" s="99">
        <f t="shared" si="2"/>
        <v>0</v>
      </c>
      <c r="J9" s="96" t="s">
        <v>1814</v>
      </c>
      <c r="K9" s="97" t="s">
        <v>115</v>
      </c>
      <c r="L9" s="98">
        <v>100</v>
      </c>
      <c r="M9" s="98">
        <v>5</v>
      </c>
      <c r="N9" s="98">
        <f t="shared" si="0"/>
        <v>105</v>
      </c>
      <c r="O9" s="98">
        <v>104.64</v>
      </c>
      <c r="P9" s="98">
        <v>104.64</v>
      </c>
      <c r="Q9" s="94">
        <f t="shared" si="6"/>
        <v>0</v>
      </c>
      <c r="R9" s="95">
        <f t="shared" si="3"/>
        <v>1.0464</v>
      </c>
      <c r="S9">
        <f t="shared" si="4"/>
        <v>0.35999999999999943</v>
      </c>
      <c r="U9" t="s">
        <v>1814</v>
      </c>
      <c r="V9" t="s">
        <v>115</v>
      </c>
      <c r="W9">
        <v>100</v>
      </c>
      <c r="X9">
        <v>5</v>
      </c>
      <c r="Y9">
        <f t="shared" si="5"/>
        <v>105</v>
      </c>
      <c r="AA9" t="b">
        <f t="shared" si="1"/>
        <v>1</v>
      </c>
    </row>
    <row r="10" spans="1:27" x14ac:dyDescent="0.25">
      <c r="A10" t="s">
        <v>1599</v>
      </c>
      <c r="B10" t="s">
        <v>114</v>
      </c>
      <c r="C10">
        <v>783.38000000000022</v>
      </c>
      <c r="D10">
        <v>783.38000000000022</v>
      </c>
      <c r="E10" s="99">
        <f t="shared" si="2"/>
        <v>0</v>
      </c>
      <c r="J10" s="96" t="s">
        <v>1599</v>
      </c>
      <c r="K10" s="97" t="s">
        <v>114</v>
      </c>
      <c r="L10" s="98">
        <v>800</v>
      </c>
      <c r="M10" s="98"/>
      <c r="N10" s="98">
        <f t="shared" si="0"/>
        <v>800</v>
      </c>
      <c r="O10" s="98">
        <v>783.38000000000022</v>
      </c>
      <c r="P10" s="98">
        <v>783.38000000000022</v>
      </c>
      <c r="Q10" s="94">
        <f t="shared" si="6"/>
        <v>0</v>
      </c>
      <c r="R10" s="95">
        <f t="shared" si="3"/>
        <v>0.97922500000000023</v>
      </c>
      <c r="S10">
        <f t="shared" si="4"/>
        <v>16.619999999999777</v>
      </c>
      <c r="U10" t="s">
        <v>2141</v>
      </c>
      <c r="V10" t="s">
        <v>114</v>
      </c>
      <c r="W10">
        <v>800</v>
      </c>
      <c r="Y10">
        <f t="shared" si="5"/>
        <v>800</v>
      </c>
      <c r="AA10" t="b">
        <f t="shared" si="1"/>
        <v>1</v>
      </c>
    </row>
    <row r="11" spans="1:27" x14ac:dyDescent="0.25">
      <c r="A11" t="s">
        <v>1599</v>
      </c>
      <c r="B11" t="s">
        <v>115</v>
      </c>
      <c r="C11">
        <v>811.25000000000011</v>
      </c>
      <c r="D11">
        <v>811</v>
      </c>
      <c r="E11" s="99">
        <f t="shared" si="2"/>
        <v>0.25000000000011369</v>
      </c>
      <c r="J11" s="96" t="s">
        <v>1599</v>
      </c>
      <c r="K11" s="97" t="s">
        <v>115</v>
      </c>
      <c r="L11" s="98">
        <v>800</v>
      </c>
      <c r="M11" s="98"/>
      <c r="N11" s="98">
        <f t="shared" si="0"/>
        <v>800</v>
      </c>
      <c r="O11" s="98">
        <v>811.25000000000011</v>
      </c>
      <c r="P11" s="98">
        <v>811</v>
      </c>
      <c r="Q11" s="100">
        <v>0</v>
      </c>
      <c r="R11" s="95">
        <f t="shared" si="3"/>
        <v>1.0140625000000001</v>
      </c>
      <c r="S11">
        <f t="shared" si="4"/>
        <v>-11.250000000000114</v>
      </c>
      <c r="U11" t="s">
        <v>2141</v>
      </c>
      <c r="V11" t="s">
        <v>115</v>
      </c>
      <c r="W11">
        <v>800</v>
      </c>
      <c r="Y11">
        <f t="shared" si="5"/>
        <v>800</v>
      </c>
      <c r="AA11" t="b">
        <f t="shared" si="1"/>
        <v>1</v>
      </c>
    </row>
    <row r="12" spans="1:27" x14ac:dyDescent="0.25">
      <c r="A12" t="s">
        <v>1667</v>
      </c>
      <c r="B12" t="s">
        <v>114</v>
      </c>
      <c r="C12">
        <v>38.36</v>
      </c>
      <c r="D12">
        <v>38.36</v>
      </c>
      <c r="E12" s="99">
        <f t="shared" si="2"/>
        <v>0</v>
      </c>
      <c r="J12" s="101" t="s">
        <v>1667</v>
      </c>
      <c r="K12" s="102" t="s">
        <v>114</v>
      </c>
      <c r="L12" s="103">
        <v>50</v>
      </c>
      <c r="M12" s="103"/>
      <c r="N12" s="103">
        <f t="shared" si="0"/>
        <v>50</v>
      </c>
      <c r="O12" s="103">
        <v>38.36</v>
      </c>
      <c r="P12" s="103">
        <v>38.36</v>
      </c>
      <c r="Q12" s="104">
        <f t="shared" si="6"/>
        <v>0</v>
      </c>
      <c r="R12" s="105">
        <f t="shared" si="3"/>
        <v>0.76719999999999999</v>
      </c>
      <c r="S12">
        <f t="shared" si="4"/>
        <v>11.64</v>
      </c>
      <c r="U12" t="s">
        <v>1667</v>
      </c>
      <c r="V12" t="s">
        <v>114</v>
      </c>
      <c r="W12">
        <v>50</v>
      </c>
      <c r="Y12">
        <f t="shared" si="5"/>
        <v>50</v>
      </c>
      <c r="AA12" t="b">
        <f t="shared" si="1"/>
        <v>1</v>
      </c>
    </row>
    <row r="13" spans="1:27" x14ac:dyDescent="0.25">
      <c r="A13" t="s">
        <v>1667</v>
      </c>
      <c r="B13" t="s">
        <v>115</v>
      </c>
      <c r="C13">
        <v>45.26</v>
      </c>
      <c r="D13">
        <v>45.26</v>
      </c>
      <c r="E13" s="99">
        <f t="shared" si="2"/>
        <v>0</v>
      </c>
      <c r="J13" s="106" t="s">
        <v>1667</v>
      </c>
      <c r="K13" s="107" t="s">
        <v>115</v>
      </c>
      <c r="L13" s="108">
        <v>45</v>
      </c>
      <c r="M13" s="108"/>
      <c r="N13" s="103">
        <f t="shared" si="0"/>
        <v>45</v>
      </c>
      <c r="O13" s="108">
        <v>45.26</v>
      </c>
      <c r="P13" s="108">
        <v>45.26</v>
      </c>
      <c r="Q13" s="104">
        <f t="shared" si="6"/>
        <v>0</v>
      </c>
      <c r="R13" s="105">
        <f t="shared" si="3"/>
        <v>1.0057777777777777</v>
      </c>
      <c r="S13">
        <f t="shared" si="4"/>
        <v>-0.25999999999999801</v>
      </c>
      <c r="U13" t="s">
        <v>1667</v>
      </c>
      <c r="V13" t="s">
        <v>115</v>
      </c>
      <c r="W13">
        <v>50</v>
      </c>
      <c r="Y13">
        <f t="shared" si="5"/>
        <v>50</v>
      </c>
      <c r="AA13" t="b">
        <f t="shared" si="1"/>
        <v>1</v>
      </c>
    </row>
    <row r="14" spans="1:27" x14ac:dyDescent="0.25">
      <c r="A14" t="s">
        <v>1812</v>
      </c>
      <c r="B14" t="s">
        <v>114</v>
      </c>
      <c r="C14">
        <v>50.82</v>
      </c>
      <c r="D14">
        <v>50</v>
      </c>
      <c r="E14" s="99">
        <f t="shared" si="2"/>
        <v>0.82000000000000028</v>
      </c>
      <c r="J14" s="96" t="s">
        <v>1812</v>
      </c>
      <c r="K14" s="97" t="s">
        <v>114</v>
      </c>
      <c r="L14" s="98">
        <v>50</v>
      </c>
      <c r="M14" s="98"/>
      <c r="N14" s="98">
        <f t="shared" si="0"/>
        <v>50</v>
      </c>
      <c r="O14" s="98">
        <v>50.82</v>
      </c>
      <c r="P14" s="98">
        <v>50</v>
      </c>
      <c r="Q14" s="100">
        <v>0</v>
      </c>
      <c r="R14" s="95">
        <f t="shared" si="3"/>
        <v>1.0164</v>
      </c>
      <c r="S14">
        <f t="shared" si="4"/>
        <v>-0.82000000000000028</v>
      </c>
      <c r="U14" t="s">
        <v>2142</v>
      </c>
      <c r="V14" t="s">
        <v>114</v>
      </c>
      <c r="W14">
        <v>50</v>
      </c>
      <c r="Y14">
        <f t="shared" si="5"/>
        <v>50</v>
      </c>
      <c r="AA14" t="b">
        <f t="shared" si="1"/>
        <v>1</v>
      </c>
    </row>
    <row r="15" spans="1:27" x14ac:dyDescent="0.25">
      <c r="A15" t="s">
        <v>1812</v>
      </c>
      <c r="B15" t="s">
        <v>115</v>
      </c>
      <c r="C15">
        <v>51.18</v>
      </c>
      <c r="D15">
        <v>50</v>
      </c>
      <c r="E15" s="99">
        <f t="shared" si="2"/>
        <v>1.1799999999999997</v>
      </c>
      <c r="J15" s="96" t="s">
        <v>1812</v>
      </c>
      <c r="K15" s="97" t="s">
        <v>115</v>
      </c>
      <c r="L15" s="98">
        <v>50</v>
      </c>
      <c r="M15" s="98"/>
      <c r="N15" s="98">
        <f t="shared" si="0"/>
        <v>50</v>
      </c>
      <c r="O15" s="98">
        <v>51.18</v>
      </c>
      <c r="P15" s="98">
        <v>50</v>
      </c>
      <c r="Q15" s="100">
        <f t="shared" ref="Q15:Q42" si="7">+O15-P15</f>
        <v>1.1799999999999997</v>
      </c>
      <c r="R15" s="95">
        <f t="shared" si="3"/>
        <v>1.0236000000000001</v>
      </c>
      <c r="S15">
        <f t="shared" si="4"/>
        <v>-1.1799999999999997</v>
      </c>
      <c r="U15" t="s">
        <v>2142</v>
      </c>
      <c r="V15" t="s">
        <v>115</v>
      </c>
      <c r="W15">
        <v>50</v>
      </c>
      <c r="Y15">
        <f t="shared" si="5"/>
        <v>50</v>
      </c>
      <c r="AA15" t="b">
        <f t="shared" si="1"/>
        <v>1</v>
      </c>
    </row>
    <row r="16" spans="1:27" x14ac:dyDescent="0.25">
      <c r="A16" t="s">
        <v>1750</v>
      </c>
      <c r="B16" t="s">
        <v>114</v>
      </c>
      <c r="C16">
        <v>50.06</v>
      </c>
      <c r="D16">
        <v>50</v>
      </c>
      <c r="E16" s="99">
        <f t="shared" si="2"/>
        <v>6.0000000000002274E-2</v>
      </c>
      <c r="J16" s="96" t="s">
        <v>1750</v>
      </c>
      <c r="K16" s="97" t="s">
        <v>114</v>
      </c>
      <c r="L16" s="98">
        <v>50</v>
      </c>
      <c r="M16" s="98"/>
      <c r="N16" s="98">
        <f t="shared" si="0"/>
        <v>50</v>
      </c>
      <c r="O16" s="98">
        <v>50.06</v>
      </c>
      <c r="P16" s="98">
        <v>50</v>
      </c>
      <c r="Q16" s="94">
        <f t="shared" si="7"/>
        <v>6.0000000000002274E-2</v>
      </c>
      <c r="R16" s="95">
        <f t="shared" si="3"/>
        <v>1.0012000000000001</v>
      </c>
      <c r="S16">
        <f t="shared" si="4"/>
        <v>-6.0000000000002274E-2</v>
      </c>
      <c r="U16" t="s">
        <v>2143</v>
      </c>
      <c r="V16" t="s">
        <v>115</v>
      </c>
      <c r="W16">
        <v>50</v>
      </c>
      <c r="Y16">
        <f t="shared" ref="Y16:Y28" si="8">+W16+X16</f>
        <v>50</v>
      </c>
      <c r="AA16" t="b">
        <f t="shared" si="1"/>
        <v>1</v>
      </c>
    </row>
    <row r="17" spans="1:27" x14ac:dyDescent="0.25">
      <c r="A17" t="s">
        <v>1750</v>
      </c>
      <c r="B17" t="s">
        <v>115</v>
      </c>
      <c r="C17">
        <v>50.29</v>
      </c>
      <c r="D17">
        <v>50</v>
      </c>
      <c r="E17" s="99">
        <f t="shared" si="2"/>
        <v>0.28999999999999915</v>
      </c>
      <c r="J17" s="96" t="s">
        <v>1750</v>
      </c>
      <c r="K17" s="97" t="s">
        <v>115</v>
      </c>
      <c r="L17" s="98">
        <v>50</v>
      </c>
      <c r="M17" s="98"/>
      <c r="N17" s="98">
        <f t="shared" si="0"/>
        <v>50</v>
      </c>
      <c r="O17" s="98">
        <v>50.29</v>
      </c>
      <c r="P17" s="98">
        <v>50</v>
      </c>
      <c r="Q17" s="94">
        <f t="shared" si="7"/>
        <v>0.28999999999999915</v>
      </c>
      <c r="R17" s="95">
        <f t="shared" si="3"/>
        <v>1.0058</v>
      </c>
      <c r="S17">
        <f t="shared" si="4"/>
        <v>-0.28999999999999915</v>
      </c>
      <c r="U17" t="s">
        <v>2143</v>
      </c>
      <c r="V17" t="s">
        <v>114</v>
      </c>
      <c r="W17">
        <v>50</v>
      </c>
      <c r="Y17">
        <f t="shared" si="8"/>
        <v>50</v>
      </c>
      <c r="AA17" t="b">
        <f t="shared" si="1"/>
        <v>1</v>
      </c>
    </row>
    <row r="18" spans="1:27" x14ac:dyDescent="0.25">
      <c r="A18" t="s">
        <v>1600</v>
      </c>
      <c r="B18" t="s">
        <v>114</v>
      </c>
      <c r="C18">
        <v>538.77</v>
      </c>
      <c r="D18">
        <v>538.77</v>
      </c>
      <c r="E18" s="99">
        <f t="shared" si="2"/>
        <v>0</v>
      </c>
      <c r="J18" s="96" t="s">
        <v>1600</v>
      </c>
      <c r="K18" s="97" t="s">
        <v>114</v>
      </c>
      <c r="L18" s="98">
        <v>540</v>
      </c>
      <c r="M18" s="98">
        <v>10</v>
      </c>
      <c r="N18" s="98">
        <f t="shared" si="0"/>
        <v>550</v>
      </c>
      <c r="O18" s="98">
        <v>538.77</v>
      </c>
      <c r="P18" s="98">
        <v>538.77</v>
      </c>
      <c r="Q18" s="94">
        <f t="shared" si="7"/>
        <v>0</v>
      </c>
      <c r="R18" s="95">
        <f t="shared" si="3"/>
        <v>0.99772222222222218</v>
      </c>
      <c r="S18">
        <f t="shared" si="4"/>
        <v>11.230000000000018</v>
      </c>
      <c r="U18" t="s">
        <v>2144</v>
      </c>
      <c r="V18" t="s">
        <v>115</v>
      </c>
      <c r="W18">
        <v>540</v>
      </c>
      <c r="X18">
        <v>10</v>
      </c>
      <c r="Y18">
        <f t="shared" si="8"/>
        <v>550</v>
      </c>
      <c r="AA18" t="b">
        <f t="shared" si="1"/>
        <v>1</v>
      </c>
    </row>
    <row r="19" spans="1:27" x14ac:dyDescent="0.25">
      <c r="A19" t="s">
        <v>1600</v>
      </c>
      <c r="B19" t="s">
        <v>115</v>
      </c>
      <c r="C19">
        <v>546.81999999999994</v>
      </c>
      <c r="D19">
        <v>546.81999999999994</v>
      </c>
      <c r="E19" s="99">
        <f t="shared" si="2"/>
        <v>0</v>
      </c>
      <c r="J19" s="96" t="s">
        <v>1600</v>
      </c>
      <c r="K19" s="97" t="s">
        <v>115</v>
      </c>
      <c r="L19" s="98">
        <v>540</v>
      </c>
      <c r="M19" s="98">
        <v>10</v>
      </c>
      <c r="N19" s="98">
        <f t="shared" si="0"/>
        <v>550</v>
      </c>
      <c r="O19" s="98">
        <v>546.81999999999994</v>
      </c>
      <c r="P19" s="98">
        <v>546.81999999999994</v>
      </c>
      <c r="Q19" s="94">
        <f t="shared" si="7"/>
        <v>0</v>
      </c>
      <c r="R19" s="95">
        <f t="shared" si="3"/>
        <v>1.0126296296296295</v>
      </c>
      <c r="S19">
        <f t="shared" si="4"/>
        <v>3.1800000000000637</v>
      </c>
      <c r="U19" t="s">
        <v>2144</v>
      </c>
      <c r="V19" t="s">
        <v>114</v>
      </c>
      <c r="W19">
        <v>540</v>
      </c>
      <c r="X19">
        <v>10</v>
      </c>
      <c r="Y19">
        <f t="shared" si="8"/>
        <v>550</v>
      </c>
      <c r="AA19" t="b">
        <f t="shared" si="1"/>
        <v>1</v>
      </c>
    </row>
    <row r="20" spans="1:27" x14ac:dyDescent="0.25">
      <c r="A20" t="s">
        <v>1742</v>
      </c>
      <c r="B20" t="s">
        <v>114</v>
      </c>
      <c r="C20">
        <v>60.03</v>
      </c>
      <c r="D20">
        <v>60</v>
      </c>
      <c r="E20" s="99">
        <f t="shared" si="2"/>
        <v>3.0000000000001137E-2</v>
      </c>
      <c r="J20" s="96" t="s">
        <v>1742</v>
      </c>
      <c r="K20" s="97" t="s">
        <v>114</v>
      </c>
      <c r="L20" s="98">
        <v>50</v>
      </c>
      <c r="M20" s="98">
        <v>10</v>
      </c>
      <c r="N20" s="98">
        <f t="shared" si="0"/>
        <v>60</v>
      </c>
      <c r="O20" s="98">
        <v>60.03</v>
      </c>
      <c r="P20" s="98">
        <v>60</v>
      </c>
      <c r="Q20" s="94">
        <f t="shared" si="7"/>
        <v>3.0000000000001137E-2</v>
      </c>
      <c r="R20" s="95">
        <f t="shared" si="3"/>
        <v>1.2006000000000001</v>
      </c>
      <c r="S20">
        <f t="shared" si="4"/>
        <v>-3.0000000000001137E-2</v>
      </c>
      <c r="U20" t="s">
        <v>2145</v>
      </c>
      <c r="V20" t="s">
        <v>115</v>
      </c>
      <c r="W20">
        <v>50</v>
      </c>
      <c r="X20">
        <v>10</v>
      </c>
      <c r="Y20">
        <f t="shared" si="8"/>
        <v>60</v>
      </c>
      <c r="AA20" t="b">
        <f t="shared" si="1"/>
        <v>1</v>
      </c>
    </row>
    <row r="21" spans="1:27" x14ac:dyDescent="0.25">
      <c r="A21" t="s">
        <v>1742</v>
      </c>
      <c r="B21" t="s">
        <v>115</v>
      </c>
      <c r="C21">
        <v>55.25</v>
      </c>
      <c r="D21">
        <v>55.25</v>
      </c>
      <c r="E21" s="99">
        <f t="shared" si="2"/>
        <v>0</v>
      </c>
      <c r="J21" s="96" t="s">
        <v>1742</v>
      </c>
      <c r="K21" s="97" t="s">
        <v>115</v>
      </c>
      <c r="L21" s="98">
        <v>50</v>
      </c>
      <c r="M21" s="98">
        <v>10</v>
      </c>
      <c r="N21" s="98">
        <f t="shared" si="0"/>
        <v>60</v>
      </c>
      <c r="O21" s="98">
        <v>55.25</v>
      </c>
      <c r="P21" s="98">
        <v>55.25</v>
      </c>
      <c r="Q21" s="94">
        <f t="shared" si="7"/>
        <v>0</v>
      </c>
      <c r="R21" s="95">
        <f t="shared" si="3"/>
        <v>1.105</v>
      </c>
      <c r="S21">
        <f t="shared" si="4"/>
        <v>4.75</v>
      </c>
      <c r="U21" t="s">
        <v>2145</v>
      </c>
      <c r="V21" t="s">
        <v>114</v>
      </c>
      <c r="W21">
        <v>50</v>
      </c>
      <c r="X21">
        <v>10</v>
      </c>
      <c r="Y21">
        <f t="shared" si="8"/>
        <v>60</v>
      </c>
      <c r="AA21" t="b">
        <f t="shared" si="1"/>
        <v>1</v>
      </c>
    </row>
    <row r="22" spans="1:27" x14ac:dyDescent="0.25">
      <c r="A22" t="s">
        <v>1751</v>
      </c>
      <c r="B22" t="s">
        <v>114</v>
      </c>
      <c r="C22">
        <v>52.14</v>
      </c>
      <c r="D22">
        <v>50</v>
      </c>
      <c r="E22" s="99">
        <f t="shared" si="2"/>
        <v>2.1400000000000006</v>
      </c>
      <c r="J22" s="96" t="s">
        <v>1751</v>
      </c>
      <c r="K22" s="97" t="s">
        <v>114</v>
      </c>
      <c r="L22" s="98">
        <v>50</v>
      </c>
      <c r="M22" s="98"/>
      <c r="N22" s="98">
        <f t="shared" si="0"/>
        <v>50</v>
      </c>
      <c r="O22" s="98">
        <v>52.14</v>
      </c>
      <c r="P22" s="98">
        <v>50</v>
      </c>
      <c r="Q22" s="100">
        <f t="shared" si="7"/>
        <v>2.1400000000000006</v>
      </c>
      <c r="R22" s="95">
        <f t="shared" si="3"/>
        <v>1.0427999999999999</v>
      </c>
      <c r="S22">
        <f t="shared" si="4"/>
        <v>-2.1400000000000006</v>
      </c>
      <c r="U22" t="s">
        <v>2146</v>
      </c>
      <c r="V22" t="s">
        <v>115</v>
      </c>
      <c r="W22">
        <v>50</v>
      </c>
      <c r="Y22">
        <f t="shared" si="8"/>
        <v>50</v>
      </c>
      <c r="AA22" t="b">
        <f t="shared" si="1"/>
        <v>1</v>
      </c>
    </row>
    <row r="23" spans="1:27" x14ac:dyDescent="0.25">
      <c r="A23" t="s">
        <v>1751</v>
      </c>
      <c r="B23" t="s">
        <v>115</v>
      </c>
      <c r="C23">
        <v>53.12</v>
      </c>
      <c r="D23">
        <v>50</v>
      </c>
      <c r="E23" s="99">
        <f t="shared" si="2"/>
        <v>3.1199999999999974</v>
      </c>
      <c r="J23" s="96" t="s">
        <v>1751</v>
      </c>
      <c r="K23" s="97" t="s">
        <v>115</v>
      </c>
      <c r="L23" s="98">
        <v>50</v>
      </c>
      <c r="M23" s="98"/>
      <c r="N23" s="98">
        <f t="shared" si="0"/>
        <v>50</v>
      </c>
      <c r="O23" s="98">
        <v>53.12</v>
      </c>
      <c r="P23" s="98">
        <v>50</v>
      </c>
      <c r="Q23" s="100">
        <f t="shared" si="7"/>
        <v>3.1199999999999974</v>
      </c>
      <c r="R23" s="95">
        <f t="shared" si="3"/>
        <v>1.0624</v>
      </c>
      <c r="S23">
        <f t="shared" si="4"/>
        <v>-3.1199999999999974</v>
      </c>
      <c r="U23" t="s">
        <v>2146</v>
      </c>
      <c r="V23" t="s">
        <v>114</v>
      </c>
      <c r="W23">
        <v>50</v>
      </c>
      <c r="Y23">
        <f t="shared" si="8"/>
        <v>50</v>
      </c>
      <c r="AA23" t="b">
        <f t="shared" si="1"/>
        <v>1</v>
      </c>
    </row>
    <row r="24" spans="1:27" x14ac:dyDescent="0.25">
      <c r="A24" t="s">
        <v>1601</v>
      </c>
      <c r="B24" t="s">
        <v>114</v>
      </c>
      <c r="C24">
        <v>594.35000000000014</v>
      </c>
      <c r="D24">
        <v>594.35000000000014</v>
      </c>
      <c r="E24" s="99">
        <f t="shared" si="2"/>
        <v>0</v>
      </c>
      <c r="J24" s="96" t="s">
        <v>1601</v>
      </c>
      <c r="K24" s="97" t="s">
        <v>114</v>
      </c>
      <c r="L24" s="98">
        <v>540</v>
      </c>
      <c r="M24" s="98">
        <v>60</v>
      </c>
      <c r="N24" s="98">
        <f t="shared" si="0"/>
        <v>600</v>
      </c>
      <c r="O24" s="98">
        <v>594.35000000000014</v>
      </c>
      <c r="P24" s="98">
        <v>594.35000000000014</v>
      </c>
      <c r="Q24" s="94">
        <f t="shared" si="7"/>
        <v>0</v>
      </c>
      <c r="R24" s="95">
        <f t="shared" si="3"/>
        <v>1.1006481481481485</v>
      </c>
      <c r="S24">
        <f t="shared" si="4"/>
        <v>5.6499999999998636</v>
      </c>
      <c r="U24" t="s">
        <v>2147</v>
      </c>
      <c r="V24" t="s">
        <v>115</v>
      </c>
      <c r="W24">
        <v>540</v>
      </c>
      <c r="X24">
        <v>60</v>
      </c>
      <c r="Y24">
        <f t="shared" si="8"/>
        <v>600</v>
      </c>
      <c r="AA24" t="b">
        <f t="shared" si="1"/>
        <v>1</v>
      </c>
    </row>
    <row r="25" spans="1:27" x14ac:dyDescent="0.25">
      <c r="A25" t="s">
        <v>1601</v>
      </c>
      <c r="B25" t="s">
        <v>115</v>
      </c>
      <c r="C25">
        <v>535.58000000000004</v>
      </c>
      <c r="D25">
        <v>535.58000000000004</v>
      </c>
      <c r="E25" s="99">
        <f t="shared" si="2"/>
        <v>0</v>
      </c>
      <c r="J25" s="96" t="s">
        <v>1601</v>
      </c>
      <c r="K25" s="97" t="s">
        <v>115</v>
      </c>
      <c r="L25" s="98">
        <v>540</v>
      </c>
      <c r="M25" s="98">
        <v>30</v>
      </c>
      <c r="N25" s="98">
        <f t="shared" si="0"/>
        <v>570</v>
      </c>
      <c r="O25" s="98">
        <v>535.58000000000004</v>
      </c>
      <c r="P25" s="98">
        <v>535.58000000000004</v>
      </c>
      <c r="Q25" s="94">
        <f t="shared" si="7"/>
        <v>0</v>
      </c>
      <c r="R25" s="95">
        <f t="shared" si="3"/>
        <v>0.99181481481481493</v>
      </c>
      <c r="S25">
        <f t="shared" si="4"/>
        <v>34.419999999999959</v>
      </c>
      <c r="U25" t="s">
        <v>2147</v>
      </c>
      <c r="V25" t="s">
        <v>114</v>
      </c>
      <c r="W25">
        <v>540</v>
      </c>
      <c r="X25">
        <v>30</v>
      </c>
      <c r="Y25">
        <f t="shared" si="8"/>
        <v>570</v>
      </c>
      <c r="AA25" t="b">
        <f t="shared" si="1"/>
        <v>1</v>
      </c>
    </row>
    <row r="26" spans="1:27" x14ac:dyDescent="0.25">
      <c r="A26" t="s">
        <v>1746</v>
      </c>
      <c r="B26" t="s">
        <v>114</v>
      </c>
      <c r="C26">
        <v>36.82</v>
      </c>
      <c r="D26">
        <v>36.82</v>
      </c>
      <c r="E26" s="99">
        <f t="shared" si="2"/>
        <v>0</v>
      </c>
      <c r="J26" s="101" t="s">
        <v>1746</v>
      </c>
      <c r="K26" s="102" t="s">
        <v>114</v>
      </c>
      <c r="L26" s="103">
        <v>50</v>
      </c>
      <c r="M26" s="103"/>
      <c r="N26" s="103">
        <f t="shared" si="0"/>
        <v>50</v>
      </c>
      <c r="O26" s="103">
        <v>36.82</v>
      </c>
      <c r="P26" s="103">
        <v>36.82</v>
      </c>
      <c r="Q26" s="104">
        <f t="shared" si="7"/>
        <v>0</v>
      </c>
      <c r="R26" s="105">
        <f t="shared" si="3"/>
        <v>0.73640000000000005</v>
      </c>
      <c r="S26">
        <f t="shared" si="4"/>
        <v>13.18</v>
      </c>
      <c r="U26" t="s">
        <v>2148</v>
      </c>
      <c r="V26" t="s">
        <v>115</v>
      </c>
      <c r="W26">
        <v>50</v>
      </c>
      <c r="Y26">
        <f t="shared" si="8"/>
        <v>50</v>
      </c>
      <c r="AA26" t="b">
        <f t="shared" si="1"/>
        <v>1</v>
      </c>
    </row>
    <row r="27" spans="1:27" x14ac:dyDescent="0.25">
      <c r="A27" t="s">
        <v>1746</v>
      </c>
      <c r="B27" t="s">
        <v>115</v>
      </c>
      <c r="C27">
        <v>7.3900000000000006</v>
      </c>
      <c r="D27">
        <v>7.3900000000000006</v>
      </c>
      <c r="E27" s="99">
        <f t="shared" si="2"/>
        <v>0</v>
      </c>
      <c r="J27" s="101" t="s">
        <v>1746</v>
      </c>
      <c r="K27" s="102" t="s">
        <v>115</v>
      </c>
      <c r="L27" s="103">
        <v>50</v>
      </c>
      <c r="M27" s="103"/>
      <c r="N27" s="103">
        <f t="shared" si="0"/>
        <v>50</v>
      </c>
      <c r="O27" s="103">
        <v>7.3900000000000006</v>
      </c>
      <c r="P27" s="103">
        <v>7.3900000000000006</v>
      </c>
      <c r="Q27" s="104">
        <f t="shared" si="7"/>
        <v>0</v>
      </c>
      <c r="R27" s="105">
        <f t="shared" si="3"/>
        <v>0.14780000000000001</v>
      </c>
      <c r="S27">
        <f t="shared" si="4"/>
        <v>42.61</v>
      </c>
      <c r="U27" t="s">
        <v>2148</v>
      </c>
      <c r="V27" t="s">
        <v>114</v>
      </c>
      <c r="W27">
        <v>50</v>
      </c>
      <c r="Y27">
        <f t="shared" si="8"/>
        <v>50</v>
      </c>
      <c r="AA27" t="b">
        <f t="shared" si="1"/>
        <v>1</v>
      </c>
    </row>
    <row r="28" spans="1:27" x14ac:dyDescent="0.25">
      <c r="A28" t="s">
        <v>1747</v>
      </c>
      <c r="B28" t="s">
        <v>114</v>
      </c>
      <c r="C28">
        <v>200.78</v>
      </c>
      <c r="D28">
        <v>200</v>
      </c>
      <c r="E28" s="99">
        <f t="shared" si="2"/>
        <v>0.78000000000000114</v>
      </c>
      <c r="J28" s="96" t="s">
        <v>1747</v>
      </c>
      <c r="K28" s="97" t="s">
        <v>114</v>
      </c>
      <c r="L28" s="98">
        <v>200</v>
      </c>
      <c r="M28" s="98"/>
      <c r="N28" s="98">
        <f t="shared" si="0"/>
        <v>200</v>
      </c>
      <c r="O28" s="98">
        <v>200.78</v>
      </c>
      <c r="P28" s="98">
        <v>200</v>
      </c>
      <c r="Q28" s="100">
        <v>0</v>
      </c>
      <c r="R28" s="95">
        <f t="shared" si="3"/>
        <v>1.0039</v>
      </c>
      <c r="S28">
        <f t="shared" si="4"/>
        <v>-0.78000000000000114</v>
      </c>
      <c r="U28" t="s">
        <v>2149</v>
      </c>
      <c r="V28" t="s">
        <v>115</v>
      </c>
      <c r="W28">
        <v>150</v>
      </c>
      <c r="X28">
        <v>10</v>
      </c>
      <c r="Y28">
        <f t="shared" si="8"/>
        <v>160</v>
      </c>
      <c r="AA28" t="b">
        <f t="shared" si="1"/>
        <v>1</v>
      </c>
    </row>
    <row r="29" spans="1:27" x14ac:dyDescent="0.25">
      <c r="A29" t="s">
        <v>1747</v>
      </c>
      <c r="B29" t="s">
        <v>115</v>
      </c>
      <c r="C29">
        <v>210.74</v>
      </c>
      <c r="D29">
        <v>210</v>
      </c>
      <c r="E29" s="99">
        <f t="shared" si="2"/>
        <v>0.74000000000000909</v>
      </c>
      <c r="J29" s="96" t="s">
        <v>1747</v>
      </c>
      <c r="K29" s="97" t="s">
        <v>115</v>
      </c>
      <c r="L29" s="98">
        <v>200</v>
      </c>
      <c r="M29" s="98">
        <v>11</v>
      </c>
      <c r="N29" s="98">
        <f t="shared" si="0"/>
        <v>211</v>
      </c>
      <c r="O29" s="98">
        <v>210.74</v>
      </c>
      <c r="P29" s="98">
        <v>210</v>
      </c>
      <c r="Q29" s="100">
        <v>0</v>
      </c>
      <c r="R29" s="95">
        <f t="shared" si="3"/>
        <v>1.0537000000000001</v>
      </c>
      <c r="S29">
        <f t="shared" si="4"/>
        <v>0.25999999999999091</v>
      </c>
      <c r="U29" t="s">
        <v>2149</v>
      </c>
      <c r="V29" t="s">
        <v>114</v>
      </c>
      <c r="W29">
        <v>150</v>
      </c>
      <c r="X29">
        <v>11</v>
      </c>
      <c r="Y29">
        <f t="shared" ref="Y29" si="9">+W29+X29</f>
        <v>161</v>
      </c>
      <c r="AA29" t="b">
        <f t="shared" si="1"/>
        <v>1</v>
      </c>
    </row>
    <row r="30" spans="1:27" x14ac:dyDescent="0.25">
      <c r="A30" t="s">
        <v>1816</v>
      </c>
      <c r="B30" t="s">
        <v>114</v>
      </c>
      <c r="C30">
        <v>49.5</v>
      </c>
      <c r="D30">
        <v>49.5</v>
      </c>
      <c r="E30" s="99">
        <f t="shared" si="2"/>
        <v>0</v>
      </c>
      <c r="J30" s="96" t="s">
        <v>1816</v>
      </c>
      <c r="K30" s="97" t="s">
        <v>114</v>
      </c>
      <c r="L30" s="98">
        <v>50</v>
      </c>
      <c r="M30" s="98">
        <v>5</v>
      </c>
      <c r="N30" s="98">
        <f t="shared" si="0"/>
        <v>55</v>
      </c>
      <c r="O30" s="98">
        <v>49.5</v>
      </c>
      <c r="P30" s="98">
        <v>49.5</v>
      </c>
      <c r="Q30" s="94">
        <f t="shared" si="7"/>
        <v>0</v>
      </c>
      <c r="R30" s="95">
        <f t="shared" si="3"/>
        <v>0.99</v>
      </c>
      <c r="S30">
        <f t="shared" si="4"/>
        <v>5.5</v>
      </c>
      <c r="U30" t="s">
        <v>2151</v>
      </c>
      <c r="V30" t="s">
        <v>115</v>
      </c>
      <c r="W30">
        <v>50</v>
      </c>
      <c r="X30">
        <v>5</v>
      </c>
      <c r="Y30">
        <f t="shared" ref="Y30:Y36" si="10">+W30+X30</f>
        <v>55</v>
      </c>
      <c r="AA30" t="b">
        <f t="shared" si="1"/>
        <v>1</v>
      </c>
    </row>
    <row r="31" spans="1:27" x14ac:dyDescent="0.25">
      <c r="A31" t="s">
        <v>1816</v>
      </c>
      <c r="B31" t="s">
        <v>115</v>
      </c>
      <c r="C31">
        <v>49.37</v>
      </c>
      <c r="D31">
        <v>49.37</v>
      </c>
      <c r="E31" s="99">
        <f t="shared" si="2"/>
        <v>0</v>
      </c>
      <c r="J31" s="96" t="s">
        <v>1816</v>
      </c>
      <c r="K31" s="97" t="s">
        <v>115</v>
      </c>
      <c r="L31" s="98">
        <v>50</v>
      </c>
      <c r="M31" s="98"/>
      <c r="N31" s="98">
        <f t="shared" si="0"/>
        <v>50</v>
      </c>
      <c r="O31" s="98">
        <v>49.37</v>
      </c>
      <c r="P31" s="98">
        <v>49.37</v>
      </c>
      <c r="Q31" s="94">
        <f t="shared" si="7"/>
        <v>0</v>
      </c>
      <c r="R31" s="95">
        <f t="shared" si="3"/>
        <v>0.98739999999999994</v>
      </c>
      <c r="S31">
        <f t="shared" si="4"/>
        <v>0.63000000000000256</v>
      </c>
      <c r="U31" t="s">
        <v>2151</v>
      </c>
      <c r="V31" t="s">
        <v>114</v>
      </c>
      <c r="W31">
        <v>50</v>
      </c>
      <c r="Y31">
        <f t="shared" si="10"/>
        <v>50</v>
      </c>
      <c r="AA31" t="b">
        <f t="shared" si="1"/>
        <v>1</v>
      </c>
    </row>
    <row r="32" spans="1:27" x14ac:dyDescent="0.25">
      <c r="A32" t="s">
        <v>1748</v>
      </c>
      <c r="B32" t="s">
        <v>114</v>
      </c>
      <c r="C32">
        <v>61.1</v>
      </c>
      <c r="D32">
        <v>61</v>
      </c>
      <c r="E32" s="99">
        <f t="shared" si="2"/>
        <v>0.10000000000000142</v>
      </c>
      <c r="J32" s="96" t="s">
        <v>1748</v>
      </c>
      <c r="K32" s="97" t="s">
        <v>114</v>
      </c>
      <c r="L32" s="98">
        <v>50</v>
      </c>
      <c r="M32" s="98">
        <v>11</v>
      </c>
      <c r="N32" s="98">
        <f t="shared" si="0"/>
        <v>61</v>
      </c>
      <c r="O32" s="98">
        <v>61.1</v>
      </c>
      <c r="P32" s="98">
        <v>61</v>
      </c>
      <c r="Q32" s="94">
        <f t="shared" si="7"/>
        <v>0.10000000000000142</v>
      </c>
      <c r="R32" s="95">
        <f t="shared" si="3"/>
        <v>1.222</v>
      </c>
      <c r="S32">
        <f t="shared" si="4"/>
        <v>-0.10000000000000142</v>
      </c>
      <c r="U32" t="s">
        <v>2150</v>
      </c>
      <c r="V32" t="s">
        <v>115</v>
      </c>
      <c r="W32">
        <v>50</v>
      </c>
      <c r="X32">
        <v>11</v>
      </c>
      <c r="Y32">
        <f t="shared" si="10"/>
        <v>61</v>
      </c>
      <c r="AA32" t="b">
        <f t="shared" si="1"/>
        <v>1</v>
      </c>
    </row>
    <row r="33" spans="1:27" x14ac:dyDescent="0.25">
      <c r="A33" t="s">
        <v>1748</v>
      </c>
      <c r="B33" t="s">
        <v>115</v>
      </c>
      <c r="C33">
        <v>59.97</v>
      </c>
      <c r="D33">
        <v>59.97</v>
      </c>
      <c r="E33" s="99">
        <f t="shared" si="2"/>
        <v>0</v>
      </c>
      <c r="J33" s="96" t="s">
        <v>1748</v>
      </c>
      <c r="K33" s="97" t="s">
        <v>115</v>
      </c>
      <c r="L33" s="98">
        <v>50</v>
      </c>
      <c r="M33" s="98">
        <v>11</v>
      </c>
      <c r="N33" s="98">
        <f t="shared" si="0"/>
        <v>61</v>
      </c>
      <c r="O33" s="98">
        <v>59.97</v>
      </c>
      <c r="P33" s="98">
        <v>59.97</v>
      </c>
      <c r="Q33" s="94">
        <f t="shared" si="7"/>
        <v>0</v>
      </c>
      <c r="R33" s="95">
        <f t="shared" si="3"/>
        <v>1.1994</v>
      </c>
      <c r="S33">
        <f t="shared" si="4"/>
        <v>1.0300000000000011</v>
      </c>
      <c r="U33" t="s">
        <v>2150</v>
      </c>
      <c r="V33" t="s">
        <v>114</v>
      </c>
      <c r="W33">
        <v>50</v>
      </c>
      <c r="X33">
        <v>11</v>
      </c>
      <c r="Y33">
        <f t="shared" si="10"/>
        <v>61</v>
      </c>
      <c r="AA33" t="b">
        <f t="shared" si="1"/>
        <v>1</v>
      </c>
    </row>
    <row r="34" spans="1:27" x14ac:dyDescent="0.25">
      <c r="A34" t="s">
        <v>1787</v>
      </c>
      <c r="B34" t="s">
        <v>114</v>
      </c>
      <c r="C34">
        <v>103.82</v>
      </c>
      <c r="D34">
        <v>103.82</v>
      </c>
      <c r="E34" s="99">
        <f t="shared" si="2"/>
        <v>0</v>
      </c>
      <c r="J34" s="96" t="s">
        <v>1787</v>
      </c>
      <c r="K34" s="97" t="s">
        <v>114</v>
      </c>
      <c r="L34" s="98">
        <v>100</v>
      </c>
      <c r="M34" s="98">
        <v>10</v>
      </c>
      <c r="N34" s="98">
        <f t="shared" si="0"/>
        <v>110</v>
      </c>
      <c r="O34" s="98">
        <v>103.82</v>
      </c>
      <c r="P34" s="98">
        <v>103.82</v>
      </c>
      <c r="Q34" s="94">
        <f t="shared" si="7"/>
        <v>0</v>
      </c>
      <c r="R34" s="95">
        <f t="shared" si="3"/>
        <v>1.0382</v>
      </c>
      <c r="S34">
        <f t="shared" si="4"/>
        <v>6.1800000000000068</v>
      </c>
      <c r="U34" t="s">
        <v>2152</v>
      </c>
      <c r="V34" t="s">
        <v>115</v>
      </c>
      <c r="W34">
        <v>100</v>
      </c>
      <c r="X34">
        <v>10</v>
      </c>
      <c r="Y34">
        <f t="shared" si="10"/>
        <v>110</v>
      </c>
      <c r="AA34" t="b">
        <f t="shared" si="1"/>
        <v>1</v>
      </c>
    </row>
    <row r="35" spans="1:27" x14ac:dyDescent="0.25">
      <c r="A35" t="s">
        <v>1787</v>
      </c>
      <c r="B35" t="s">
        <v>115</v>
      </c>
      <c r="C35">
        <v>107.93</v>
      </c>
      <c r="D35">
        <v>107.93</v>
      </c>
      <c r="E35" s="99">
        <f t="shared" si="2"/>
        <v>0</v>
      </c>
      <c r="J35" s="96" t="s">
        <v>1787</v>
      </c>
      <c r="K35" s="97" t="s">
        <v>115</v>
      </c>
      <c r="L35" s="98">
        <v>100</v>
      </c>
      <c r="M35" s="98">
        <v>10</v>
      </c>
      <c r="N35" s="98">
        <f t="shared" si="0"/>
        <v>110</v>
      </c>
      <c r="O35" s="98">
        <v>107.93</v>
      </c>
      <c r="P35" s="98">
        <v>107.93</v>
      </c>
      <c r="Q35" s="94">
        <f t="shared" si="7"/>
        <v>0</v>
      </c>
      <c r="R35" s="95">
        <f t="shared" si="3"/>
        <v>1.0793000000000001</v>
      </c>
      <c r="S35">
        <f t="shared" si="4"/>
        <v>2.0699999999999932</v>
      </c>
      <c r="U35" t="s">
        <v>2152</v>
      </c>
      <c r="V35" t="s">
        <v>114</v>
      </c>
      <c r="W35">
        <v>100</v>
      </c>
      <c r="X35">
        <v>10</v>
      </c>
      <c r="Y35">
        <f t="shared" si="10"/>
        <v>110</v>
      </c>
      <c r="AA35" t="b">
        <f t="shared" si="1"/>
        <v>1</v>
      </c>
    </row>
    <row r="36" spans="1:27" x14ac:dyDescent="0.25">
      <c r="A36" t="s">
        <v>1788</v>
      </c>
      <c r="B36" t="s">
        <v>114</v>
      </c>
      <c r="C36">
        <v>21.26</v>
      </c>
      <c r="D36">
        <v>21.26</v>
      </c>
      <c r="E36" s="99">
        <f t="shared" si="2"/>
        <v>0</v>
      </c>
      <c r="J36" s="96" t="s">
        <v>1788</v>
      </c>
      <c r="K36" s="97" t="s">
        <v>114</v>
      </c>
      <c r="L36" s="98">
        <v>21.26</v>
      </c>
      <c r="M36" s="98"/>
      <c r="N36" s="98">
        <f t="shared" si="0"/>
        <v>21.26</v>
      </c>
      <c r="O36" s="98">
        <v>21.26</v>
      </c>
      <c r="P36" s="98">
        <v>21.26</v>
      </c>
      <c r="Q36" s="94">
        <f t="shared" si="7"/>
        <v>0</v>
      </c>
      <c r="R36" s="95">
        <f t="shared" si="3"/>
        <v>1</v>
      </c>
      <c r="S36">
        <f t="shared" si="4"/>
        <v>0</v>
      </c>
      <c r="U36" t="s">
        <v>1788</v>
      </c>
      <c r="V36" t="s">
        <v>115</v>
      </c>
      <c r="W36">
        <v>50</v>
      </c>
      <c r="Y36">
        <f t="shared" si="10"/>
        <v>50</v>
      </c>
      <c r="AA36" t="b">
        <f t="shared" si="1"/>
        <v>1</v>
      </c>
    </row>
    <row r="37" spans="1:27" x14ac:dyDescent="0.25">
      <c r="A37" t="s">
        <v>1788</v>
      </c>
      <c r="B37" t="s">
        <v>115</v>
      </c>
      <c r="C37">
        <v>40.07</v>
      </c>
      <c r="D37">
        <v>40.07</v>
      </c>
      <c r="E37" s="99">
        <f t="shared" si="2"/>
        <v>0</v>
      </c>
      <c r="J37" s="96" t="s">
        <v>1788</v>
      </c>
      <c r="K37" s="97" t="s">
        <v>115</v>
      </c>
      <c r="L37" s="98">
        <v>40.07</v>
      </c>
      <c r="M37" s="98"/>
      <c r="N37" s="98">
        <f t="shared" si="0"/>
        <v>40.07</v>
      </c>
      <c r="O37" s="98">
        <v>40.07</v>
      </c>
      <c r="P37" s="98">
        <v>40.07</v>
      </c>
      <c r="Q37" s="94">
        <f t="shared" si="7"/>
        <v>0</v>
      </c>
      <c r="R37" s="95">
        <f t="shared" si="3"/>
        <v>1</v>
      </c>
      <c r="S37">
        <f t="shared" si="4"/>
        <v>0</v>
      </c>
      <c r="U37" t="s">
        <v>1788</v>
      </c>
      <c r="W37">
        <v>50</v>
      </c>
      <c r="AA37" t="b">
        <f t="shared" si="1"/>
        <v>1</v>
      </c>
    </row>
    <row r="38" spans="1:27" x14ac:dyDescent="0.25">
      <c r="A38" t="s">
        <v>1716</v>
      </c>
      <c r="B38" t="s">
        <v>114</v>
      </c>
      <c r="C38">
        <v>65.210000000000008</v>
      </c>
      <c r="D38">
        <v>65</v>
      </c>
      <c r="E38" s="99">
        <f t="shared" si="2"/>
        <v>0.21000000000000796</v>
      </c>
      <c r="J38" s="96" t="s">
        <v>1716</v>
      </c>
      <c r="K38" s="97" t="s">
        <v>114</v>
      </c>
      <c r="L38" s="98">
        <v>50</v>
      </c>
      <c r="M38" s="98">
        <v>15</v>
      </c>
      <c r="N38" s="98">
        <f t="shared" si="0"/>
        <v>65</v>
      </c>
      <c r="O38" s="98">
        <v>65.210000000000008</v>
      </c>
      <c r="P38" s="98">
        <v>65</v>
      </c>
      <c r="Q38" s="94">
        <f t="shared" si="7"/>
        <v>0.21000000000000796</v>
      </c>
      <c r="R38" s="95">
        <f t="shared" si="3"/>
        <v>1.3042000000000002</v>
      </c>
      <c r="S38">
        <f t="shared" si="4"/>
        <v>-0.21000000000000796</v>
      </c>
      <c r="U38" t="s">
        <v>1716</v>
      </c>
      <c r="W38">
        <v>50</v>
      </c>
      <c r="X38">
        <v>15</v>
      </c>
      <c r="AA38" t="b">
        <f t="shared" si="1"/>
        <v>1</v>
      </c>
    </row>
    <row r="39" spans="1:27" x14ac:dyDescent="0.25">
      <c r="A39" t="s">
        <v>1716</v>
      </c>
      <c r="B39" t="s">
        <v>115</v>
      </c>
      <c r="C39">
        <v>85.66</v>
      </c>
      <c r="D39">
        <v>85</v>
      </c>
      <c r="E39" s="99">
        <f t="shared" si="2"/>
        <v>0.65999999999999659</v>
      </c>
      <c r="J39" s="96" t="s">
        <v>1716</v>
      </c>
      <c r="K39" s="97" t="s">
        <v>115</v>
      </c>
      <c r="L39" s="98">
        <v>50</v>
      </c>
      <c r="M39" s="98">
        <v>35</v>
      </c>
      <c r="N39" s="98">
        <f t="shared" si="0"/>
        <v>85</v>
      </c>
      <c r="O39" s="98">
        <v>85.66</v>
      </c>
      <c r="P39" s="98">
        <v>85</v>
      </c>
      <c r="Q39" s="100">
        <v>0</v>
      </c>
      <c r="R39" s="95">
        <f t="shared" si="3"/>
        <v>1.7131999999999998</v>
      </c>
      <c r="S39">
        <f t="shared" si="4"/>
        <v>-0.65999999999999659</v>
      </c>
      <c r="U39" t="s">
        <v>1716</v>
      </c>
      <c r="W39">
        <v>50</v>
      </c>
      <c r="X39">
        <v>35</v>
      </c>
      <c r="AA39" t="b">
        <f t="shared" si="1"/>
        <v>1</v>
      </c>
    </row>
    <row r="40" spans="1:27" x14ac:dyDescent="0.25">
      <c r="A40" t="s">
        <v>1745</v>
      </c>
      <c r="B40" t="s">
        <v>115</v>
      </c>
      <c r="C40">
        <v>50.22</v>
      </c>
      <c r="D40">
        <v>50</v>
      </c>
      <c r="E40" s="99">
        <f t="shared" si="2"/>
        <v>0.21999999999999886</v>
      </c>
      <c r="J40" s="96" t="s">
        <v>1745</v>
      </c>
      <c r="K40" s="97" t="s">
        <v>115</v>
      </c>
      <c r="L40" s="98">
        <v>50</v>
      </c>
      <c r="M40" s="98"/>
      <c r="N40" s="98">
        <f t="shared" si="0"/>
        <v>50</v>
      </c>
      <c r="O40" s="98">
        <v>50.22</v>
      </c>
      <c r="P40" s="98">
        <v>50</v>
      </c>
      <c r="Q40" s="94">
        <f t="shared" si="7"/>
        <v>0.21999999999999886</v>
      </c>
      <c r="R40" s="95">
        <f t="shared" si="3"/>
        <v>1.0044</v>
      </c>
      <c r="S40">
        <f t="shared" si="4"/>
        <v>-0.21999999999999886</v>
      </c>
      <c r="U40" t="s">
        <v>2153</v>
      </c>
      <c r="W40">
        <v>50</v>
      </c>
      <c r="AA40" t="b">
        <f t="shared" si="1"/>
        <v>1</v>
      </c>
    </row>
    <row r="41" spans="1:27" x14ac:dyDescent="0.25">
      <c r="A41" t="s">
        <v>1670</v>
      </c>
      <c r="B41" t="s">
        <v>114</v>
      </c>
      <c r="C41">
        <v>392.34000000000003</v>
      </c>
      <c r="D41">
        <v>375</v>
      </c>
      <c r="E41" s="99">
        <f t="shared" si="2"/>
        <v>17.340000000000032</v>
      </c>
      <c r="J41" s="96" t="s">
        <v>1670</v>
      </c>
      <c r="K41" s="97" t="s">
        <v>114</v>
      </c>
      <c r="L41" s="98">
        <v>375</v>
      </c>
      <c r="M41" s="98"/>
      <c r="N41" s="98">
        <f t="shared" si="0"/>
        <v>375</v>
      </c>
      <c r="O41" s="98">
        <v>392.34000000000003</v>
      </c>
      <c r="P41" s="98">
        <v>392.34000000000003</v>
      </c>
      <c r="Q41" s="94">
        <f t="shared" si="7"/>
        <v>0</v>
      </c>
      <c r="R41" s="95">
        <f t="shared" si="3"/>
        <v>1.0462400000000001</v>
      </c>
      <c r="S41">
        <f t="shared" si="4"/>
        <v>-17.340000000000032</v>
      </c>
      <c r="U41" t="s">
        <v>2154</v>
      </c>
      <c r="W41">
        <v>425</v>
      </c>
      <c r="AA41" t="b">
        <f t="shared" si="1"/>
        <v>1</v>
      </c>
    </row>
    <row r="42" spans="1:27" x14ac:dyDescent="0.25">
      <c r="A42" t="s">
        <v>1670</v>
      </c>
      <c r="B42" t="s">
        <v>115</v>
      </c>
      <c r="C42">
        <v>437.48</v>
      </c>
      <c r="D42">
        <v>400</v>
      </c>
      <c r="E42" s="99">
        <f t="shared" si="2"/>
        <v>37.480000000000018</v>
      </c>
      <c r="J42" s="96" t="s">
        <v>1670</v>
      </c>
      <c r="K42" s="97" t="s">
        <v>115</v>
      </c>
      <c r="L42" s="98">
        <v>375</v>
      </c>
      <c r="M42" s="98">
        <v>25</v>
      </c>
      <c r="N42" s="98">
        <f t="shared" si="0"/>
        <v>400</v>
      </c>
      <c r="O42" s="98">
        <v>437.48</v>
      </c>
      <c r="P42" s="98">
        <v>400</v>
      </c>
      <c r="Q42" s="100">
        <f t="shared" si="7"/>
        <v>37.480000000000018</v>
      </c>
      <c r="R42" s="95">
        <f t="shared" si="3"/>
        <v>1.1666133333333333</v>
      </c>
      <c r="S42">
        <f t="shared" si="4"/>
        <v>-37.480000000000018</v>
      </c>
      <c r="U42" t="s">
        <v>2154</v>
      </c>
      <c r="W42">
        <v>375</v>
      </c>
      <c r="X42">
        <v>25</v>
      </c>
      <c r="AA42" t="b">
        <f t="shared" si="1"/>
        <v>1</v>
      </c>
    </row>
    <row r="43" spans="1:27" x14ac:dyDescent="0.25">
      <c r="A43" t="s">
        <v>2033</v>
      </c>
      <c r="C43">
        <v>6681.130000000001</v>
      </c>
      <c r="D43">
        <v>6613.92</v>
      </c>
      <c r="E43" s="99">
        <f t="shared" si="2"/>
        <v>67.210000000000946</v>
      </c>
      <c r="R43" s="95"/>
    </row>
    <row r="44" spans="1:27" x14ac:dyDescent="0.25">
      <c r="L44">
        <v>3600</v>
      </c>
      <c r="R44" s="95"/>
    </row>
    <row r="45" spans="1:27" x14ac:dyDescent="0.25">
      <c r="L45">
        <f>+L44*0.9</f>
        <v>3240</v>
      </c>
    </row>
  </sheetData>
  <autoFilter ref="R3:R44" xr:uid="{14482652-76B1-4AFB-BF58-4B08D1CD3BD4}"/>
  <conditionalFormatting sqref="AA4:AA50">
    <cfRule type="containsText" dxfId="26" priority="1" operator="containsText" text="FALSE">
      <formula>NOT(ISERROR(SEARCH("FALSE",AA4)))</formula>
    </cfRule>
  </conditionalFormatting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0"/>
  <sheetViews>
    <sheetView tabSelected="1" workbookViewId="0">
      <selection activeCell="AG63" sqref="AG63"/>
    </sheetView>
  </sheetViews>
  <sheetFormatPr defaultRowHeight="15" x14ac:dyDescent="0.25"/>
  <cols>
    <col min="1" max="1" width="10" bestFit="1" customWidth="1"/>
    <col min="2" max="2" width="18" hidden="1" customWidth="1"/>
    <col min="3" max="3" width="14.85546875" hidden="1" customWidth="1"/>
    <col min="4" max="4" width="22.5703125" hidden="1" customWidth="1"/>
    <col min="5" max="5" width="24" bestFit="1" customWidth="1"/>
    <col min="6" max="6" width="16.85546875" hidden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hidden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9.7109375" hidden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25">
      <c r="A2" t="s">
        <v>114</v>
      </c>
      <c r="B2">
        <v>600</v>
      </c>
      <c r="C2">
        <v>594.35000000000014</v>
      </c>
      <c r="D2">
        <v>594.35000000000014</v>
      </c>
      <c r="E2">
        <v>1</v>
      </c>
      <c r="F2">
        <v>12748.807500000001</v>
      </c>
      <c r="G2">
        <v>3922.7100000000014</v>
      </c>
      <c r="H2">
        <v>0</v>
      </c>
      <c r="I2">
        <v>0</v>
      </c>
      <c r="J2">
        <v>0.88914728682170596</v>
      </c>
      <c r="K2">
        <v>2.2667829119441998E-2</v>
      </c>
      <c r="L2">
        <v>0</v>
      </c>
      <c r="M2">
        <v>0</v>
      </c>
      <c r="N2">
        <v>0.87355935055102196</v>
      </c>
      <c r="O2">
        <v>980.67750000000001</v>
      </c>
      <c r="P2">
        <v>645.97</v>
      </c>
      <c r="Q2">
        <v>59.78</v>
      </c>
      <c r="R2">
        <v>0</v>
      </c>
      <c r="S2">
        <v>18357.945</v>
      </c>
      <c r="T2">
        <v>540</v>
      </c>
      <c r="U2">
        <v>3922.71</v>
      </c>
      <c r="V2">
        <v>0</v>
      </c>
      <c r="W2">
        <v>0</v>
      </c>
      <c r="X2">
        <v>137</v>
      </c>
      <c r="Y2">
        <v>0</v>
      </c>
      <c r="Z2">
        <v>60</v>
      </c>
      <c r="AA2" s="2">
        <v>45670</v>
      </c>
      <c r="AB2" t="s">
        <v>1601</v>
      </c>
      <c r="AC2">
        <v>960</v>
      </c>
      <c r="AD2">
        <v>600.74000000000012</v>
      </c>
      <c r="AE2">
        <v>6.39</v>
      </c>
      <c r="AF2">
        <v>243</v>
      </c>
      <c r="AG2">
        <v>717</v>
      </c>
      <c r="AH2">
        <v>519.20000000000005</v>
      </c>
      <c r="AI2">
        <v>75.13</v>
      </c>
      <c r="AJ2">
        <v>304.44999999999993</v>
      </c>
      <c r="AK2">
        <v>264.88</v>
      </c>
      <c r="AL2">
        <v>27.159999999999997</v>
      </c>
      <c r="AM2">
        <v>1147</v>
      </c>
      <c r="AN2">
        <v>6</v>
      </c>
      <c r="AO2">
        <v>26</v>
      </c>
      <c r="AP2">
        <v>398.87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594.35000000000014</v>
      </c>
      <c r="BG2">
        <v>10439.019999999999</v>
      </c>
    </row>
    <row r="3" spans="1:59" hidden="1" x14ac:dyDescent="0.25">
      <c r="A3" t="s">
        <v>114</v>
      </c>
      <c r="B3">
        <v>110</v>
      </c>
      <c r="C3">
        <v>103.82</v>
      </c>
      <c r="D3">
        <v>103.82</v>
      </c>
      <c r="E3">
        <v>1</v>
      </c>
      <c r="F3">
        <v>2193.1975000000002</v>
      </c>
      <c r="G3">
        <v>674.82999999999993</v>
      </c>
      <c r="H3">
        <v>0</v>
      </c>
      <c r="I3">
        <v>0</v>
      </c>
      <c r="J3">
        <v>0.99450549450549397</v>
      </c>
      <c r="K3">
        <v>1.6574585635359101E-2</v>
      </c>
      <c r="L3">
        <v>337.41500000000002</v>
      </c>
      <c r="M3">
        <v>0</v>
      </c>
      <c r="N3">
        <v>0.78241186669235196</v>
      </c>
      <c r="O3">
        <v>168.70750000000001</v>
      </c>
      <c r="P3">
        <v>144.25</v>
      </c>
      <c r="Q3">
        <v>3.77</v>
      </c>
      <c r="R3">
        <v>0</v>
      </c>
      <c r="S3">
        <v>3522.17</v>
      </c>
      <c r="T3">
        <v>100</v>
      </c>
      <c r="U3">
        <v>674.83</v>
      </c>
      <c r="V3">
        <v>103.82</v>
      </c>
      <c r="W3">
        <v>0</v>
      </c>
      <c r="X3">
        <v>1</v>
      </c>
      <c r="Y3">
        <v>337.41500000000002</v>
      </c>
      <c r="Z3">
        <v>10</v>
      </c>
      <c r="AA3" s="2">
        <v>45670</v>
      </c>
      <c r="AB3" t="s">
        <v>1787</v>
      </c>
      <c r="AC3">
        <v>158</v>
      </c>
      <c r="AD3">
        <v>103.95</v>
      </c>
      <c r="AE3">
        <v>0.13</v>
      </c>
      <c r="AF3">
        <v>36</v>
      </c>
      <c r="AG3">
        <v>122</v>
      </c>
      <c r="AH3">
        <v>81.23</v>
      </c>
      <c r="AI3">
        <v>22.59</v>
      </c>
      <c r="AJ3">
        <v>37.35</v>
      </c>
      <c r="AK3">
        <v>31.35</v>
      </c>
      <c r="AL3">
        <v>3.04</v>
      </c>
      <c r="AM3">
        <v>181</v>
      </c>
      <c r="AN3">
        <v>0</v>
      </c>
      <c r="AO3">
        <v>3</v>
      </c>
      <c r="AP3">
        <v>103.82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100</v>
      </c>
      <c r="BE3">
        <v>0</v>
      </c>
      <c r="BF3">
        <v>0</v>
      </c>
      <c r="BG3">
        <v>1613.9299999999998</v>
      </c>
    </row>
    <row r="4" spans="1:59" hidden="1" x14ac:dyDescent="0.25">
      <c r="A4" t="s">
        <v>114</v>
      </c>
      <c r="B4">
        <v>60</v>
      </c>
      <c r="C4">
        <v>60.03</v>
      </c>
      <c r="D4">
        <v>60</v>
      </c>
      <c r="E4">
        <v>1</v>
      </c>
      <c r="F4">
        <v>1267.5</v>
      </c>
      <c r="G4">
        <v>390</v>
      </c>
      <c r="H4">
        <v>0</v>
      </c>
      <c r="I4">
        <v>0</v>
      </c>
      <c r="J4">
        <v>0.987341772151899</v>
      </c>
      <c r="K4">
        <v>1.2820512820512799E-2</v>
      </c>
      <c r="L4">
        <v>195</v>
      </c>
      <c r="M4">
        <v>0</v>
      </c>
      <c r="N4">
        <v>0.60053306679993301</v>
      </c>
      <c r="O4">
        <v>0</v>
      </c>
      <c r="P4">
        <v>44.1</v>
      </c>
      <c r="Q4">
        <v>0</v>
      </c>
      <c r="R4">
        <v>0</v>
      </c>
      <c r="S4">
        <v>1896.6</v>
      </c>
      <c r="T4">
        <v>50</v>
      </c>
      <c r="U4">
        <v>390</v>
      </c>
      <c r="V4">
        <v>60</v>
      </c>
      <c r="W4">
        <v>0</v>
      </c>
      <c r="X4">
        <v>1</v>
      </c>
      <c r="Y4">
        <v>195</v>
      </c>
      <c r="Z4">
        <v>10</v>
      </c>
      <c r="AA4" s="2">
        <v>45670</v>
      </c>
      <c r="AB4" t="s">
        <v>1742</v>
      </c>
      <c r="AC4">
        <v>66</v>
      </c>
      <c r="AD4">
        <v>60.03</v>
      </c>
      <c r="AE4">
        <v>0</v>
      </c>
      <c r="AF4">
        <v>11</v>
      </c>
      <c r="AG4">
        <v>55</v>
      </c>
      <c r="AH4">
        <v>36.049999999999997</v>
      </c>
      <c r="AI4">
        <v>23.97</v>
      </c>
      <c r="AJ4">
        <v>17.48</v>
      </c>
      <c r="AK4">
        <v>14.91</v>
      </c>
      <c r="AL4">
        <v>1.1000000000000001</v>
      </c>
      <c r="AM4">
        <v>78</v>
      </c>
      <c r="AN4">
        <v>0</v>
      </c>
      <c r="AO4">
        <v>1</v>
      </c>
      <c r="AP4">
        <v>60.03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682.62</v>
      </c>
    </row>
    <row r="5" spans="1:59" hidden="1" x14ac:dyDescent="0.25">
      <c r="A5" t="s">
        <v>114</v>
      </c>
      <c r="B5">
        <v>375</v>
      </c>
      <c r="C5">
        <v>392.34000000000003</v>
      </c>
      <c r="D5">
        <v>375</v>
      </c>
      <c r="E5">
        <v>1</v>
      </c>
      <c r="F5">
        <v>7921.875</v>
      </c>
      <c r="G5">
        <v>2437.5</v>
      </c>
      <c r="H5">
        <v>0</v>
      </c>
      <c r="I5">
        <v>0</v>
      </c>
      <c r="J5">
        <v>0.94198895027624296</v>
      </c>
      <c r="K5">
        <v>2.9325513196480898E-2</v>
      </c>
      <c r="L5">
        <v>0</v>
      </c>
      <c r="M5">
        <v>609.375</v>
      </c>
      <c r="N5">
        <v>0.816154355915787</v>
      </c>
      <c r="O5">
        <v>609.375</v>
      </c>
      <c r="P5">
        <v>335.9</v>
      </c>
      <c r="Q5">
        <v>30.44</v>
      </c>
      <c r="R5">
        <v>0</v>
      </c>
      <c r="S5">
        <v>11944.465</v>
      </c>
      <c r="T5">
        <v>375</v>
      </c>
      <c r="U5">
        <v>2437.5</v>
      </c>
      <c r="V5">
        <v>0</v>
      </c>
      <c r="W5">
        <v>375</v>
      </c>
      <c r="X5">
        <v>33</v>
      </c>
      <c r="Y5">
        <v>609.375</v>
      </c>
      <c r="Z5">
        <v>0</v>
      </c>
      <c r="AA5" s="2">
        <v>45670</v>
      </c>
      <c r="AB5" t="s">
        <v>1670</v>
      </c>
      <c r="AC5">
        <v>544</v>
      </c>
      <c r="AD5">
        <v>393.03000000000003</v>
      </c>
      <c r="AE5">
        <v>0.69000000000000006</v>
      </c>
      <c r="AF5">
        <v>143</v>
      </c>
      <c r="AG5">
        <v>401</v>
      </c>
      <c r="AH5">
        <v>320.21000000000004</v>
      </c>
      <c r="AI5">
        <v>72.13</v>
      </c>
      <c r="AJ5">
        <v>165.17</v>
      </c>
      <c r="AK5">
        <v>149.58999999999997</v>
      </c>
      <c r="AL5">
        <v>11.139999999999999</v>
      </c>
      <c r="AM5">
        <v>682</v>
      </c>
      <c r="AN5">
        <v>9</v>
      </c>
      <c r="AO5">
        <v>20</v>
      </c>
      <c r="AP5">
        <v>164.11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375</v>
      </c>
      <c r="BE5">
        <v>0</v>
      </c>
      <c r="BF5">
        <v>0</v>
      </c>
      <c r="BG5">
        <v>5685.97</v>
      </c>
    </row>
    <row r="6" spans="1:59" hidden="1" x14ac:dyDescent="0.25">
      <c r="A6" t="s">
        <v>114</v>
      </c>
      <c r="B6">
        <v>50</v>
      </c>
      <c r="C6">
        <v>50.06</v>
      </c>
      <c r="D6">
        <v>50</v>
      </c>
      <c r="E6">
        <v>1</v>
      </c>
      <c r="F6">
        <v>1056.25</v>
      </c>
      <c r="G6">
        <v>325</v>
      </c>
      <c r="H6">
        <v>0</v>
      </c>
      <c r="I6">
        <v>0</v>
      </c>
      <c r="J6">
        <v>1</v>
      </c>
      <c r="K6">
        <v>0</v>
      </c>
      <c r="L6">
        <v>162.5</v>
      </c>
      <c r="M6">
        <v>0</v>
      </c>
      <c r="N6">
        <v>0.70715141829804196</v>
      </c>
      <c r="O6">
        <v>81.25</v>
      </c>
      <c r="P6">
        <v>64.739999999999995</v>
      </c>
      <c r="Q6">
        <v>0</v>
      </c>
      <c r="R6">
        <v>0</v>
      </c>
      <c r="S6">
        <v>1689.74</v>
      </c>
      <c r="T6">
        <v>50</v>
      </c>
      <c r="U6">
        <v>325</v>
      </c>
      <c r="V6">
        <v>50</v>
      </c>
      <c r="W6">
        <v>0</v>
      </c>
      <c r="X6">
        <v>0</v>
      </c>
      <c r="Y6">
        <v>162.5</v>
      </c>
      <c r="Z6">
        <v>0</v>
      </c>
      <c r="AA6" s="2">
        <v>45670</v>
      </c>
      <c r="AB6" t="s">
        <v>1750</v>
      </c>
      <c r="AC6">
        <v>73</v>
      </c>
      <c r="AD6">
        <v>50.06</v>
      </c>
      <c r="AE6">
        <v>0</v>
      </c>
      <c r="AF6">
        <v>10</v>
      </c>
      <c r="AG6">
        <v>63</v>
      </c>
      <c r="AH6">
        <v>35.4</v>
      </c>
      <c r="AI6">
        <v>14.65</v>
      </c>
      <c r="AJ6">
        <v>19.46</v>
      </c>
      <c r="AK6">
        <v>13.17</v>
      </c>
      <c r="AL6">
        <v>1.46</v>
      </c>
      <c r="AM6">
        <v>79</v>
      </c>
      <c r="AN6">
        <v>0</v>
      </c>
      <c r="AO6">
        <v>0</v>
      </c>
      <c r="AP6">
        <v>50.06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50</v>
      </c>
      <c r="BE6">
        <v>0</v>
      </c>
      <c r="BF6">
        <v>0</v>
      </c>
      <c r="BG6">
        <v>736.65</v>
      </c>
    </row>
    <row r="7" spans="1:59" x14ac:dyDescent="0.25">
      <c r="A7" t="s">
        <v>114</v>
      </c>
      <c r="B7">
        <v>50</v>
      </c>
      <c r="C7">
        <v>38.36</v>
      </c>
      <c r="D7">
        <v>38.36</v>
      </c>
      <c r="E7">
        <v>0.76719999999999999</v>
      </c>
      <c r="F7">
        <v>0</v>
      </c>
      <c r="G7">
        <v>0</v>
      </c>
      <c r="H7">
        <v>0</v>
      </c>
      <c r="I7">
        <v>0</v>
      </c>
      <c r="J7">
        <v>0.94545454545454599</v>
      </c>
      <c r="K7">
        <v>0</v>
      </c>
      <c r="L7">
        <v>0</v>
      </c>
      <c r="M7">
        <v>0</v>
      </c>
      <c r="N7">
        <v>0.94395203336809197</v>
      </c>
      <c r="O7">
        <v>0</v>
      </c>
      <c r="P7">
        <v>27.29</v>
      </c>
      <c r="Q7">
        <v>6</v>
      </c>
      <c r="R7">
        <v>785.62</v>
      </c>
      <c r="S7">
        <v>818.91</v>
      </c>
      <c r="T7">
        <v>50</v>
      </c>
      <c r="U7">
        <v>0</v>
      </c>
      <c r="V7">
        <v>0</v>
      </c>
      <c r="W7">
        <v>38.36</v>
      </c>
      <c r="X7">
        <v>3</v>
      </c>
      <c r="Y7">
        <v>0</v>
      </c>
      <c r="Z7">
        <v>0</v>
      </c>
      <c r="AA7" s="2">
        <v>45670</v>
      </c>
      <c r="AB7" t="s">
        <v>1667</v>
      </c>
      <c r="AC7">
        <v>58</v>
      </c>
      <c r="AD7">
        <v>41.12</v>
      </c>
      <c r="AE7">
        <v>2.76</v>
      </c>
      <c r="AF7">
        <v>26</v>
      </c>
      <c r="AG7">
        <v>32</v>
      </c>
      <c r="AH7">
        <v>36.21</v>
      </c>
      <c r="AI7">
        <v>2.15</v>
      </c>
      <c r="AJ7">
        <v>28.1</v>
      </c>
      <c r="AK7">
        <v>24.78</v>
      </c>
      <c r="AL7">
        <v>1.41</v>
      </c>
      <c r="AM7">
        <v>52</v>
      </c>
      <c r="AN7">
        <v>0</v>
      </c>
      <c r="AO7">
        <v>0</v>
      </c>
      <c r="AP7">
        <v>0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0</v>
      </c>
      <c r="BG7">
        <v>785.62</v>
      </c>
    </row>
    <row r="8" spans="1:59" x14ac:dyDescent="0.25">
      <c r="A8" t="s">
        <v>114</v>
      </c>
      <c r="B8">
        <v>50</v>
      </c>
      <c r="C8">
        <v>36.82</v>
      </c>
      <c r="D8">
        <v>36.82</v>
      </c>
      <c r="E8">
        <v>0.73640000000000005</v>
      </c>
      <c r="F8">
        <v>0</v>
      </c>
      <c r="G8">
        <v>0</v>
      </c>
      <c r="H8">
        <v>0</v>
      </c>
      <c r="I8">
        <v>0</v>
      </c>
      <c r="J8">
        <v>0.80327868852458995</v>
      </c>
      <c r="K8">
        <v>0</v>
      </c>
      <c r="L8">
        <v>0</v>
      </c>
      <c r="M8">
        <v>0</v>
      </c>
      <c r="N8">
        <v>0.679793590439978</v>
      </c>
      <c r="O8">
        <v>0</v>
      </c>
      <c r="P8">
        <v>28.57</v>
      </c>
      <c r="Q8">
        <v>6.81</v>
      </c>
      <c r="R8">
        <v>569.22</v>
      </c>
      <c r="S8">
        <v>604.6</v>
      </c>
      <c r="T8">
        <v>50</v>
      </c>
      <c r="U8">
        <v>0</v>
      </c>
      <c r="V8">
        <v>0</v>
      </c>
      <c r="W8">
        <v>0</v>
      </c>
      <c r="X8">
        <v>1</v>
      </c>
      <c r="Y8">
        <v>0</v>
      </c>
      <c r="Z8">
        <v>0</v>
      </c>
      <c r="AA8" s="2">
        <v>45670</v>
      </c>
      <c r="AB8" t="s">
        <v>1746</v>
      </c>
      <c r="AC8">
        <v>47</v>
      </c>
      <c r="AD8">
        <v>36.82</v>
      </c>
      <c r="AE8">
        <v>0</v>
      </c>
      <c r="AF8">
        <v>5</v>
      </c>
      <c r="AG8">
        <v>42</v>
      </c>
      <c r="AH8">
        <v>25.03</v>
      </c>
      <c r="AI8">
        <v>11.79</v>
      </c>
      <c r="AJ8">
        <v>22.1</v>
      </c>
      <c r="AK8">
        <v>16.010000000000002</v>
      </c>
      <c r="AL8">
        <v>1.28</v>
      </c>
      <c r="AM8">
        <v>49</v>
      </c>
      <c r="AN8">
        <v>11</v>
      </c>
      <c r="AO8">
        <v>0</v>
      </c>
      <c r="AP8">
        <v>0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36.82</v>
      </c>
      <c r="BG8">
        <v>569.22</v>
      </c>
    </row>
    <row r="9" spans="1:59" hidden="1" x14ac:dyDescent="0.25">
      <c r="A9" t="s">
        <v>114</v>
      </c>
      <c r="B9">
        <v>50</v>
      </c>
      <c r="C9">
        <v>50.82</v>
      </c>
      <c r="D9">
        <v>50</v>
      </c>
      <c r="E9">
        <v>1</v>
      </c>
      <c r="F9">
        <v>1056.25</v>
      </c>
      <c r="G9">
        <v>325</v>
      </c>
      <c r="H9">
        <v>0</v>
      </c>
      <c r="I9">
        <v>0</v>
      </c>
      <c r="J9">
        <v>1</v>
      </c>
      <c r="K9">
        <v>1.20481927710843E-2</v>
      </c>
      <c r="L9">
        <v>162.5</v>
      </c>
      <c r="M9">
        <v>0</v>
      </c>
      <c r="N9">
        <v>0.64167650531286902</v>
      </c>
      <c r="O9">
        <v>0</v>
      </c>
      <c r="P9">
        <v>27.25</v>
      </c>
      <c r="Q9">
        <v>4</v>
      </c>
      <c r="R9">
        <v>0</v>
      </c>
      <c r="S9">
        <v>1575</v>
      </c>
      <c r="T9">
        <v>50</v>
      </c>
      <c r="U9">
        <v>325</v>
      </c>
      <c r="V9">
        <v>50</v>
      </c>
      <c r="W9">
        <v>0</v>
      </c>
      <c r="X9">
        <v>0</v>
      </c>
      <c r="Y9">
        <v>162.5</v>
      </c>
      <c r="Z9">
        <v>0</v>
      </c>
      <c r="AA9" s="2">
        <v>45670</v>
      </c>
      <c r="AB9" t="s">
        <v>1812</v>
      </c>
      <c r="AC9">
        <v>67</v>
      </c>
      <c r="AD9">
        <v>51</v>
      </c>
      <c r="AE9">
        <v>0.18</v>
      </c>
      <c r="AF9">
        <v>3</v>
      </c>
      <c r="AG9">
        <v>64</v>
      </c>
      <c r="AH9">
        <v>32.61</v>
      </c>
      <c r="AI9">
        <v>18.2</v>
      </c>
      <c r="AJ9">
        <v>4.95</v>
      </c>
      <c r="AK9">
        <v>3.38</v>
      </c>
      <c r="AL9">
        <v>1.31</v>
      </c>
      <c r="AM9">
        <v>83</v>
      </c>
      <c r="AN9">
        <v>0</v>
      </c>
      <c r="AO9">
        <v>1</v>
      </c>
      <c r="AP9">
        <v>50.82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673.4</v>
      </c>
    </row>
    <row r="10" spans="1:59" hidden="1" x14ac:dyDescent="0.25">
      <c r="A10" t="s">
        <v>114</v>
      </c>
      <c r="B10">
        <v>55</v>
      </c>
      <c r="C10">
        <v>49.5</v>
      </c>
      <c r="D10">
        <v>49.5</v>
      </c>
      <c r="E10">
        <v>0.99</v>
      </c>
      <c r="F10">
        <v>1045.6875</v>
      </c>
      <c r="G10">
        <v>321.75</v>
      </c>
      <c r="H10">
        <v>0</v>
      </c>
      <c r="I10">
        <v>0</v>
      </c>
      <c r="J10">
        <v>0.96153846153846201</v>
      </c>
      <c r="K10">
        <v>0</v>
      </c>
      <c r="L10">
        <v>160.875</v>
      </c>
      <c r="M10">
        <v>0</v>
      </c>
      <c r="N10">
        <v>0.49010101010100998</v>
      </c>
      <c r="O10">
        <v>0</v>
      </c>
      <c r="P10">
        <v>28</v>
      </c>
      <c r="Q10">
        <v>8.67</v>
      </c>
      <c r="R10">
        <v>0</v>
      </c>
      <c r="S10">
        <v>1564.9825000000001</v>
      </c>
      <c r="T10">
        <v>50</v>
      </c>
      <c r="U10">
        <v>321.75</v>
      </c>
      <c r="V10">
        <v>49.5</v>
      </c>
      <c r="W10">
        <v>0</v>
      </c>
      <c r="X10">
        <v>0</v>
      </c>
      <c r="Y10">
        <v>160.875</v>
      </c>
      <c r="Z10">
        <v>5</v>
      </c>
      <c r="AA10" s="2">
        <v>45670</v>
      </c>
      <c r="AB10" t="s">
        <v>1816</v>
      </c>
      <c r="AC10">
        <v>43</v>
      </c>
      <c r="AD10">
        <v>49.57</v>
      </c>
      <c r="AE10">
        <v>7.0000000000000007E-2</v>
      </c>
      <c r="AF10">
        <v>3</v>
      </c>
      <c r="AG10">
        <v>40</v>
      </c>
      <c r="AH10">
        <v>24.26</v>
      </c>
      <c r="AI10">
        <v>25.24</v>
      </c>
      <c r="AJ10">
        <v>9.1300000000000008</v>
      </c>
      <c r="AK10">
        <v>7.32</v>
      </c>
      <c r="AL10">
        <v>0.87</v>
      </c>
      <c r="AM10">
        <v>50</v>
      </c>
      <c r="AN10">
        <v>2</v>
      </c>
      <c r="AO10">
        <v>0</v>
      </c>
      <c r="AP10">
        <v>49.5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0</v>
      </c>
      <c r="BG10">
        <v>444.9</v>
      </c>
    </row>
    <row r="11" spans="1:59" hidden="1" x14ac:dyDescent="0.25">
      <c r="A11" t="s">
        <v>114</v>
      </c>
      <c r="B11">
        <v>50</v>
      </c>
      <c r="C11">
        <v>52.14</v>
      </c>
      <c r="D11">
        <v>50</v>
      </c>
      <c r="E11">
        <v>1</v>
      </c>
      <c r="F11">
        <v>1056.25</v>
      </c>
      <c r="G11">
        <v>325</v>
      </c>
      <c r="H11">
        <v>0</v>
      </c>
      <c r="I11">
        <v>0</v>
      </c>
      <c r="J11">
        <v>0.98571428571428599</v>
      </c>
      <c r="K11">
        <v>0</v>
      </c>
      <c r="L11">
        <v>162.5</v>
      </c>
      <c r="M11">
        <v>0</v>
      </c>
      <c r="N11">
        <v>0.74434215573456097</v>
      </c>
      <c r="O11">
        <v>81.25</v>
      </c>
      <c r="P11">
        <v>39</v>
      </c>
      <c r="Q11">
        <v>0</v>
      </c>
      <c r="R11">
        <v>0</v>
      </c>
      <c r="S11">
        <v>1664</v>
      </c>
      <c r="T11">
        <v>50</v>
      </c>
      <c r="U11">
        <v>325</v>
      </c>
      <c r="V11">
        <v>50</v>
      </c>
      <c r="W11">
        <v>0</v>
      </c>
      <c r="X11">
        <v>1</v>
      </c>
      <c r="Y11">
        <v>162.5</v>
      </c>
      <c r="Z11">
        <v>0</v>
      </c>
      <c r="AA11" s="2">
        <v>45670</v>
      </c>
      <c r="AB11" t="s">
        <v>1751</v>
      </c>
      <c r="AC11">
        <v>60</v>
      </c>
      <c r="AD11">
        <v>52.14</v>
      </c>
      <c r="AE11">
        <v>0</v>
      </c>
      <c r="AF11">
        <v>25</v>
      </c>
      <c r="AG11">
        <v>35</v>
      </c>
      <c r="AH11">
        <v>38.81</v>
      </c>
      <c r="AI11">
        <v>13.33</v>
      </c>
      <c r="AJ11">
        <v>34.61</v>
      </c>
      <c r="AK11">
        <v>26.67</v>
      </c>
      <c r="AL11">
        <v>1.1499999999999999</v>
      </c>
      <c r="AM11">
        <v>69</v>
      </c>
      <c r="AN11">
        <v>0</v>
      </c>
      <c r="AO11">
        <v>0</v>
      </c>
      <c r="AP11">
        <v>52.14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0</v>
      </c>
      <c r="BG11">
        <v>670.93</v>
      </c>
    </row>
    <row r="12" spans="1:59" hidden="1" x14ac:dyDescent="0.25">
      <c r="A12" t="s">
        <v>114</v>
      </c>
      <c r="B12">
        <v>61</v>
      </c>
      <c r="C12">
        <v>61.1</v>
      </c>
      <c r="D12">
        <v>61</v>
      </c>
      <c r="E12">
        <v>1</v>
      </c>
      <c r="F12">
        <v>1288.625</v>
      </c>
      <c r="G12">
        <v>396.5</v>
      </c>
      <c r="H12">
        <v>0</v>
      </c>
      <c r="I12">
        <v>0</v>
      </c>
      <c r="J12">
        <v>0.98823529411764699</v>
      </c>
      <c r="K12">
        <v>2.3809523809523801E-2</v>
      </c>
      <c r="L12">
        <v>198.25</v>
      </c>
      <c r="M12">
        <v>0</v>
      </c>
      <c r="N12">
        <v>0.73338788870703797</v>
      </c>
      <c r="O12">
        <v>99.125</v>
      </c>
      <c r="P12">
        <v>23</v>
      </c>
      <c r="Q12">
        <v>0</v>
      </c>
      <c r="R12">
        <v>0</v>
      </c>
      <c r="S12">
        <v>2005.5</v>
      </c>
      <c r="T12">
        <v>50</v>
      </c>
      <c r="U12">
        <v>396.5</v>
      </c>
      <c r="V12">
        <v>61</v>
      </c>
      <c r="W12">
        <v>0</v>
      </c>
      <c r="X12">
        <v>0</v>
      </c>
      <c r="Y12">
        <v>198.25</v>
      </c>
      <c r="Z12">
        <v>11</v>
      </c>
      <c r="AA12" s="2">
        <v>45670</v>
      </c>
      <c r="AB12" t="s">
        <v>1748</v>
      </c>
      <c r="AC12">
        <v>84</v>
      </c>
      <c r="AD12">
        <v>61.1</v>
      </c>
      <c r="AE12">
        <v>0</v>
      </c>
      <c r="AF12">
        <v>14</v>
      </c>
      <c r="AG12">
        <v>70</v>
      </c>
      <c r="AH12">
        <v>44.81</v>
      </c>
      <c r="AI12">
        <v>16.29</v>
      </c>
      <c r="AJ12">
        <v>20.5</v>
      </c>
      <c r="AK12">
        <v>17.98</v>
      </c>
      <c r="AL12">
        <v>1.37</v>
      </c>
      <c r="AM12">
        <v>84</v>
      </c>
      <c r="AN12">
        <v>1</v>
      </c>
      <c r="AO12">
        <v>2</v>
      </c>
      <c r="AP12">
        <v>61.1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50</v>
      </c>
      <c r="BE12">
        <v>0</v>
      </c>
      <c r="BF12">
        <v>0</v>
      </c>
      <c r="BG12">
        <v>819.64</v>
      </c>
    </row>
    <row r="13" spans="1:59" hidden="1" x14ac:dyDescent="0.25">
      <c r="A13" t="s">
        <v>114</v>
      </c>
      <c r="B13">
        <v>85</v>
      </c>
      <c r="C13">
        <v>78.38</v>
      </c>
      <c r="D13">
        <v>78.38</v>
      </c>
      <c r="E13">
        <v>0.92211764705882404</v>
      </c>
      <c r="F13">
        <v>0</v>
      </c>
      <c r="G13">
        <v>0</v>
      </c>
      <c r="H13">
        <v>0</v>
      </c>
      <c r="I13">
        <v>0</v>
      </c>
      <c r="J13">
        <v>0.90769230769230802</v>
      </c>
      <c r="K13">
        <v>0</v>
      </c>
      <c r="L13">
        <v>0</v>
      </c>
      <c r="M13">
        <v>0</v>
      </c>
      <c r="N13">
        <v>0.69022709874968102</v>
      </c>
      <c r="O13">
        <v>0</v>
      </c>
      <c r="P13">
        <v>39</v>
      </c>
      <c r="Q13">
        <v>0</v>
      </c>
      <c r="R13">
        <v>1154.9000000000001</v>
      </c>
      <c r="S13">
        <v>1193.9000000000001</v>
      </c>
      <c r="T13">
        <v>85</v>
      </c>
      <c r="U13">
        <v>0</v>
      </c>
      <c r="V13">
        <v>0</v>
      </c>
      <c r="W13">
        <v>0</v>
      </c>
      <c r="X13">
        <v>5</v>
      </c>
      <c r="Y13">
        <v>0</v>
      </c>
      <c r="Z13">
        <v>0</v>
      </c>
      <c r="AA13" s="2">
        <v>45670</v>
      </c>
      <c r="AB13" t="s">
        <v>1814</v>
      </c>
      <c r="AC13">
        <v>107</v>
      </c>
      <c r="AD13">
        <v>78.849999999999994</v>
      </c>
      <c r="AE13">
        <v>0.47</v>
      </c>
      <c r="AF13">
        <v>24</v>
      </c>
      <c r="AG13">
        <v>83</v>
      </c>
      <c r="AH13">
        <v>54.099999999999994</v>
      </c>
      <c r="AI13">
        <v>24.259999999999998</v>
      </c>
      <c r="AJ13">
        <v>35.869999999999997</v>
      </c>
      <c r="AK13">
        <v>28.72</v>
      </c>
      <c r="AL13">
        <v>3.88</v>
      </c>
      <c r="AM13">
        <v>118</v>
      </c>
      <c r="AN13">
        <v>7</v>
      </c>
      <c r="AO13">
        <v>0</v>
      </c>
      <c r="AP13">
        <v>28.459999999999997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85</v>
      </c>
      <c r="BE13">
        <v>0</v>
      </c>
      <c r="BF13">
        <v>78.38</v>
      </c>
      <c r="BG13">
        <v>1154.9000000000001</v>
      </c>
    </row>
    <row r="14" spans="1:59" hidden="1" x14ac:dyDescent="0.25">
      <c r="A14" t="s">
        <v>114</v>
      </c>
      <c r="B14">
        <v>65</v>
      </c>
      <c r="C14">
        <v>65.210000000000008</v>
      </c>
      <c r="D14">
        <v>65</v>
      </c>
      <c r="E14">
        <v>1</v>
      </c>
      <c r="F14">
        <v>1373.125</v>
      </c>
      <c r="G14">
        <v>422.5</v>
      </c>
      <c r="H14">
        <v>0</v>
      </c>
      <c r="I14">
        <v>0</v>
      </c>
      <c r="J14">
        <v>0.99180327868852403</v>
      </c>
      <c r="K14">
        <v>1.6528925619834701E-2</v>
      </c>
      <c r="L14">
        <v>211.25</v>
      </c>
      <c r="M14">
        <v>0</v>
      </c>
      <c r="N14">
        <v>0.74988498696518902</v>
      </c>
      <c r="O14">
        <v>105.625</v>
      </c>
      <c r="P14">
        <v>72.77</v>
      </c>
      <c r="Q14">
        <v>0</v>
      </c>
      <c r="R14">
        <v>0</v>
      </c>
      <c r="S14">
        <v>2185.27</v>
      </c>
      <c r="T14">
        <v>50</v>
      </c>
      <c r="U14">
        <v>422.5</v>
      </c>
      <c r="V14">
        <v>65</v>
      </c>
      <c r="W14">
        <v>0</v>
      </c>
      <c r="X14">
        <v>1</v>
      </c>
      <c r="Y14">
        <v>211.25</v>
      </c>
      <c r="Z14">
        <v>15</v>
      </c>
      <c r="AA14" s="2">
        <v>45670</v>
      </c>
      <c r="AB14" t="s">
        <v>1716</v>
      </c>
      <c r="AC14">
        <v>110</v>
      </c>
      <c r="AD14">
        <v>67.28</v>
      </c>
      <c r="AE14">
        <v>2.0699999999999998</v>
      </c>
      <c r="AF14">
        <v>8</v>
      </c>
      <c r="AG14">
        <v>102</v>
      </c>
      <c r="AH14">
        <v>48.9</v>
      </c>
      <c r="AI14">
        <v>16.32</v>
      </c>
      <c r="AJ14">
        <v>11.78</v>
      </c>
      <c r="AK14">
        <v>8.11</v>
      </c>
      <c r="AL14">
        <v>1.63</v>
      </c>
      <c r="AM14">
        <v>121</v>
      </c>
      <c r="AN14">
        <v>0</v>
      </c>
      <c r="AO14">
        <v>2</v>
      </c>
      <c r="AP14">
        <v>65.210000000000008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1218.01</v>
      </c>
    </row>
    <row r="15" spans="1:59" hidden="1" x14ac:dyDescent="0.25">
      <c r="A15" t="s">
        <v>114</v>
      </c>
      <c r="B15">
        <v>800</v>
      </c>
      <c r="C15">
        <v>783.38000000000022</v>
      </c>
      <c r="D15">
        <v>783.38000000000022</v>
      </c>
      <c r="E15">
        <v>0.97922500000000001</v>
      </c>
      <c r="F15">
        <v>17567.2965</v>
      </c>
      <c r="G15">
        <v>0</v>
      </c>
      <c r="H15">
        <v>2702.661000000001</v>
      </c>
      <c r="I15">
        <v>0</v>
      </c>
      <c r="J15">
        <v>0.91126837234621605</v>
      </c>
      <c r="K15">
        <v>4.12186379928315E-2</v>
      </c>
      <c r="L15">
        <v>0</v>
      </c>
      <c r="M15">
        <v>0</v>
      </c>
      <c r="N15">
        <v>0.89832520615793099</v>
      </c>
      <c r="O15">
        <v>1351.3305</v>
      </c>
      <c r="P15">
        <v>866.58</v>
      </c>
      <c r="Q15">
        <v>110.49</v>
      </c>
      <c r="R15">
        <v>0</v>
      </c>
      <c r="S15">
        <v>22598.358</v>
      </c>
      <c r="T15">
        <v>800</v>
      </c>
      <c r="U15">
        <v>2702.6610000000001</v>
      </c>
      <c r="V15">
        <v>0</v>
      </c>
      <c r="W15">
        <v>0</v>
      </c>
      <c r="X15">
        <v>43</v>
      </c>
      <c r="Y15">
        <v>0</v>
      </c>
      <c r="Z15">
        <v>0</v>
      </c>
      <c r="AA15" s="2">
        <v>45670</v>
      </c>
      <c r="AB15" t="s">
        <v>1599</v>
      </c>
      <c r="AC15">
        <v>1329</v>
      </c>
      <c r="AD15">
        <v>799.24000000000012</v>
      </c>
      <c r="AE15">
        <v>15.859999999999998</v>
      </c>
      <c r="AF15">
        <v>283</v>
      </c>
      <c r="AG15">
        <v>1046</v>
      </c>
      <c r="AH15">
        <v>703.73</v>
      </c>
      <c r="AI15">
        <v>79.609999999999985</v>
      </c>
      <c r="AJ15">
        <v>282.45000000000005</v>
      </c>
      <c r="AK15">
        <v>258.94</v>
      </c>
      <c r="AL15">
        <v>44.94</v>
      </c>
      <c r="AM15">
        <v>1674</v>
      </c>
      <c r="AN15">
        <v>120</v>
      </c>
      <c r="AO15">
        <v>69</v>
      </c>
      <c r="AP15">
        <v>327.99</v>
      </c>
      <c r="AQ15">
        <v>0.1</v>
      </c>
      <c r="AR15">
        <v>0.05</v>
      </c>
      <c r="AS15">
        <v>0.7</v>
      </c>
      <c r="AT15">
        <v>34.5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800</v>
      </c>
      <c r="BE15">
        <v>0</v>
      </c>
      <c r="BF15">
        <v>783.38000000000022</v>
      </c>
      <c r="BG15">
        <v>14277.550000000001</v>
      </c>
    </row>
    <row r="16" spans="1:59" hidden="1" x14ac:dyDescent="0.25">
      <c r="A16" t="s">
        <v>114</v>
      </c>
      <c r="B16">
        <v>50</v>
      </c>
      <c r="C16">
        <v>50.15</v>
      </c>
      <c r="D16">
        <v>50</v>
      </c>
      <c r="E16">
        <v>1</v>
      </c>
      <c r="F16">
        <v>1056.25</v>
      </c>
      <c r="G16">
        <v>325</v>
      </c>
      <c r="H16">
        <v>0</v>
      </c>
      <c r="I16">
        <v>0</v>
      </c>
      <c r="J16">
        <v>0.96226415094339601</v>
      </c>
      <c r="K16">
        <v>3.9215686274509803E-2</v>
      </c>
      <c r="L16">
        <v>162.5</v>
      </c>
      <c r="M16">
        <v>0</v>
      </c>
      <c r="N16">
        <v>0.49232303090727803</v>
      </c>
      <c r="O16">
        <v>0</v>
      </c>
      <c r="P16">
        <v>99</v>
      </c>
      <c r="Q16">
        <v>0</v>
      </c>
      <c r="R16">
        <v>0</v>
      </c>
      <c r="S16">
        <v>1642.75</v>
      </c>
      <c r="T16">
        <v>50</v>
      </c>
      <c r="U16">
        <v>325</v>
      </c>
      <c r="V16">
        <v>50</v>
      </c>
      <c r="W16">
        <v>0</v>
      </c>
      <c r="X16">
        <v>1</v>
      </c>
      <c r="Y16">
        <v>162.5</v>
      </c>
      <c r="Z16">
        <v>0</v>
      </c>
      <c r="AA16" s="2">
        <v>45670</v>
      </c>
      <c r="AB16" t="s">
        <v>1815</v>
      </c>
      <c r="AC16">
        <v>46</v>
      </c>
      <c r="AD16">
        <v>50.16</v>
      </c>
      <c r="AE16">
        <v>0.01</v>
      </c>
      <c r="AF16">
        <v>15</v>
      </c>
      <c r="AG16">
        <v>31</v>
      </c>
      <c r="AH16">
        <v>24.69</v>
      </c>
      <c r="AI16">
        <v>25.46</v>
      </c>
      <c r="AJ16">
        <v>37.21</v>
      </c>
      <c r="AK16">
        <v>21.37</v>
      </c>
      <c r="AL16">
        <v>0.92</v>
      </c>
      <c r="AM16">
        <v>51</v>
      </c>
      <c r="AN16">
        <v>1</v>
      </c>
      <c r="AO16">
        <v>2</v>
      </c>
      <c r="AP16">
        <v>50.15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504.29</v>
      </c>
    </row>
    <row r="17" spans="1:59" hidden="1" x14ac:dyDescent="0.25">
      <c r="A17" t="s">
        <v>114</v>
      </c>
      <c r="B17">
        <v>550</v>
      </c>
      <c r="C17">
        <v>538.77</v>
      </c>
      <c r="D17">
        <v>538.77</v>
      </c>
      <c r="E17">
        <v>0.99772222222222195</v>
      </c>
      <c r="F17">
        <v>11549.612499999999</v>
      </c>
      <c r="G17">
        <v>3553.7269200000001</v>
      </c>
      <c r="H17">
        <v>0</v>
      </c>
      <c r="I17">
        <v>0</v>
      </c>
      <c r="J17">
        <v>0.98003629764065403</v>
      </c>
      <c r="K17">
        <v>2.03703703703704E-2</v>
      </c>
      <c r="L17">
        <v>1776.8634999999999</v>
      </c>
      <c r="M17">
        <v>0</v>
      </c>
      <c r="N17">
        <v>0.92300981866102405</v>
      </c>
      <c r="O17">
        <v>888.43169999999998</v>
      </c>
      <c r="P17">
        <v>633.66999999999996</v>
      </c>
      <c r="Q17">
        <v>89.6</v>
      </c>
      <c r="R17">
        <v>0</v>
      </c>
      <c r="S17">
        <v>18491.904600000002</v>
      </c>
      <c r="T17">
        <v>540</v>
      </c>
      <c r="U17">
        <v>3553.7269000000001</v>
      </c>
      <c r="V17">
        <v>538.77</v>
      </c>
      <c r="W17">
        <v>0</v>
      </c>
      <c r="X17">
        <v>10</v>
      </c>
      <c r="Y17">
        <v>1776.8634999999999</v>
      </c>
      <c r="Z17">
        <v>10</v>
      </c>
      <c r="AA17" s="2">
        <v>45670</v>
      </c>
      <c r="AB17" t="s">
        <v>1600</v>
      </c>
      <c r="AC17">
        <v>920</v>
      </c>
      <c r="AD17">
        <v>543.75</v>
      </c>
      <c r="AE17">
        <v>4.9799999999999995</v>
      </c>
      <c r="AF17">
        <v>271</v>
      </c>
      <c r="AG17">
        <v>649</v>
      </c>
      <c r="AH17">
        <v>497.28999999999991</v>
      </c>
      <c r="AI17">
        <v>41.480000000000004</v>
      </c>
      <c r="AJ17">
        <v>263.26</v>
      </c>
      <c r="AK17">
        <v>250.96999999999997</v>
      </c>
      <c r="AL17">
        <v>18.73</v>
      </c>
      <c r="AM17">
        <v>1080</v>
      </c>
      <c r="AN17">
        <v>12</v>
      </c>
      <c r="AO17">
        <v>22</v>
      </c>
      <c r="AP17">
        <v>390.54999999999995</v>
      </c>
      <c r="AQ17">
        <v>0.1</v>
      </c>
      <c r="AR17">
        <v>0.05</v>
      </c>
      <c r="AS17">
        <v>0.7</v>
      </c>
      <c r="AT17">
        <v>32.979999999999997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540</v>
      </c>
      <c r="BE17">
        <v>0</v>
      </c>
      <c r="BF17">
        <v>0</v>
      </c>
      <c r="BG17">
        <v>10111.209999999999</v>
      </c>
    </row>
    <row r="18" spans="1:59" hidden="1" x14ac:dyDescent="0.25">
      <c r="A18" t="s">
        <v>114</v>
      </c>
      <c r="B18">
        <v>50</v>
      </c>
      <c r="C18">
        <v>50.72</v>
      </c>
      <c r="D18">
        <v>50</v>
      </c>
      <c r="E18">
        <v>1</v>
      </c>
      <c r="F18">
        <v>1056.25</v>
      </c>
      <c r="G18">
        <v>325</v>
      </c>
      <c r="H18">
        <v>0</v>
      </c>
      <c r="I18">
        <v>0</v>
      </c>
      <c r="J18">
        <v>0.92771084337349397</v>
      </c>
      <c r="K18">
        <v>1.2987012987013E-2</v>
      </c>
      <c r="L18">
        <v>0</v>
      </c>
      <c r="M18">
        <v>81.25</v>
      </c>
      <c r="N18">
        <v>0.90516561514195604</v>
      </c>
      <c r="O18">
        <v>81.25</v>
      </c>
      <c r="P18">
        <v>69.400000000000006</v>
      </c>
      <c r="Q18">
        <v>0</v>
      </c>
      <c r="R18">
        <v>0</v>
      </c>
      <c r="S18">
        <v>1613.15</v>
      </c>
      <c r="T18">
        <v>50</v>
      </c>
      <c r="U18">
        <v>325</v>
      </c>
      <c r="V18">
        <v>0</v>
      </c>
      <c r="W18">
        <v>50</v>
      </c>
      <c r="X18">
        <v>6</v>
      </c>
      <c r="Y18">
        <v>81.25</v>
      </c>
      <c r="Z18">
        <v>0</v>
      </c>
      <c r="AA18" s="2">
        <v>45670</v>
      </c>
      <c r="AB18" t="s">
        <v>1749</v>
      </c>
      <c r="AC18">
        <v>62</v>
      </c>
      <c r="AD18">
        <v>50.72</v>
      </c>
      <c r="AE18">
        <v>0</v>
      </c>
      <c r="AF18">
        <v>36</v>
      </c>
      <c r="AG18">
        <v>26</v>
      </c>
      <c r="AH18">
        <v>45.91</v>
      </c>
      <c r="AI18">
        <v>4.82</v>
      </c>
      <c r="AJ18">
        <v>45.74</v>
      </c>
      <c r="AK18">
        <v>41.37</v>
      </c>
      <c r="AL18">
        <v>1.22</v>
      </c>
      <c r="AM18">
        <v>77</v>
      </c>
      <c r="AN18">
        <v>0</v>
      </c>
      <c r="AO18">
        <v>1</v>
      </c>
      <c r="AP18">
        <v>0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758.99</v>
      </c>
    </row>
    <row r="19" spans="1:59" hidden="1" x14ac:dyDescent="0.25">
      <c r="A19" t="s">
        <v>114</v>
      </c>
      <c r="B19">
        <v>21.26</v>
      </c>
      <c r="C19">
        <v>21.26</v>
      </c>
      <c r="D19">
        <v>21.26</v>
      </c>
      <c r="E19">
        <v>1</v>
      </c>
      <c r="F19">
        <v>449.11750000000001</v>
      </c>
      <c r="G19">
        <v>138.19</v>
      </c>
      <c r="H19">
        <v>0</v>
      </c>
      <c r="I19">
        <v>0</v>
      </c>
      <c r="J19">
        <v>1</v>
      </c>
      <c r="K19">
        <v>2.7777777777777801E-2</v>
      </c>
      <c r="L19">
        <v>69.094999999999999</v>
      </c>
      <c r="M19">
        <v>0</v>
      </c>
      <c r="N19">
        <v>0.72389463781749797</v>
      </c>
      <c r="O19">
        <v>34.547499999999999</v>
      </c>
      <c r="P19">
        <v>9</v>
      </c>
      <c r="Q19">
        <v>0</v>
      </c>
      <c r="R19">
        <v>0</v>
      </c>
      <c r="S19">
        <v>699.95</v>
      </c>
      <c r="T19">
        <v>21.26</v>
      </c>
      <c r="U19">
        <v>138.19</v>
      </c>
      <c r="V19">
        <v>21.26</v>
      </c>
      <c r="W19">
        <v>0</v>
      </c>
      <c r="X19">
        <v>0</v>
      </c>
      <c r="Y19">
        <v>69.094999999999999</v>
      </c>
      <c r="Z19">
        <v>0</v>
      </c>
      <c r="AA19" s="2">
        <v>45670</v>
      </c>
      <c r="AB19" t="s">
        <v>1788</v>
      </c>
      <c r="AC19">
        <v>27</v>
      </c>
      <c r="AD19">
        <v>21.26</v>
      </c>
      <c r="AE19">
        <v>0</v>
      </c>
      <c r="AF19">
        <v>5</v>
      </c>
      <c r="AG19">
        <v>22</v>
      </c>
      <c r="AH19">
        <v>15.39</v>
      </c>
      <c r="AI19">
        <v>5.86</v>
      </c>
      <c r="AJ19">
        <v>13.18</v>
      </c>
      <c r="AK19">
        <v>10.76</v>
      </c>
      <c r="AL19">
        <v>1.27</v>
      </c>
      <c r="AM19">
        <v>36</v>
      </c>
      <c r="AN19">
        <v>0</v>
      </c>
      <c r="AO19">
        <v>1</v>
      </c>
      <c r="AP19">
        <v>21.26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21</v>
      </c>
      <c r="BE19">
        <v>0</v>
      </c>
      <c r="BF19">
        <v>0</v>
      </c>
      <c r="BG19">
        <v>282.70999999999998</v>
      </c>
    </row>
    <row r="20" spans="1:59" hidden="1" x14ac:dyDescent="0.25">
      <c r="A20" t="s">
        <v>114</v>
      </c>
      <c r="B20">
        <v>200</v>
      </c>
      <c r="C20">
        <v>200.78</v>
      </c>
      <c r="D20">
        <v>200</v>
      </c>
      <c r="E20">
        <v>1</v>
      </c>
      <c r="F20">
        <v>4225</v>
      </c>
      <c r="G20">
        <v>1300</v>
      </c>
      <c r="H20">
        <v>0</v>
      </c>
      <c r="I20">
        <v>0</v>
      </c>
      <c r="J20">
        <v>0.92727272727272703</v>
      </c>
      <c r="K20">
        <v>8.4033613445378096E-3</v>
      </c>
      <c r="L20">
        <v>0</v>
      </c>
      <c r="M20">
        <v>325</v>
      </c>
      <c r="N20">
        <v>0.76601255105090205</v>
      </c>
      <c r="O20">
        <v>325</v>
      </c>
      <c r="P20">
        <v>124.34</v>
      </c>
      <c r="Q20">
        <v>14.74</v>
      </c>
      <c r="R20">
        <v>0</v>
      </c>
      <c r="S20">
        <v>6314.08</v>
      </c>
      <c r="T20">
        <v>200</v>
      </c>
      <c r="U20">
        <v>1300</v>
      </c>
      <c r="V20">
        <v>0</v>
      </c>
      <c r="W20">
        <v>200</v>
      </c>
      <c r="X20">
        <v>28</v>
      </c>
      <c r="Y20">
        <v>325</v>
      </c>
      <c r="Z20">
        <v>0</v>
      </c>
      <c r="AA20" s="2">
        <v>45670</v>
      </c>
      <c r="AB20" t="s">
        <v>1747</v>
      </c>
      <c r="AC20">
        <v>318</v>
      </c>
      <c r="AD20">
        <v>201.28</v>
      </c>
      <c r="AE20">
        <v>0.5</v>
      </c>
      <c r="AF20">
        <v>70</v>
      </c>
      <c r="AG20">
        <v>248</v>
      </c>
      <c r="AH20">
        <v>153.80000000000001</v>
      </c>
      <c r="AI20">
        <v>46.970000000000006</v>
      </c>
      <c r="AJ20">
        <v>87.73</v>
      </c>
      <c r="AK20">
        <v>72.759999999999991</v>
      </c>
      <c r="AL20">
        <v>6.32</v>
      </c>
      <c r="AM20">
        <v>357</v>
      </c>
      <c r="AN20">
        <v>0</v>
      </c>
      <c r="AO20">
        <v>3</v>
      </c>
      <c r="AP20">
        <v>100.41999999999999</v>
      </c>
      <c r="AQ20">
        <v>0.1</v>
      </c>
      <c r="AR20">
        <v>0.05</v>
      </c>
      <c r="AS20">
        <v>0.7</v>
      </c>
      <c r="AT20">
        <v>32.5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200</v>
      </c>
      <c r="BE20">
        <v>0</v>
      </c>
      <c r="BF20">
        <v>0</v>
      </c>
      <c r="BG20">
        <v>3263.78</v>
      </c>
    </row>
    <row r="21" spans="1:59" hidden="1" x14ac:dyDescent="0.25">
      <c r="A21" t="s">
        <v>115</v>
      </c>
      <c r="B21">
        <v>50</v>
      </c>
      <c r="C21">
        <v>49.37</v>
      </c>
      <c r="D21">
        <v>49.37</v>
      </c>
      <c r="E21">
        <v>0.98740000000000006</v>
      </c>
      <c r="F21">
        <v>1042.9412</v>
      </c>
      <c r="G21">
        <v>320.90499999999997</v>
      </c>
      <c r="H21">
        <v>0</v>
      </c>
      <c r="I21">
        <v>0</v>
      </c>
      <c r="J21">
        <v>0.98387096774193605</v>
      </c>
      <c r="K21">
        <v>3.2786885245901599E-2</v>
      </c>
      <c r="L21">
        <v>160.45249999999999</v>
      </c>
      <c r="M21">
        <v>0</v>
      </c>
      <c r="N21">
        <v>0.627911687259469</v>
      </c>
      <c r="O21">
        <v>0</v>
      </c>
      <c r="P21">
        <v>57.58</v>
      </c>
      <c r="Q21">
        <v>0</v>
      </c>
      <c r="R21">
        <v>0</v>
      </c>
      <c r="S21">
        <v>1581.8788</v>
      </c>
      <c r="T21">
        <v>50</v>
      </c>
      <c r="U21">
        <v>320.90499999999997</v>
      </c>
      <c r="V21">
        <v>49.37</v>
      </c>
      <c r="W21">
        <v>0</v>
      </c>
      <c r="X21">
        <v>0</v>
      </c>
      <c r="Y21">
        <v>160.45249999999999</v>
      </c>
      <c r="Z21">
        <v>0</v>
      </c>
      <c r="AA21" s="2">
        <v>45677</v>
      </c>
      <c r="AB21" t="s">
        <v>1816</v>
      </c>
      <c r="AC21">
        <v>60</v>
      </c>
      <c r="AD21">
        <v>49.37</v>
      </c>
      <c r="AE21">
        <v>0</v>
      </c>
      <c r="AF21">
        <v>3</v>
      </c>
      <c r="AG21">
        <v>57</v>
      </c>
      <c r="AH21">
        <v>31</v>
      </c>
      <c r="AI21">
        <v>18.36</v>
      </c>
      <c r="AJ21">
        <v>9.58</v>
      </c>
      <c r="AK21">
        <v>8.07</v>
      </c>
      <c r="AL21">
        <v>1.22</v>
      </c>
      <c r="AM21">
        <v>61</v>
      </c>
      <c r="AN21">
        <v>1</v>
      </c>
      <c r="AO21">
        <v>2</v>
      </c>
      <c r="AP21">
        <v>49.37</v>
      </c>
      <c r="AQ21">
        <v>0.1</v>
      </c>
      <c r="AR21">
        <v>0.05</v>
      </c>
      <c r="AS21">
        <v>0.7</v>
      </c>
      <c r="AT21">
        <v>32.5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50</v>
      </c>
      <c r="BE21">
        <v>0</v>
      </c>
      <c r="BF21">
        <v>0</v>
      </c>
      <c r="BG21">
        <v>625.1</v>
      </c>
    </row>
    <row r="22" spans="1:59" hidden="1" x14ac:dyDescent="0.25">
      <c r="A22" t="s">
        <v>115</v>
      </c>
      <c r="B22">
        <v>40.07</v>
      </c>
      <c r="C22">
        <v>40.07</v>
      </c>
      <c r="D22">
        <v>40.07</v>
      </c>
      <c r="E22">
        <v>1</v>
      </c>
      <c r="F22">
        <v>846.47879999999998</v>
      </c>
      <c r="G22">
        <v>260.45499999999998</v>
      </c>
      <c r="H22">
        <v>0</v>
      </c>
      <c r="I22">
        <v>0</v>
      </c>
      <c r="J22">
        <v>1</v>
      </c>
      <c r="K22">
        <v>0</v>
      </c>
      <c r="L22">
        <v>130.22749999999999</v>
      </c>
      <c r="M22">
        <v>0</v>
      </c>
      <c r="N22">
        <v>0.66683304217619199</v>
      </c>
      <c r="O22">
        <v>0</v>
      </c>
      <c r="P22">
        <v>42.54</v>
      </c>
      <c r="Q22">
        <v>0</v>
      </c>
      <c r="R22">
        <v>0</v>
      </c>
      <c r="S22">
        <v>1279.7012</v>
      </c>
      <c r="T22">
        <v>40.07</v>
      </c>
      <c r="U22">
        <v>260.45499999999998</v>
      </c>
      <c r="V22">
        <v>40.07</v>
      </c>
      <c r="W22">
        <v>0</v>
      </c>
      <c r="X22">
        <v>0</v>
      </c>
      <c r="Y22">
        <v>130.22749999999999</v>
      </c>
      <c r="Z22">
        <v>0</v>
      </c>
      <c r="AA22" s="2">
        <v>45677</v>
      </c>
      <c r="AB22" t="s">
        <v>1788</v>
      </c>
      <c r="AC22">
        <v>44</v>
      </c>
      <c r="AD22">
        <v>40.18</v>
      </c>
      <c r="AE22">
        <v>0.11</v>
      </c>
      <c r="AF22">
        <v>11</v>
      </c>
      <c r="AG22">
        <v>33</v>
      </c>
      <c r="AH22">
        <v>26.72</v>
      </c>
      <c r="AI22">
        <v>13.34</v>
      </c>
      <c r="AJ22">
        <v>13.95</v>
      </c>
      <c r="AK22">
        <v>10.36</v>
      </c>
      <c r="AL22">
        <v>1.1000000000000001</v>
      </c>
      <c r="AM22">
        <v>49</v>
      </c>
      <c r="AN22">
        <v>0</v>
      </c>
      <c r="AO22">
        <v>0</v>
      </c>
      <c r="AP22">
        <v>40.07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40</v>
      </c>
      <c r="BE22">
        <v>0</v>
      </c>
      <c r="BF22">
        <v>0</v>
      </c>
      <c r="BG22">
        <v>549.86</v>
      </c>
    </row>
    <row r="23" spans="1:59" hidden="1" x14ac:dyDescent="0.25">
      <c r="A23" t="s">
        <v>115</v>
      </c>
      <c r="B23">
        <v>50</v>
      </c>
      <c r="C23">
        <v>7.3900000000000006</v>
      </c>
      <c r="D23">
        <v>7.3900000000000006</v>
      </c>
      <c r="E23">
        <v>0.14779999999999999</v>
      </c>
      <c r="F23">
        <v>0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0.77401894451962105</v>
      </c>
      <c r="O23">
        <v>0</v>
      </c>
      <c r="P23">
        <v>16.05</v>
      </c>
      <c r="Q23">
        <v>1.86</v>
      </c>
      <c r="R23">
        <v>150.94999999999999</v>
      </c>
      <c r="S23">
        <v>168.86</v>
      </c>
      <c r="T23">
        <v>50</v>
      </c>
      <c r="U23">
        <v>0</v>
      </c>
      <c r="V23">
        <v>7.3900000000000006</v>
      </c>
      <c r="W23">
        <v>0</v>
      </c>
      <c r="X23">
        <v>0</v>
      </c>
      <c r="Y23">
        <v>0</v>
      </c>
      <c r="Z23">
        <v>0</v>
      </c>
      <c r="AA23" s="2">
        <v>45677</v>
      </c>
      <c r="AB23" t="s">
        <v>1746</v>
      </c>
      <c r="AC23">
        <v>7</v>
      </c>
      <c r="AD23">
        <v>7.4</v>
      </c>
      <c r="AE23">
        <v>0.01</v>
      </c>
      <c r="AF23">
        <v>2</v>
      </c>
      <c r="AG23">
        <v>5</v>
      </c>
      <c r="AH23">
        <v>5.72</v>
      </c>
      <c r="AI23">
        <v>1.68</v>
      </c>
      <c r="AJ23">
        <v>7.4</v>
      </c>
      <c r="AK23">
        <v>5.72</v>
      </c>
      <c r="AL23">
        <v>0.95</v>
      </c>
      <c r="AM23">
        <v>10</v>
      </c>
      <c r="AN23">
        <v>0</v>
      </c>
      <c r="AO23">
        <v>0</v>
      </c>
      <c r="AP23">
        <v>7.3900000000000006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0</v>
      </c>
      <c r="BG23">
        <v>150.94999999999999</v>
      </c>
    </row>
    <row r="24" spans="1:59" hidden="1" x14ac:dyDescent="0.25">
      <c r="A24" t="s">
        <v>115</v>
      </c>
      <c r="B24">
        <v>85</v>
      </c>
      <c r="C24">
        <v>85.66</v>
      </c>
      <c r="D24">
        <v>85</v>
      </c>
      <c r="E24">
        <v>1</v>
      </c>
      <c r="F24">
        <v>1795.625</v>
      </c>
      <c r="G24">
        <v>552.5</v>
      </c>
      <c r="H24">
        <v>0</v>
      </c>
      <c r="I24">
        <v>0</v>
      </c>
      <c r="J24">
        <v>0.99371069182389904</v>
      </c>
      <c r="K24">
        <v>1.8987341772151899E-2</v>
      </c>
      <c r="L24">
        <v>276.25</v>
      </c>
      <c r="M24">
        <v>0</v>
      </c>
      <c r="N24">
        <v>0.84216670558020101</v>
      </c>
      <c r="O24">
        <v>138.125</v>
      </c>
      <c r="P24">
        <v>94.14</v>
      </c>
      <c r="Q24">
        <v>8.8699999999999992</v>
      </c>
      <c r="R24">
        <v>0</v>
      </c>
      <c r="S24">
        <v>2865.51</v>
      </c>
      <c r="T24">
        <v>50</v>
      </c>
      <c r="U24">
        <v>552.5</v>
      </c>
      <c r="V24">
        <v>85</v>
      </c>
      <c r="W24">
        <v>0</v>
      </c>
      <c r="X24">
        <v>1</v>
      </c>
      <c r="Y24">
        <v>276.25</v>
      </c>
      <c r="Z24">
        <v>35</v>
      </c>
      <c r="AA24" s="2">
        <v>45677</v>
      </c>
      <c r="AB24" t="s">
        <v>1716</v>
      </c>
      <c r="AC24">
        <v>141</v>
      </c>
      <c r="AD24">
        <v>85.94</v>
      </c>
      <c r="AE24">
        <v>0.28000000000000003</v>
      </c>
      <c r="AF24">
        <v>18</v>
      </c>
      <c r="AG24">
        <v>123</v>
      </c>
      <c r="AH24">
        <v>72.14</v>
      </c>
      <c r="AI24">
        <v>13.51</v>
      </c>
      <c r="AJ24">
        <v>12.85</v>
      </c>
      <c r="AK24">
        <v>10.3</v>
      </c>
      <c r="AL24">
        <v>1.64</v>
      </c>
      <c r="AM24">
        <v>158</v>
      </c>
      <c r="AN24">
        <v>0</v>
      </c>
      <c r="AO24">
        <v>3</v>
      </c>
      <c r="AP24">
        <v>85.66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1773.84</v>
      </c>
    </row>
    <row r="25" spans="1:59" hidden="1" x14ac:dyDescent="0.25">
      <c r="A25" t="s">
        <v>115</v>
      </c>
      <c r="B25">
        <v>50</v>
      </c>
      <c r="C25">
        <v>50.22</v>
      </c>
      <c r="D25">
        <v>50</v>
      </c>
      <c r="E25">
        <v>1</v>
      </c>
      <c r="F25">
        <v>1056.25</v>
      </c>
      <c r="G25">
        <v>325</v>
      </c>
      <c r="H25">
        <v>0</v>
      </c>
      <c r="I25">
        <v>0</v>
      </c>
      <c r="J25">
        <v>1</v>
      </c>
      <c r="K25">
        <v>1.1494252873563199E-2</v>
      </c>
      <c r="L25">
        <v>162.5</v>
      </c>
      <c r="M25">
        <v>0</v>
      </c>
      <c r="N25">
        <v>0.73436877737952999</v>
      </c>
      <c r="O25">
        <v>81.25</v>
      </c>
      <c r="P25">
        <v>43.68</v>
      </c>
      <c r="Q25">
        <v>0</v>
      </c>
      <c r="R25">
        <v>0</v>
      </c>
      <c r="S25">
        <v>1668.68</v>
      </c>
      <c r="T25">
        <v>50</v>
      </c>
      <c r="U25">
        <v>325</v>
      </c>
      <c r="V25">
        <v>50</v>
      </c>
      <c r="W25">
        <v>0</v>
      </c>
      <c r="X25">
        <v>0</v>
      </c>
      <c r="Y25">
        <v>162.5</v>
      </c>
      <c r="Z25">
        <v>0</v>
      </c>
      <c r="AA25" s="2">
        <v>45677</v>
      </c>
      <c r="AB25" t="s">
        <v>1745</v>
      </c>
      <c r="AC25">
        <v>77</v>
      </c>
      <c r="AD25">
        <v>50.35</v>
      </c>
      <c r="AE25">
        <v>0.13</v>
      </c>
      <c r="AF25">
        <v>15</v>
      </c>
      <c r="AG25">
        <v>62</v>
      </c>
      <c r="AH25">
        <v>36.880000000000003</v>
      </c>
      <c r="AI25">
        <v>13.34</v>
      </c>
      <c r="AJ25">
        <v>15.57</v>
      </c>
      <c r="AK25">
        <v>14.1</v>
      </c>
      <c r="AL25">
        <v>1.53</v>
      </c>
      <c r="AM25">
        <v>87</v>
      </c>
      <c r="AN25">
        <v>0</v>
      </c>
      <c r="AO25">
        <v>1</v>
      </c>
      <c r="AP25">
        <v>50.22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812.98</v>
      </c>
    </row>
    <row r="26" spans="1:59" hidden="1" x14ac:dyDescent="0.25">
      <c r="A26" t="s">
        <v>115</v>
      </c>
      <c r="B26">
        <v>210</v>
      </c>
      <c r="C26">
        <v>210.74</v>
      </c>
      <c r="D26">
        <v>210</v>
      </c>
      <c r="E26">
        <v>1</v>
      </c>
      <c r="F26">
        <v>4436.25</v>
      </c>
      <c r="G26">
        <v>1365</v>
      </c>
      <c r="H26">
        <v>0</v>
      </c>
      <c r="I26">
        <v>0</v>
      </c>
      <c r="J26">
        <v>0.97368421052631604</v>
      </c>
      <c r="K26">
        <v>1.8918918918918899E-2</v>
      </c>
      <c r="L26">
        <v>682.5</v>
      </c>
      <c r="M26">
        <v>0</v>
      </c>
      <c r="N26">
        <v>0.79776027332257804</v>
      </c>
      <c r="O26">
        <v>341.25</v>
      </c>
      <c r="P26">
        <v>138</v>
      </c>
      <c r="Q26">
        <v>1.51</v>
      </c>
      <c r="R26">
        <v>0</v>
      </c>
      <c r="S26">
        <v>6964.51</v>
      </c>
      <c r="T26">
        <v>200</v>
      </c>
      <c r="U26">
        <v>1365</v>
      </c>
      <c r="V26">
        <v>210</v>
      </c>
      <c r="W26">
        <v>0</v>
      </c>
      <c r="X26">
        <v>5</v>
      </c>
      <c r="Y26">
        <v>682.5</v>
      </c>
      <c r="Z26">
        <v>10</v>
      </c>
      <c r="AA26" s="2">
        <v>45677</v>
      </c>
      <c r="AB26" t="s">
        <v>1747</v>
      </c>
      <c r="AC26">
        <v>329</v>
      </c>
      <c r="AD26">
        <v>210.83999999999997</v>
      </c>
      <c r="AE26">
        <v>9.9999999999999992E-2</v>
      </c>
      <c r="AF26">
        <v>70</v>
      </c>
      <c r="AG26">
        <v>259</v>
      </c>
      <c r="AH26">
        <v>168.12</v>
      </c>
      <c r="AI26">
        <v>42.620000000000005</v>
      </c>
      <c r="AJ26">
        <v>88.889999999999986</v>
      </c>
      <c r="AK26">
        <v>77.86</v>
      </c>
      <c r="AL26">
        <v>6.18</v>
      </c>
      <c r="AM26">
        <v>370</v>
      </c>
      <c r="AN26">
        <v>5</v>
      </c>
      <c r="AO26">
        <v>7</v>
      </c>
      <c r="AP26">
        <v>160.75</v>
      </c>
      <c r="AQ26">
        <v>0.1</v>
      </c>
      <c r="AR26">
        <v>0.05</v>
      </c>
      <c r="AS26">
        <v>0.7</v>
      </c>
      <c r="AT26">
        <v>32.5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200</v>
      </c>
      <c r="BE26">
        <v>0</v>
      </c>
      <c r="BF26">
        <v>0</v>
      </c>
      <c r="BG26">
        <v>3615.18</v>
      </c>
    </row>
    <row r="27" spans="1:59" hidden="1" x14ac:dyDescent="0.25">
      <c r="A27" t="s">
        <v>115</v>
      </c>
      <c r="B27">
        <v>50</v>
      </c>
      <c r="C27">
        <v>50.29</v>
      </c>
      <c r="D27">
        <v>50</v>
      </c>
      <c r="E27">
        <v>1</v>
      </c>
      <c r="F27">
        <v>1056.25</v>
      </c>
      <c r="G27">
        <v>325</v>
      </c>
      <c r="H27">
        <v>0</v>
      </c>
      <c r="I27">
        <v>0</v>
      </c>
      <c r="J27">
        <v>1</v>
      </c>
      <c r="K27">
        <v>0</v>
      </c>
      <c r="L27">
        <v>162.5</v>
      </c>
      <c r="M27">
        <v>0</v>
      </c>
      <c r="N27">
        <v>0.72658580234639103</v>
      </c>
      <c r="O27">
        <v>81.25</v>
      </c>
      <c r="P27">
        <v>81</v>
      </c>
      <c r="Q27">
        <v>0</v>
      </c>
      <c r="R27">
        <v>0</v>
      </c>
      <c r="S27">
        <v>1706</v>
      </c>
      <c r="T27">
        <v>50</v>
      </c>
      <c r="U27">
        <v>325</v>
      </c>
      <c r="V27">
        <v>50</v>
      </c>
      <c r="W27">
        <v>0</v>
      </c>
      <c r="X27">
        <v>0</v>
      </c>
      <c r="Y27">
        <v>162.5</v>
      </c>
      <c r="Z27">
        <v>0</v>
      </c>
      <c r="AA27" s="2">
        <v>45677</v>
      </c>
      <c r="AB27" t="s">
        <v>1750</v>
      </c>
      <c r="AC27">
        <v>62</v>
      </c>
      <c r="AD27">
        <v>50.29</v>
      </c>
      <c r="AE27">
        <v>0</v>
      </c>
      <c r="AF27">
        <v>14</v>
      </c>
      <c r="AG27">
        <v>48</v>
      </c>
      <c r="AH27">
        <v>36.54</v>
      </c>
      <c r="AI27">
        <v>13.74</v>
      </c>
      <c r="AJ27">
        <v>19.75</v>
      </c>
      <c r="AK27">
        <v>18.989999999999998</v>
      </c>
      <c r="AL27">
        <v>1.23</v>
      </c>
      <c r="AM27">
        <v>67</v>
      </c>
      <c r="AN27">
        <v>0</v>
      </c>
      <c r="AO27">
        <v>0</v>
      </c>
      <c r="AP27">
        <v>50.29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771.45</v>
      </c>
    </row>
    <row r="28" spans="1:59" hidden="1" x14ac:dyDescent="0.25">
      <c r="A28" t="s">
        <v>115</v>
      </c>
      <c r="B28">
        <v>110</v>
      </c>
      <c r="C28">
        <v>107.93</v>
      </c>
      <c r="D28">
        <v>107.93</v>
      </c>
      <c r="E28">
        <v>1</v>
      </c>
      <c r="F28">
        <v>2280.0212000000001</v>
      </c>
      <c r="G28">
        <v>701.54500000000007</v>
      </c>
      <c r="H28">
        <v>0</v>
      </c>
      <c r="I28">
        <v>0</v>
      </c>
      <c r="J28">
        <v>0.99069767441860501</v>
      </c>
      <c r="K28">
        <v>1.8779342723004699E-2</v>
      </c>
      <c r="L28">
        <v>350.77249999999998</v>
      </c>
      <c r="M28">
        <v>0</v>
      </c>
      <c r="N28">
        <v>0.76494023904382502</v>
      </c>
      <c r="O28">
        <v>175.3862</v>
      </c>
      <c r="P28">
        <v>145.56</v>
      </c>
      <c r="Q28">
        <v>9.3000000000000007</v>
      </c>
      <c r="R28">
        <v>0</v>
      </c>
      <c r="S28">
        <v>3662.585</v>
      </c>
      <c r="T28">
        <v>100</v>
      </c>
      <c r="U28">
        <v>701.54499999999996</v>
      </c>
      <c r="V28">
        <v>107.93</v>
      </c>
      <c r="W28">
        <v>0</v>
      </c>
      <c r="X28">
        <v>0</v>
      </c>
      <c r="Y28">
        <v>350.77249999999998</v>
      </c>
      <c r="Z28">
        <v>10</v>
      </c>
      <c r="AA28" s="2">
        <v>45677</v>
      </c>
      <c r="AB28" t="s">
        <v>1787</v>
      </c>
      <c r="AC28">
        <v>171</v>
      </c>
      <c r="AD28">
        <v>107.93</v>
      </c>
      <c r="AE28">
        <v>0</v>
      </c>
      <c r="AF28">
        <v>35</v>
      </c>
      <c r="AG28">
        <v>136</v>
      </c>
      <c r="AH28">
        <v>82.56</v>
      </c>
      <c r="AI28">
        <v>25.37</v>
      </c>
      <c r="AJ28">
        <v>43.760000000000005</v>
      </c>
      <c r="AK28">
        <v>34.79</v>
      </c>
      <c r="AL28">
        <v>3.17</v>
      </c>
      <c r="AM28">
        <v>213</v>
      </c>
      <c r="AN28">
        <v>2</v>
      </c>
      <c r="AO28">
        <v>4</v>
      </c>
      <c r="AP28">
        <v>107.93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100</v>
      </c>
      <c r="BE28">
        <v>0</v>
      </c>
      <c r="BF28">
        <v>0</v>
      </c>
      <c r="BG28">
        <v>1883.4099999999999</v>
      </c>
    </row>
    <row r="29" spans="1:59" hidden="1" x14ac:dyDescent="0.25">
      <c r="A29" t="s">
        <v>115</v>
      </c>
      <c r="B29">
        <v>60</v>
      </c>
      <c r="C29">
        <v>55.25</v>
      </c>
      <c r="D29">
        <v>55.25</v>
      </c>
      <c r="E29">
        <v>1</v>
      </c>
      <c r="F29">
        <v>1167.1561999999999</v>
      </c>
      <c r="G29">
        <v>359.125</v>
      </c>
      <c r="H29">
        <v>0</v>
      </c>
      <c r="I29">
        <v>0</v>
      </c>
      <c r="J29">
        <v>1</v>
      </c>
      <c r="K29">
        <v>1.3333333333333299E-2</v>
      </c>
      <c r="L29">
        <v>179.5625</v>
      </c>
      <c r="M29">
        <v>0</v>
      </c>
      <c r="N29">
        <v>0.71348416289592798</v>
      </c>
      <c r="O29">
        <v>89.781199999999998</v>
      </c>
      <c r="P29">
        <v>46.77</v>
      </c>
      <c r="Q29">
        <v>0</v>
      </c>
      <c r="R29">
        <v>0</v>
      </c>
      <c r="S29">
        <v>1842.395</v>
      </c>
      <c r="T29">
        <v>50</v>
      </c>
      <c r="U29">
        <v>359.125</v>
      </c>
      <c r="V29">
        <v>55.25</v>
      </c>
      <c r="W29">
        <v>0</v>
      </c>
      <c r="X29">
        <v>0</v>
      </c>
      <c r="Y29">
        <v>179.5625</v>
      </c>
      <c r="Z29">
        <v>10</v>
      </c>
      <c r="AA29" s="2">
        <v>45677</v>
      </c>
      <c r="AB29" t="s">
        <v>1742</v>
      </c>
      <c r="AC29">
        <v>66</v>
      </c>
      <c r="AD29">
        <v>55.25</v>
      </c>
      <c r="AE29">
        <v>0</v>
      </c>
      <c r="AF29">
        <v>18</v>
      </c>
      <c r="AG29">
        <v>48</v>
      </c>
      <c r="AH29">
        <v>39.42</v>
      </c>
      <c r="AI29">
        <v>15.83</v>
      </c>
      <c r="AJ29">
        <v>33.61</v>
      </c>
      <c r="AK29">
        <v>26.8</v>
      </c>
      <c r="AL29">
        <v>1.19</v>
      </c>
      <c r="AM29">
        <v>75</v>
      </c>
      <c r="AN29">
        <v>0</v>
      </c>
      <c r="AO29">
        <v>1</v>
      </c>
      <c r="AP29">
        <v>55.25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50</v>
      </c>
      <c r="BE29">
        <v>0</v>
      </c>
      <c r="BF29">
        <v>0</v>
      </c>
      <c r="BG29">
        <v>729.27</v>
      </c>
    </row>
    <row r="30" spans="1:59" hidden="1" x14ac:dyDescent="0.25">
      <c r="A30" t="s">
        <v>115</v>
      </c>
      <c r="B30">
        <v>45.26</v>
      </c>
      <c r="C30">
        <v>45.26</v>
      </c>
      <c r="D30">
        <v>45.26</v>
      </c>
      <c r="E30">
        <v>1</v>
      </c>
      <c r="F30">
        <v>956.11749999999995</v>
      </c>
      <c r="G30">
        <v>294.19</v>
      </c>
      <c r="H30">
        <v>0</v>
      </c>
      <c r="I30">
        <v>0</v>
      </c>
      <c r="J30">
        <v>1</v>
      </c>
      <c r="K30">
        <v>0</v>
      </c>
      <c r="L30">
        <v>147.095</v>
      </c>
      <c r="M30">
        <v>0</v>
      </c>
      <c r="N30">
        <v>0.77596111356606301</v>
      </c>
      <c r="O30">
        <v>73.547499999999999</v>
      </c>
      <c r="P30">
        <v>111.53</v>
      </c>
      <c r="Q30">
        <v>12</v>
      </c>
      <c r="R30">
        <v>0</v>
      </c>
      <c r="S30">
        <v>1594.48</v>
      </c>
      <c r="T30">
        <v>45.26</v>
      </c>
      <c r="U30">
        <v>294.19</v>
      </c>
      <c r="V30">
        <v>45.26</v>
      </c>
      <c r="W30">
        <v>0</v>
      </c>
      <c r="X30">
        <v>0</v>
      </c>
      <c r="Y30">
        <v>147.095</v>
      </c>
      <c r="Z30">
        <v>0</v>
      </c>
      <c r="AA30" s="2">
        <v>45677</v>
      </c>
      <c r="AB30" t="s">
        <v>1667</v>
      </c>
      <c r="AC30">
        <v>56</v>
      </c>
      <c r="AD30">
        <v>50.51</v>
      </c>
      <c r="AE30">
        <v>5.25</v>
      </c>
      <c r="AF30">
        <v>10</v>
      </c>
      <c r="AG30">
        <v>46</v>
      </c>
      <c r="AH30">
        <v>35.119999999999997</v>
      </c>
      <c r="AI30">
        <v>10.14</v>
      </c>
      <c r="AJ30">
        <v>21.88</v>
      </c>
      <c r="AK30">
        <v>14.56</v>
      </c>
      <c r="AL30">
        <v>1.1100000000000001</v>
      </c>
      <c r="AM30">
        <v>31</v>
      </c>
      <c r="AN30">
        <v>0</v>
      </c>
      <c r="AO30">
        <v>0</v>
      </c>
      <c r="AP30">
        <v>45.26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45</v>
      </c>
      <c r="BE30">
        <v>0</v>
      </c>
      <c r="BF30">
        <v>0</v>
      </c>
      <c r="BG30">
        <v>851.88</v>
      </c>
    </row>
    <row r="31" spans="1:59" hidden="1" x14ac:dyDescent="0.25">
      <c r="A31" t="s">
        <v>115</v>
      </c>
      <c r="B31">
        <v>50</v>
      </c>
      <c r="C31">
        <v>51.18</v>
      </c>
      <c r="D31">
        <v>50</v>
      </c>
      <c r="E31">
        <v>1</v>
      </c>
      <c r="F31">
        <v>1056.25</v>
      </c>
      <c r="G31">
        <v>325</v>
      </c>
      <c r="H31">
        <v>0</v>
      </c>
      <c r="I31">
        <v>0</v>
      </c>
      <c r="J31">
        <v>0.92307692307692302</v>
      </c>
      <c r="K31">
        <v>0</v>
      </c>
      <c r="L31">
        <v>0</v>
      </c>
      <c r="M31">
        <v>81.25</v>
      </c>
      <c r="N31">
        <v>0.71355998436889401</v>
      </c>
      <c r="O31">
        <v>81.25</v>
      </c>
      <c r="P31">
        <v>61.23</v>
      </c>
      <c r="Q31">
        <v>0</v>
      </c>
      <c r="R31">
        <v>0</v>
      </c>
      <c r="S31">
        <v>1604.98</v>
      </c>
      <c r="T31">
        <v>50</v>
      </c>
      <c r="U31">
        <v>325</v>
      </c>
      <c r="V31">
        <v>0</v>
      </c>
      <c r="W31">
        <v>50</v>
      </c>
      <c r="X31">
        <v>8</v>
      </c>
      <c r="Y31">
        <v>81.25</v>
      </c>
      <c r="Z31">
        <v>0</v>
      </c>
      <c r="AA31" s="2">
        <v>45677</v>
      </c>
      <c r="AB31" t="s">
        <v>1812</v>
      </c>
      <c r="AC31">
        <v>83</v>
      </c>
      <c r="AD31">
        <v>51.33</v>
      </c>
      <c r="AE31">
        <v>0.15</v>
      </c>
      <c r="AF31">
        <v>4</v>
      </c>
      <c r="AG31">
        <v>79</v>
      </c>
      <c r="AH31">
        <v>36.520000000000003</v>
      </c>
      <c r="AI31">
        <v>14.66</v>
      </c>
      <c r="AJ31">
        <v>10.97</v>
      </c>
      <c r="AK31">
        <v>8.14</v>
      </c>
      <c r="AL31">
        <v>1.62</v>
      </c>
      <c r="AM31">
        <v>96</v>
      </c>
      <c r="AN31">
        <v>0</v>
      </c>
      <c r="AO31">
        <v>0</v>
      </c>
      <c r="AP31">
        <v>0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50</v>
      </c>
      <c r="BE31">
        <v>0</v>
      </c>
      <c r="BF31">
        <v>0</v>
      </c>
      <c r="BG31">
        <v>763.4</v>
      </c>
    </row>
    <row r="32" spans="1:59" hidden="1" x14ac:dyDescent="0.25">
      <c r="A32" t="s">
        <v>115</v>
      </c>
      <c r="B32">
        <v>61</v>
      </c>
      <c r="C32">
        <v>59.97</v>
      </c>
      <c r="D32">
        <v>59.97</v>
      </c>
      <c r="E32">
        <v>1</v>
      </c>
      <c r="F32">
        <v>1266.8661999999999</v>
      </c>
      <c r="G32">
        <v>389.80500000000001</v>
      </c>
      <c r="H32">
        <v>0</v>
      </c>
      <c r="I32">
        <v>0</v>
      </c>
      <c r="J32">
        <v>0.98888888888888904</v>
      </c>
      <c r="K32">
        <v>1.1235955056179799E-2</v>
      </c>
      <c r="L32">
        <v>194.9025</v>
      </c>
      <c r="M32">
        <v>0</v>
      </c>
      <c r="N32">
        <v>0.76038019009504798</v>
      </c>
      <c r="O32">
        <v>97.4512</v>
      </c>
      <c r="P32">
        <v>31.56</v>
      </c>
      <c r="Q32">
        <v>0</v>
      </c>
      <c r="R32">
        <v>0</v>
      </c>
      <c r="S32">
        <v>1980.585</v>
      </c>
      <c r="T32">
        <v>50</v>
      </c>
      <c r="U32">
        <v>389.80500000000001</v>
      </c>
      <c r="V32">
        <v>59.97</v>
      </c>
      <c r="W32">
        <v>0</v>
      </c>
      <c r="X32">
        <v>0</v>
      </c>
      <c r="Y32">
        <v>194.9025</v>
      </c>
      <c r="Z32">
        <v>11</v>
      </c>
      <c r="AA32" s="2">
        <v>45677</v>
      </c>
      <c r="AB32" t="s">
        <v>1748</v>
      </c>
      <c r="AC32">
        <v>84</v>
      </c>
      <c r="AD32">
        <v>60.07</v>
      </c>
      <c r="AE32">
        <v>0.1</v>
      </c>
      <c r="AF32">
        <v>12</v>
      </c>
      <c r="AG32">
        <v>72</v>
      </c>
      <c r="AH32">
        <v>45.6</v>
      </c>
      <c r="AI32">
        <v>14.37</v>
      </c>
      <c r="AJ32">
        <v>19.16</v>
      </c>
      <c r="AK32">
        <v>15.55</v>
      </c>
      <c r="AL32">
        <v>1.4</v>
      </c>
      <c r="AM32">
        <v>89</v>
      </c>
      <c r="AN32">
        <v>1</v>
      </c>
      <c r="AO32">
        <v>1</v>
      </c>
      <c r="AP32">
        <v>59.97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930.41</v>
      </c>
    </row>
    <row r="33" spans="1:59" hidden="1" x14ac:dyDescent="0.25">
      <c r="A33" t="s">
        <v>115</v>
      </c>
      <c r="B33">
        <v>105</v>
      </c>
      <c r="C33">
        <v>104.64</v>
      </c>
      <c r="D33">
        <v>104.64</v>
      </c>
      <c r="E33">
        <v>1</v>
      </c>
      <c r="F33">
        <v>2210.52</v>
      </c>
      <c r="G33">
        <v>680.16</v>
      </c>
      <c r="H33">
        <v>0</v>
      </c>
      <c r="I33">
        <v>0</v>
      </c>
      <c r="J33">
        <v>0.85393258426966301</v>
      </c>
      <c r="K33">
        <v>1.9736842105263198E-2</v>
      </c>
      <c r="L33">
        <v>0</v>
      </c>
      <c r="M33">
        <v>0</v>
      </c>
      <c r="N33">
        <v>0.71330275229357798</v>
      </c>
      <c r="O33">
        <v>170.04</v>
      </c>
      <c r="P33">
        <v>72.69</v>
      </c>
      <c r="Q33">
        <v>15</v>
      </c>
      <c r="R33">
        <v>0</v>
      </c>
      <c r="S33">
        <v>3148.41</v>
      </c>
      <c r="T33">
        <v>100</v>
      </c>
      <c r="U33">
        <v>680.16</v>
      </c>
      <c r="V33">
        <v>0</v>
      </c>
      <c r="W33">
        <v>0</v>
      </c>
      <c r="X33">
        <v>1</v>
      </c>
      <c r="Y33">
        <v>0</v>
      </c>
      <c r="Z33">
        <v>5</v>
      </c>
      <c r="AA33" s="2">
        <v>45677</v>
      </c>
      <c r="AB33" t="s">
        <v>1814</v>
      </c>
      <c r="AC33">
        <v>139</v>
      </c>
      <c r="AD33">
        <v>105.5</v>
      </c>
      <c r="AE33">
        <v>0.86</v>
      </c>
      <c r="AF33">
        <v>25</v>
      </c>
      <c r="AG33">
        <v>114</v>
      </c>
      <c r="AH33">
        <v>74.64</v>
      </c>
      <c r="AI33">
        <v>30</v>
      </c>
      <c r="AJ33">
        <v>50.460000000000008</v>
      </c>
      <c r="AK33">
        <v>34.650000000000006</v>
      </c>
      <c r="AL33">
        <v>3.9699999999999998</v>
      </c>
      <c r="AM33">
        <v>152</v>
      </c>
      <c r="AN33">
        <v>25</v>
      </c>
      <c r="AO33">
        <v>3</v>
      </c>
      <c r="AP33">
        <v>6.4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100</v>
      </c>
      <c r="BE33">
        <v>0</v>
      </c>
      <c r="BF33">
        <v>104.64</v>
      </c>
      <c r="BG33">
        <v>1540.26</v>
      </c>
    </row>
    <row r="34" spans="1:59" hidden="1" x14ac:dyDescent="0.25">
      <c r="A34" t="s">
        <v>115</v>
      </c>
      <c r="B34">
        <v>811</v>
      </c>
      <c r="C34">
        <v>811.25000000000011</v>
      </c>
      <c r="D34">
        <v>811</v>
      </c>
      <c r="E34">
        <v>1</v>
      </c>
      <c r="F34">
        <v>18186.674999999999</v>
      </c>
      <c r="G34">
        <v>5595.9000000000005</v>
      </c>
      <c r="H34">
        <v>0</v>
      </c>
      <c r="I34">
        <v>0</v>
      </c>
      <c r="J34">
        <v>0.92941810344827602</v>
      </c>
      <c r="K34">
        <v>5.5072463768115899E-2</v>
      </c>
      <c r="L34">
        <v>0</v>
      </c>
      <c r="M34">
        <v>0</v>
      </c>
      <c r="N34">
        <v>0.92406779661017002</v>
      </c>
      <c r="O34">
        <v>1398.9749999999999</v>
      </c>
      <c r="P34">
        <v>1041.19</v>
      </c>
      <c r="Q34">
        <v>103.46</v>
      </c>
      <c r="R34">
        <v>0</v>
      </c>
      <c r="S34">
        <v>26326.2</v>
      </c>
      <c r="T34">
        <v>800</v>
      </c>
      <c r="U34">
        <v>5595.9</v>
      </c>
      <c r="V34">
        <v>0</v>
      </c>
      <c r="W34">
        <v>0</v>
      </c>
      <c r="X34">
        <v>44</v>
      </c>
      <c r="Y34">
        <v>0</v>
      </c>
      <c r="Z34">
        <v>11</v>
      </c>
      <c r="AA34" s="2">
        <v>45677</v>
      </c>
      <c r="AB34" t="s">
        <v>1599</v>
      </c>
      <c r="AC34">
        <v>1324</v>
      </c>
      <c r="AD34">
        <v>820.00000000000023</v>
      </c>
      <c r="AE34">
        <v>8.7499999999999982</v>
      </c>
      <c r="AF34">
        <v>236</v>
      </c>
      <c r="AG34">
        <v>1088</v>
      </c>
      <c r="AH34">
        <v>749.65000000000009</v>
      </c>
      <c r="AI34">
        <v>61.579999999999991</v>
      </c>
      <c r="AJ34">
        <v>317.23</v>
      </c>
      <c r="AK34">
        <v>297.47999999999996</v>
      </c>
      <c r="AL34">
        <v>39.999999999999993</v>
      </c>
      <c r="AM34">
        <v>1725</v>
      </c>
      <c r="AN34">
        <v>87</v>
      </c>
      <c r="AO34">
        <v>95</v>
      </c>
      <c r="AP34">
        <v>302.79000000000002</v>
      </c>
      <c r="AQ34">
        <v>0.1</v>
      </c>
      <c r="AR34">
        <v>0.05</v>
      </c>
      <c r="AS34">
        <v>0.7</v>
      </c>
      <c r="AT34">
        <v>34.5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800</v>
      </c>
      <c r="BE34">
        <v>0</v>
      </c>
      <c r="BF34">
        <v>811</v>
      </c>
      <c r="BG34">
        <v>15255.750000000004</v>
      </c>
    </row>
    <row r="35" spans="1:59" hidden="1" x14ac:dyDescent="0.25">
      <c r="A35" t="s">
        <v>115</v>
      </c>
      <c r="B35">
        <v>550</v>
      </c>
      <c r="C35">
        <v>546.81999999999994</v>
      </c>
      <c r="D35">
        <v>546.81999999999994</v>
      </c>
      <c r="E35">
        <v>1</v>
      </c>
      <c r="F35">
        <v>11722.1803</v>
      </c>
      <c r="G35">
        <v>3606.8247199999996</v>
      </c>
      <c r="H35">
        <v>0</v>
      </c>
      <c r="I35">
        <v>0</v>
      </c>
      <c r="J35">
        <v>0.99004975124378103</v>
      </c>
      <c r="K35">
        <v>2.7638190954773899E-2</v>
      </c>
      <c r="L35">
        <v>1803.4123999999999</v>
      </c>
      <c r="M35">
        <v>0</v>
      </c>
      <c r="N35">
        <v>0.94190044255879402</v>
      </c>
      <c r="O35">
        <v>901.70619999999997</v>
      </c>
      <c r="P35">
        <v>632.65</v>
      </c>
      <c r="Q35">
        <v>64.180000000000007</v>
      </c>
      <c r="R35">
        <v>0</v>
      </c>
      <c r="S35">
        <v>18730.953600000001</v>
      </c>
      <c r="T35">
        <v>540</v>
      </c>
      <c r="U35">
        <v>3606.8247000000001</v>
      </c>
      <c r="V35">
        <v>546.81999999999994</v>
      </c>
      <c r="W35">
        <v>0</v>
      </c>
      <c r="X35">
        <v>3</v>
      </c>
      <c r="Y35">
        <v>1803.4123999999999</v>
      </c>
      <c r="Z35">
        <v>10</v>
      </c>
      <c r="AA35" s="2">
        <v>45677</v>
      </c>
      <c r="AB35" t="s">
        <v>1600</v>
      </c>
      <c r="AC35">
        <v>985</v>
      </c>
      <c r="AD35">
        <v>550.44000000000005</v>
      </c>
      <c r="AE35">
        <v>3.62</v>
      </c>
      <c r="AF35">
        <v>239</v>
      </c>
      <c r="AG35">
        <v>746</v>
      </c>
      <c r="AH35">
        <v>515.04999999999995</v>
      </c>
      <c r="AI35">
        <v>31.749999999999996</v>
      </c>
      <c r="AJ35">
        <v>284.69</v>
      </c>
      <c r="AK35">
        <v>273.36</v>
      </c>
      <c r="AL35">
        <v>19.53</v>
      </c>
      <c r="AM35">
        <v>1194</v>
      </c>
      <c r="AN35">
        <v>9</v>
      </c>
      <c r="AO35">
        <v>33</v>
      </c>
      <c r="AP35">
        <v>361.68</v>
      </c>
      <c r="AQ35">
        <v>0.1</v>
      </c>
      <c r="AR35">
        <v>0.05</v>
      </c>
      <c r="AS35">
        <v>0.7</v>
      </c>
      <c r="AT35">
        <v>32.979999999999997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540</v>
      </c>
      <c r="BE35">
        <v>0</v>
      </c>
      <c r="BF35">
        <v>0</v>
      </c>
      <c r="BG35">
        <v>11054.44</v>
      </c>
    </row>
    <row r="36" spans="1:59" hidden="1" x14ac:dyDescent="0.25">
      <c r="A36" t="s">
        <v>115</v>
      </c>
      <c r="B36">
        <v>50</v>
      </c>
      <c r="C36">
        <v>50.160000000000004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0</v>
      </c>
      <c r="L36">
        <v>162.5</v>
      </c>
      <c r="M36">
        <v>0</v>
      </c>
      <c r="N36">
        <v>0.56339712918660301</v>
      </c>
      <c r="O36">
        <v>0</v>
      </c>
      <c r="P36">
        <v>21</v>
      </c>
      <c r="Q36">
        <v>0</v>
      </c>
      <c r="R36">
        <v>0</v>
      </c>
      <c r="S36">
        <v>1564.75</v>
      </c>
      <c r="T36">
        <v>50</v>
      </c>
      <c r="U36">
        <v>325</v>
      </c>
      <c r="V36">
        <v>50</v>
      </c>
      <c r="W36">
        <v>0</v>
      </c>
      <c r="X36">
        <v>0</v>
      </c>
      <c r="Y36">
        <v>162.5</v>
      </c>
      <c r="Z36">
        <v>0</v>
      </c>
      <c r="AA36" s="2">
        <v>45677</v>
      </c>
      <c r="AB36" t="s">
        <v>1815</v>
      </c>
      <c r="AC36">
        <v>63</v>
      </c>
      <c r="AD36">
        <v>50.17</v>
      </c>
      <c r="AE36">
        <v>0.01</v>
      </c>
      <c r="AF36">
        <v>14</v>
      </c>
      <c r="AG36">
        <v>49</v>
      </c>
      <c r="AH36">
        <v>28.26</v>
      </c>
      <c r="AI36">
        <v>21.9</v>
      </c>
      <c r="AJ36">
        <v>35.770000000000003</v>
      </c>
      <c r="AK36">
        <v>24.25</v>
      </c>
      <c r="AL36">
        <v>1.26</v>
      </c>
      <c r="AM36">
        <v>58</v>
      </c>
      <c r="AN36">
        <v>0</v>
      </c>
      <c r="AO36">
        <v>0</v>
      </c>
      <c r="AP36">
        <v>50.160000000000004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0</v>
      </c>
      <c r="BG36">
        <v>623.91</v>
      </c>
    </row>
    <row r="37" spans="1:59" hidden="1" x14ac:dyDescent="0.25">
      <c r="A37" t="s">
        <v>115</v>
      </c>
      <c r="B37">
        <v>50</v>
      </c>
      <c r="C37">
        <v>50.76</v>
      </c>
      <c r="D37">
        <v>50</v>
      </c>
      <c r="E37">
        <v>1</v>
      </c>
      <c r="F37">
        <v>1056.25</v>
      </c>
      <c r="G37">
        <v>325</v>
      </c>
      <c r="H37">
        <v>0</v>
      </c>
      <c r="I37">
        <v>0</v>
      </c>
      <c r="J37">
        <v>1</v>
      </c>
      <c r="K37">
        <v>1.1494252873563199E-2</v>
      </c>
      <c r="L37">
        <v>162.5</v>
      </c>
      <c r="M37">
        <v>0</v>
      </c>
      <c r="N37">
        <v>0.87588652482269502</v>
      </c>
      <c r="O37">
        <v>81.25</v>
      </c>
      <c r="P37">
        <v>61.27</v>
      </c>
      <c r="Q37">
        <v>9.0500000000000007</v>
      </c>
      <c r="R37">
        <v>0</v>
      </c>
      <c r="S37">
        <v>1695.32</v>
      </c>
      <c r="T37">
        <v>50</v>
      </c>
      <c r="U37">
        <v>325</v>
      </c>
      <c r="V37">
        <v>50</v>
      </c>
      <c r="W37">
        <v>0</v>
      </c>
      <c r="X37">
        <v>0</v>
      </c>
      <c r="Y37">
        <v>162.5</v>
      </c>
      <c r="Z37">
        <v>0</v>
      </c>
      <c r="AA37" s="2">
        <v>45677</v>
      </c>
      <c r="AB37" t="s">
        <v>1749</v>
      </c>
      <c r="AC37">
        <v>74</v>
      </c>
      <c r="AD37">
        <v>51.03</v>
      </c>
      <c r="AE37">
        <v>0.27</v>
      </c>
      <c r="AF37">
        <v>24</v>
      </c>
      <c r="AG37">
        <v>50</v>
      </c>
      <c r="AH37">
        <v>44.46</v>
      </c>
      <c r="AI37">
        <v>6.3</v>
      </c>
      <c r="AJ37">
        <v>41.97</v>
      </c>
      <c r="AK37">
        <v>37.29</v>
      </c>
      <c r="AL37">
        <v>1.45</v>
      </c>
      <c r="AM37">
        <v>87</v>
      </c>
      <c r="AN37">
        <v>0</v>
      </c>
      <c r="AO37">
        <v>1</v>
      </c>
      <c r="AP37">
        <v>50.76</v>
      </c>
      <c r="AQ37">
        <v>0.1</v>
      </c>
      <c r="AR37">
        <v>0.05</v>
      </c>
      <c r="AS37">
        <v>0.7</v>
      </c>
      <c r="AT37">
        <v>32.5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50</v>
      </c>
      <c r="BE37">
        <v>0</v>
      </c>
      <c r="BF37">
        <v>0</v>
      </c>
      <c r="BG37">
        <v>853.72</v>
      </c>
    </row>
    <row r="38" spans="1:59" hidden="1" x14ac:dyDescent="0.25">
      <c r="A38" t="s">
        <v>115</v>
      </c>
      <c r="B38">
        <v>570</v>
      </c>
      <c r="C38">
        <v>535.58000000000004</v>
      </c>
      <c r="D38">
        <v>535.58000000000004</v>
      </c>
      <c r="E38">
        <v>0.99181481481481504</v>
      </c>
      <c r="F38">
        <v>11488.191000000001</v>
      </c>
      <c r="G38">
        <v>3534.8280000000004</v>
      </c>
      <c r="H38">
        <v>0</v>
      </c>
      <c r="I38">
        <v>0</v>
      </c>
      <c r="J38">
        <v>0.982680036463081</v>
      </c>
      <c r="K38">
        <v>1.9480519480519501E-2</v>
      </c>
      <c r="L38">
        <v>1767.414</v>
      </c>
      <c r="M38">
        <v>0</v>
      </c>
      <c r="N38">
        <v>0.91730460435415795</v>
      </c>
      <c r="O38">
        <v>883.70699999999999</v>
      </c>
      <c r="P38">
        <v>765.47</v>
      </c>
      <c r="Q38">
        <v>76.760000000000005</v>
      </c>
      <c r="R38">
        <v>0</v>
      </c>
      <c r="S38">
        <v>18516.37</v>
      </c>
      <c r="T38">
        <v>540</v>
      </c>
      <c r="U38">
        <v>3534.828</v>
      </c>
      <c r="V38">
        <v>535.58000000000004</v>
      </c>
      <c r="W38">
        <v>0</v>
      </c>
      <c r="X38">
        <v>17</v>
      </c>
      <c r="Y38">
        <v>1767.414</v>
      </c>
      <c r="Z38">
        <v>30</v>
      </c>
      <c r="AA38" s="2">
        <v>45677</v>
      </c>
      <c r="AB38" t="s">
        <v>1601</v>
      </c>
      <c r="AC38">
        <v>924</v>
      </c>
      <c r="AD38">
        <v>542.78</v>
      </c>
      <c r="AE38">
        <v>7.2</v>
      </c>
      <c r="AF38">
        <v>175</v>
      </c>
      <c r="AG38">
        <v>749</v>
      </c>
      <c r="AH38">
        <v>491.29</v>
      </c>
      <c r="AI38">
        <v>44.3</v>
      </c>
      <c r="AJ38">
        <v>239.74999999999997</v>
      </c>
      <c r="AK38">
        <v>218.20000000000002</v>
      </c>
      <c r="AL38">
        <v>25.58</v>
      </c>
      <c r="AM38">
        <v>1078</v>
      </c>
      <c r="AN38">
        <v>2</v>
      </c>
      <c r="AO38">
        <v>21</v>
      </c>
      <c r="AP38">
        <v>503.81000000000012</v>
      </c>
      <c r="AQ38">
        <v>0.1</v>
      </c>
      <c r="AR38">
        <v>0.05</v>
      </c>
      <c r="AS38">
        <v>0.7</v>
      </c>
      <c r="AT38">
        <v>33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540</v>
      </c>
      <c r="BE38">
        <v>0</v>
      </c>
      <c r="BF38">
        <v>0</v>
      </c>
      <c r="BG38">
        <v>10727.379999999997</v>
      </c>
    </row>
    <row r="39" spans="1:59" hidden="1" x14ac:dyDescent="0.25">
      <c r="A39" t="s">
        <v>115</v>
      </c>
      <c r="B39">
        <v>50</v>
      </c>
      <c r="C39">
        <v>53.12</v>
      </c>
      <c r="D39">
        <v>50</v>
      </c>
      <c r="E39">
        <v>1</v>
      </c>
      <c r="F39">
        <v>1056.25</v>
      </c>
      <c r="G39">
        <v>325</v>
      </c>
      <c r="H39">
        <v>0</v>
      </c>
      <c r="I39">
        <v>0</v>
      </c>
      <c r="J39">
        <v>1</v>
      </c>
      <c r="K39">
        <v>0</v>
      </c>
      <c r="L39">
        <v>162.5</v>
      </c>
      <c r="M39">
        <v>0</v>
      </c>
      <c r="N39">
        <v>0.75244728915662595</v>
      </c>
      <c r="O39">
        <v>81.25</v>
      </c>
      <c r="P39">
        <v>21.3</v>
      </c>
      <c r="Q39">
        <v>9.09</v>
      </c>
      <c r="R39">
        <v>0</v>
      </c>
      <c r="S39">
        <v>1655.39</v>
      </c>
      <c r="T39">
        <v>50</v>
      </c>
      <c r="U39">
        <v>325</v>
      </c>
      <c r="V39">
        <v>50</v>
      </c>
      <c r="W39">
        <v>0</v>
      </c>
      <c r="X39">
        <v>0</v>
      </c>
      <c r="Y39">
        <v>162.5</v>
      </c>
      <c r="Z39">
        <v>0</v>
      </c>
      <c r="AA39" s="2">
        <v>45677</v>
      </c>
      <c r="AB39" t="s">
        <v>1751</v>
      </c>
      <c r="AC39">
        <v>55</v>
      </c>
      <c r="AD39">
        <v>53.25</v>
      </c>
      <c r="AE39">
        <v>0.13</v>
      </c>
      <c r="AF39">
        <v>18</v>
      </c>
      <c r="AG39">
        <v>37</v>
      </c>
      <c r="AH39">
        <v>39.97</v>
      </c>
      <c r="AI39">
        <v>13.16</v>
      </c>
      <c r="AJ39">
        <v>33.26</v>
      </c>
      <c r="AK39">
        <v>24.35</v>
      </c>
      <c r="AL39">
        <v>1.03</v>
      </c>
      <c r="AM39">
        <v>74</v>
      </c>
      <c r="AN39">
        <v>0</v>
      </c>
      <c r="AO39">
        <v>0</v>
      </c>
      <c r="AP39">
        <v>53.12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50</v>
      </c>
      <c r="BE39">
        <v>0</v>
      </c>
      <c r="BF39">
        <v>0</v>
      </c>
      <c r="BG39">
        <v>782.02</v>
      </c>
    </row>
    <row r="40" spans="1:59" hidden="1" x14ac:dyDescent="0.25">
      <c r="A40" t="s">
        <v>115</v>
      </c>
      <c r="B40">
        <v>400</v>
      </c>
      <c r="C40">
        <v>437.48</v>
      </c>
      <c r="D40">
        <v>400</v>
      </c>
      <c r="E40">
        <v>1</v>
      </c>
      <c r="F40">
        <v>8450</v>
      </c>
      <c r="G40">
        <v>2600</v>
      </c>
      <c r="H40">
        <v>0</v>
      </c>
      <c r="I40">
        <v>0</v>
      </c>
      <c r="J40">
        <v>0.96526054590570698</v>
      </c>
      <c r="K40">
        <v>3.4704370179948603E-2</v>
      </c>
      <c r="L40">
        <v>1300</v>
      </c>
      <c r="M40">
        <v>0</v>
      </c>
      <c r="N40">
        <v>0.82303191003017295</v>
      </c>
      <c r="O40">
        <v>650</v>
      </c>
      <c r="P40">
        <v>348.74</v>
      </c>
      <c r="Q40">
        <v>58.91</v>
      </c>
      <c r="R40">
        <v>0</v>
      </c>
      <c r="S40">
        <v>13407.65</v>
      </c>
      <c r="T40">
        <v>375</v>
      </c>
      <c r="U40">
        <v>2600</v>
      </c>
      <c r="V40">
        <v>400</v>
      </c>
      <c r="W40">
        <v>0</v>
      </c>
      <c r="X40">
        <v>3</v>
      </c>
      <c r="Y40">
        <v>1300</v>
      </c>
      <c r="Z40">
        <v>25</v>
      </c>
      <c r="AA40" s="2">
        <v>45677</v>
      </c>
      <c r="AB40" t="s">
        <v>1670</v>
      </c>
      <c r="AC40">
        <v>604</v>
      </c>
      <c r="AD40">
        <v>440.77</v>
      </c>
      <c r="AE40">
        <v>3.2899999999999996</v>
      </c>
      <c r="AF40">
        <v>121</v>
      </c>
      <c r="AG40">
        <v>483</v>
      </c>
      <c r="AH40">
        <v>360.06</v>
      </c>
      <c r="AI40">
        <v>77.41</v>
      </c>
      <c r="AJ40">
        <v>180.21999999999997</v>
      </c>
      <c r="AK40">
        <v>160.34</v>
      </c>
      <c r="AL40">
        <v>12.729999999999999</v>
      </c>
      <c r="AM40">
        <v>778</v>
      </c>
      <c r="AN40">
        <v>25</v>
      </c>
      <c r="AO40">
        <v>27</v>
      </c>
      <c r="AP40">
        <v>231.03000000000003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375</v>
      </c>
      <c r="BE40">
        <v>0</v>
      </c>
      <c r="BF40">
        <v>0</v>
      </c>
      <c r="BG40">
        <v>6844.9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1"/>
  <sheetViews>
    <sheetView workbookViewId="0">
      <selection activeCell="C2" sqref="C2:C6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116" t="s">
        <v>1667</v>
      </c>
      <c r="C2" s="116"/>
      <c r="D2" s="116"/>
      <c r="E2" s="116"/>
      <c r="F2" s="116"/>
      <c r="H2" s="23" t="s">
        <v>67</v>
      </c>
      <c r="I2" s="24">
        <v>1721.29</v>
      </c>
      <c r="M2" s="8"/>
      <c r="V2" s="63" t="s">
        <v>51</v>
      </c>
      <c r="W2" s="63"/>
      <c r="Y2" s="113" t="s">
        <v>47</v>
      </c>
      <c r="Z2" s="113"/>
      <c r="AB2" s="113" t="s">
        <v>127</v>
      </c>
      <c r="AC2" s="113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117" t="s">
        <v>219</v>
      </c>
      <c r="I4" s="118"/>
      <c r="J4" s="119"/>
      <c r="K4" s="120" t="s">
        <v>220</v>
      </c>
      <c r="L4" s="121"/>
      <c r="M4" s="121"/>
      <c r="N4" s="122"/>
      <c r="V4" s="14" t="s">
        <v>53</v>
      </c>
      <c r="W4" s="17">
        <v>0</v>
      </c>
      <c r="Y4" s="9" t="s">
        <v>49</v>
      </c>
      <c r="Z4" s="10">
        <v>334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250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50</v>
      </c>
      <c r="D6" s="4">
        <v>38.36</v>
      </c>
      <c r="E6" s="4">
        <v>38.36</v>
      </c>
      <c r="F6" s="58">
        <v>0.76719999999999999</v>
      </c>
      <c r="G6" s="66">
        <v>0</v>
      </c>
      <c r="H6" s="8">
        <v>0</v>
      </c>
      <c r="I6" s="8">
        <v>0</v>
      </c>
      <c r="J6" s="66">
        <v>0</v>
      </c>
      <c r="K6" s="58">
        <v>0.94545454545454599</v>
      </c>
      <c r="L6" s="77">
        <v>0</v>
      </c>
      <c r="M6" s="8">
        <v>0</v>
      </c>
      <c r="N6" s="66">
        <v>0</v>
      </c>
      <c r="O6" s="77">
        <v>0.94395203336809197</v>
      </c>
      <c r="P6" s="8">
        <v>0</v>
      </c>
      <c r="Q6" s="8">
        <v>27.29</v>
      </c>
      <c r="R6" s="8">
        <v>6</v>
      </c>
      <c r="S6" s="8">
        <v>785.62</v>
      </c>
      <c r="T6" s="8">
        <v>818.91</v>
      </c>
      <c r="U6" s="6"/>
      <c r="V6" s="46" t="s">
        <v>55</v>
      </c>
      <c r="W6" s="47">
        <v>0</v>
      </c>
      <c r="Y6" s="11" t="s">
        <v>126</v>
      </c>
      <c r="Z6" s="12">
        <v>108.1</v>
      </c>
      <c r="AB6" s="11" t="s">
        <v>128</v>
      </c>
      <c r="AC6" s="12">
        <v>108.1</v>
      </c>
      <c r="AD6" s="8"/>
      <c r="AH6" s="6"/>
    </row>
    <row r="7" spans="2:34" ht="15.75" thickBot="1" x14ac:dyDescent="0.3">
      <c r="B7" s="7" t="s">
        <v>115</v>
      </c>
      <c r="C7" s="60">
        <v>45.26</v>
      </c>
      <c r="D7" s="4">
        <v>45.26</v>
      </c>
      <c r="E7" s="4">
        <v>45.26</v>
      </c>
      <c r="F7" s="58">
        <v>1</v>
      </c>
      <c r="G7" s="66">
        <v>956.12</v>
      </c>
      <c r="H7" s="8">
        <v>294.19</v>
      </c>
      <c r="I7" s="8">
        <v>0</v>
      </c>
      <c r="J7" s="66">
        <v>0</v>
      </c>
      <c r="K7" s="77">
        <v>1</v>
      </c>
      <c r="L7" s="77">
        <v>0</v>
      </c>
      <c r="M7" s="8">
        <v>147.1</v>
      </c>
      <c r="N7" s="66">
        <v>0</v>
      </c>
      <c r="O7" s="77">
        <v>0.77596111356606301</v>
      </c>
      <c r="P7" s="8">
        <v>73.55</v>
      </c>
      <c r="Q7" s="8">
        <v>111.53</v>
      </c>
      <c r="R7" s="8">
        <v>12</v>
      </c>
      <c r="S7" s="8">
        <v>0</v>
      </c>
      <c r="T7" s="8">
        <v>1594.48</v>
      </c>
      <c r="V7" s="8"/>
      <c r="W7" s="8"/>
      <c r="X7" s="8"/>
      <c r="Y7" s="9" t="s">
        <v>47</v>
      </c>
      <c r="Z7" s="10">
        <v>692.1</v>
      </c>
      <c r="AB7" s="9" t="s">
        <v>126</v>
      </c>
      <c r="AC7" s="10">
        <v>108.1</v>
      </c>
      <c r="AD7" s="8"/>
      <c r="AH7" s="6"/>
    </row>
    <row r="8" spans="2:34" x14ac:dyDescent="0.25">
      <c r="B8" s="20" t="s">
        <v>45</v>
      </c>
      <c r="C8" s="67">
        <v>95.259999999999991</v>
      </c>
      <c r="D8" s="21">
        <v>83.62</v>
      </c>
      <c r="E8" s="21">
        <v>83.62</v>
      </c>
      <c r="F8" s="67"/>
      <c r="G8" s="76">
        <v>956.12</v>
      </c>
      <c r="H8" s="22">
        <v>294.19</v>
      </c>
      <c r="I8" s="22">
        <v>0</v>
      </c>
      <c r="J8" s="22">
        <v>0</v>
      </c>
      <c r="K8" s="21"/>
      <c r="L8" s="78"/>
      <c r="M8" s="22">
        <v>147.1</v>
      </c>
      <c r="N8" s="22">
        <v>0</v>
      </c>
      <c r="O8" s="78"/>
      <c r="P8" s="22">
        <v>73.55</v>
      </c>
      <c r="Q8" s="22">
        <v>138.82</v>
      </c>
      <c r="R8" s="22">
        <v>18</v>
      </c>
      <c r="S8" s="22">
        <v>785.62</v>
      </c>
      <c r="T8" s="22">
        <v>2413.39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23" t="s">
        <v>56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5"/>
      <c r="N10" s="6"/>
      <c r="O10" s="6"/>
      <c r="P10" s="6"/>
      <c r="Q10" s="6"/>
      <c r="R10" s="6"/>
      <c r="S10" s="6"/>
      <c r="T10" s="6"/>
      <c r="U10" s="6"/>
      <c r="V10" s="114" t="s">
        <v>119</v>
      </c>
      <c r="W10" s="115"/>
      <c r="X10" s="115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45670</v>
      </c>
      <c r="C12" s="6" t="s">
        <v>1860</v>
      </c>
      <c r="D12" s="6" t="s">
        <v>1861</v>
      </c>
      <c r="E12" s="6">
        <v>58</v>
      </c>
      <c r="F12" s="57">
        <v>0.94545454545454544</v>
      </c>
      <c r="G12" s="58">
        <v>0</v>
      </c>
      <c r="H12" s="5">
        <v>41.12</v>
      </c>
      <c r="I12" s="4">
        <v>2.76</v>
      </c>
      <c r="J12" s="4">
        <v>38.36</v>
      </c>
      <c r="K12" s="4">
        <v>785.62</v>
      </c>
      <c r="L12" s="3">
        <v>27.29</v>
      </c>
      <c r="M12" s="3">
        <v>6</v>
      </c>
      <c r="V12" s="8">
        <v>167</v>
      </c>
      <c r="W12" s="3">
        <v>2</v>
      </c>
      <c r="X12" s="8">
        <v>334</v>
      </c>
      <c r="AA12" s="6"/>
      <c r="AC12" s="6"/>
      <c r="AH12" s="6"/>
    </row>
    <row r="13" spans="2:34" x14ac:dyDescent="0.25">
      <c r="B13" s="7">
        <v>45677</v>
      </c>
      <c r="C13" s="6" t="s">
        <v>1860</v>
      </c>
      <c r="D13" s="6" t="s">
        <v>1861</v>
      </c>
      <c r="E13" s="6">
        <v>56</v>
      </c>
      <c r="F13" s="57">
        <v>1</v>
      </c>
      <c r="G13" s="58">
        <v>0</v>
      </c>
      <c r="H13" s="5">
        <v>50.51</v>
      </c>
      <c r="I13" s="4">
        <v>5.25</v>
      </c>
      <c r="J13" s="4">
        <v>45.26</v>
      </c>
      <c r="K13" s="4">
        <v>851.88</v>
      </c>
      <c r="L13" s="3">
        <v>111.53</v>
      </c>
      <c r="M13" s="3">
        <v>12</v>
      </c>
      <c r="V13" s="8"/>
      <c r="W13" s="3"/>
      <c r="X13" s="8"/>
      <c r="AA13" s="6"/>
      <c r="AC13" s="6"/>
      <c r="AH13" s="6"/>
    </row>
    <row r="14" spans="2:34" x14ac:dyDescent="0.25">
      <c r="I14" s="4"/>
      <c r="V14" s="8"/>
      <c r="W14" s="3"/>
      <c r="X14" s="8"/>
      <c r="AA14" s="6"/>
      <c r="AC14" s="6"/>
      <c r="AH14" s="6"/>
    </row>
    <row r="15" spans="2:34" x14ac:dyDescent="0.25">
      <c r="I15" s="4"/>
      <c r="V15" s="8"/>
      <c r="W15" s="3"/>
      <c r="X15" s="8"/>
      <c r="AA15" s="6"/>
      <c r="AC15" s="6"/>
      <c r="AH15" s="6"/>
    </row>
    <row r="16" spans="2:34" x14ac:dyDescent="0.25">
      <c r="I16" s="4"/>
      <c r="V16" s="8"/>
      <c r="W16" s="3"/>
      <c r="X16" s="8"/>
      <c r="AA16" s="6"/>
      <c r="AC16" s="6"/>
      <c r="AH16" s="6"/>
    </row>
    <row r="17" spans="8:34" x14ac:dyDescent="0.25">
      <c r="I17" s="4"/>
      <c r="V17" s="8"/>
      <c r="W17" s="3"/>
      <c r="X17" s="8"/>
      <c r="AA17" s="6"/>
      <c r="AC17" s="6"/>
      <c r="AH17" s="6"/>
    </row>
    <row r="18" spans="8:34" x14ac:dyDescent="0.25">
      <c r="I18" s="4"/>
      <c r="V18" s="8"/>
      <c r="W18" s="3"/>
      <c r="X18" s="8"/>
      <c r="AA18" s="6"/>
      <c r="AC18" s="6"/>
      <c r="AH18" s="6"/>
    </row>
    <row r="19" spans="8:34" x14ac:dyDescent="0.25">
      <c r="I19" s="4"/>
      <c r="V19" s="8"/>
      <c r="W19" s="3"/>
      <c r="X19" s="8"/>
      <c r="AA19" s="6"/>
      <c r="AC19" s="6"/>
      <c r="AH19" s="6"/>
    </row>
    <row r="20" spans="8:34" x14ac:dyDescent="0.25">
      <c r="H20" s="80"/>
      <c r="I20" s="4"/>
      <c r="V20" s="8"/>
      <c r="W20" s="3"/>
      <c r="X20" s="8"/>
      <c r="AA20" s="6"/>
      <c r="AC20" s="6"/>
      <c r="AH20" s="6"/>
    </row>
    <row r="21" spans="8:34" x14ac:dyDescent="0.25">
      <c r="I21" s="4"/>
      <c r="V21" s="8"/>
      <c r="W21" s="3"/>
      <c r="X21" s="8"/>
      <c r="AA21" s="6"/>
      <c r="AC21" s="6"/>
      <c r="AH21" s="6"/>
    </row>
    <row r="22" spans="8:34" x14ac:dyDescent="0.25">
      <c r="I22" s="4"/>
      <c r="V22" s="8"/>
      <c r="W22" s="3"/>
      <c r="X22" s="8"/>
      <c r="AA22" s="6"/>
      <c r="AC22" s="6"/>
      <c r="AH22" s="6"/>
    </row>
    <row r="23" spans="8:34" x14ac:dyDescent="0.25">
      <c r="I23" s="4"/>
      <c r="V23" s="8"/>
      <c r="W23" s="3"/>
      <c r="X23" s="8"/>
      <c r="AA23" s="6"/>
      <c r="AC23" s="6"/>
      <c r="AH23" s="6"/>
    </row>
    <row r="24" spans="8:34" x14ac:dyDescent="0.25">
      <c r="I24" s="4"/>
      <c r="V24" s="8"/>
      <c r="W24" s="3"/>
      <c r="X24" s="8"/>
      <c r="AA24" s="6"/>
      <c r="AC24" s="6"/>
      <c r="AH24" s="6"/>
    </row>
    <row r="25" spans="8:34" x14ac:dyDescent="0.25">
      <c r="I25" s="4"/>
      <c r="V25" s="8"/>
      <c r="W25" s="3"/>
      <c r="X25" s="8"/>
      <c r="AA25" s="6"/>
      <c r="AC25" s="6"/>
      <c r="AH25" s="6"/>
    </row>
    <row r="26" spans="8:34" x14ac:dyDescent="0.25">
      <c r="I26" s="4"/>
      <c r="V26" s="8"/>
      <c r="W26" s="3"/>
      <c r="X26" s="8"/>
      <c r="AA26" s="6"/>
      <c r="AC26" s="6"/>
      <c r="AH26" s="6"/>
    </row>
    <row r="27" spans="8:34" x14ac:dyDescent="0.25">
      <c r="I27" s="4"/>
      <c r="V27" s="8"/>
      <c r="W27" s="3"/>
      <c r="X27" s="8"/>
      <c r="AA27" s="6"/>
      <c r="AC27" s="6"/>
      <c r="AH27" s="6"/>
    </row>
    <row r="28" spans="8:34" x14ac:dyDescent="0.25">
      <c r="I28" s="4"/>
      <c r="V28" s="8"/>
      <c r="W28" s="3"/>
      <c r="X28" s="8"/>
      <c r="AA28" s="6"/>
      <c r="AC28" s="6"/>
      <c r="AH28" s="6"/>
    </row>
    <row r="29" spans="8:34" x14ac:dyDescent="0.25">
      <c r="I29" s="4"/>
      <c r="V29" s="8"/>
      <c r="W29" s="3"/>
      <c r="X29" s="8"/>
      <c r="AA29" s="6"/>
      <c r="AC29" s="6"/>
      <c r="AH29" s="6"/>
    </row>
    <row r="30" spans="8:34" x14ac:dyDescent="0.25">
      <c r="I30" s="4"/>
      <c r="V30" s="8"/>
      <c r="W30" s="3"/>
      <c r="X30" s="8"/>
      <c r="AA30" s="6"/>
      <c r="AC30" s="6"/>
      <c r="AH30" s="6"/>
    </row>
    <row r="31" spans="8:34" x14ac:dyDescent="0.25">
      <c r="I31" s="4"/>
      <c r="V31" s="8"/>
      <c r="W31" s="3"/>
      <c r="X31" s="8"/>
      <c r="AA31" s="6"/>
      <c r="AC31" s="6"/>
      <c r="AH31" s="6"/>
    </row>
    <row r="32" spans="8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2082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1750</v>
      </c>
      <c r="B10">
        <v>12106</v>
      </c>
      <c r="C10" t="s">
        <v>1668</v>
      </c>
      <c r="D10" t="s">
        <v>21</v>
      </c>
      <c r="E10">
        <v>0</v>
      </c>
    </row>
    <row r="11" spans="1:5" x14ac:dyDescent="0.25">
      <c r="A11" t="s">
        <v>1716</v>
      </c>
      <c r="B11">
        <v>12114</v>
      </c>
      <c r="C11" t="s">
        <v>1728</v>
      </c>
      <c r="D11" t="s">
        <v>21</v>
      </c>
      <c r="E11">
        <v>0</v>
      </c>
    </row>
    <row r="12" spans="1:5" x14ac:dyDescent="0.25">
      <c r="A12" t="s">
        <v>1746</v>
      </c>
      <c r="B12">
        <v>12118</v>
      </c>
      <c r="C12" t="s">
        <v>1696</v>
      </c>
      <c r="D12" t="s">
        <v>21</v>
      </c>
      <c r="E12">
        <v>0</v>
      </c>
    </row>
    <row r="13" spans="1:5" x14ac:dyDescent="0.25">
      <c r="A13" t="s">
        <v>1699</v>
      </c>
      <c r="B13">
        <v>12119</v>
      </c>
      <c r="C13" t="s">
        <v>1700</v>
      </c>
      <c r="D13" t="s">
        <v>21</v>
      </c>
      <c r="E13">
        <v>0</v>
      </c>
    </row>
    <row r="14" spans="1:5" x14ac:dyDescent="0.25">
      <c r="A14" t="s">
        <v>1814</v>
      </c>
      <c r="B14">
        <v>12127</v>
      </c>
      <c r="C14" t="s">
        <v>1703</v>
      </c>
      <c r="D14" t="s">
        <v>21</v>
      </c>
      <c r="E14">
        <v>0</v>
      </c>
    </row>
    <row r="15" spans="1:5" x14ac:dyDescent="0.25">
      <c r="A15" t="s">
        <v>1747</v>
      </c>
      <c r="B15">
        <v>12141</v>
      </c>
      <c r="C15" t="s">
        <v>1698</v>
      </c>
      <c r="D15" t="s">
        <v>21</v>
      </c>
      <c r="E15">
        <v>0</v>
      </c>
    </row>
    <row r="16" spans="1:5" x14ac:dyDescent="0.25">
      <c r="A16" t="s">
        <v>1787</v>
      </c>
      <c r="B16">
        <v>12145</v>
      </c>
      <c r="C16" t="s">
        <v>1785</v>
      </c>
      <c r="D16" t="s">
        <v>21</v>
      </c>
      <c r="E16">
        <v>0</v>
      </c>
    </row>
    <row r="17" spans="1:5" x14ac:dyDescent="0.25">
      <c r="A17" t="s">
        <v>1742</v>
      </c>
      <c r="B17">
        <v>12150</v>
      </c>
      <c r="C17" t="s">
        <v>1743</v>
      </c>
      <c r="D17" t="s">
        <v>21</v>
      </c>
      <c r="E17">
        <v>0</v>
      </c>
    </row>
    <row r="18" spans="1:5" x14ac:dyDescent="0.25">
      <c r="A18" t="s">
        <v>1748</v>
      </c>
      <c r="B18">
        <v>12154</v>
      </c>
      <c r="C18" t="s">
        <v>1729</v>
      </c>
      <c r="D18" t="s">
        <v>21</v>
      </c>
      <c r="E18">
        <v>0</v>
      </c>
    </row>
    <row r="19" spans="1:5" x14ac:dyDescent="0.25">
      <c r="A19" t="s">
        <v>1788</v>
      </c>
      <c r="B19">
        <v>12155</v>
      </c>
      <c r="C19" t="s">
        <v>1789</v>
      </c>
      <c r="D19" t="s">
        <v>21</v>
      </c>
      <c r="E19">
        <v>0</v>
      </c>
    </row>
    <row r="20" spans="1:5" x14ac:dyDescent="0.25">
      <c r="A20" t="s">
        <v>1745</v>
      </c>
      <c r="B20">
        <v>12157</v>
      </c>
      <c r="C20" t="s">
        <v>1701</v>
      </c>
      <c r="D20" t="s">
        <v>21</v>
      </c>
      <c r="E20">
        <v>0</v>
      </c>
    </row>
    <row r="21" spans="1:5" x14ac:dyDescent="0.25">
      <c r="A21" t="s">
        <v>1815</v>
      </c>
      <c r="B21">
        <v>12164</v>
      </c>
      <c r="C21" t="s">
        <v>1744</v>
      </c>
      <c r="D21" t="s">
        <v>21</v>
      </c>
      <c r="E21">
        <v>0</v>
      </c>
    </row>
    <row r="22" spans="1:5" x14ac:dyDescent="0.25">
      <c r="A22" t="s">
        <v>1812</v>
      </c>
      <c r="B22">
        <v>12166</v>
      </c>
      <c r="C22" t="s">
        <v>1813</v>
      </c>
      <c r="D22" t="s">
        <v>21</v>
      </c>
      <c r="E22">
        <v>0</v>
      </c>
    </row>
    <row r="23" spans="1:5" x14ac:dyDescent="0.25">
      <c r="A23" t="s">
        <v>1816</v>
      </c>
      <c r="B23">
        <v>12168</v>
      </c>
      <c r="C23" t="s">
        <v>1786</v>
      </c>
      <c r="D23" t="s">
        <v>21</v>
      </c>
      <c r="E23">
        <v>0</v>
      </c>
    </row>
    <row r="24" spans="1:5" x14ac:dyDescent="0.25">
      <c r="A24" t="s">
        <v>2048</v>
      </c>
      <c r="B24">
        <v>12200</v>
      </c>
      <c r="C24" t="s">
        <v>2083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9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2084</v>
      </c>
      <c r="C95" t="s">
        <v>21</v>
      </c>
      <c r="D95" t="s">
        <v>22</v>
      </c>
      <c r="E95" t="s">
        <v>2082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12127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12164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12168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2085</v>
      </c>
      <c r="C127" t="s">
        <v>21</v>
      </c>
      <c r="D127" t="s">
        <v>22</v>
      </c>
      <c r="E127" t="s">
        <v>2082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2003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1950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1951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1952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1953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1949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1954</v>
      </c>
      <c r="C153" t="s">
        <v>21</v>
      </c>
      <c r="D153" t="s">
        <v>22</v>
      </c>
      <c r="E153" t="s">
        <v>1703</v>
      </c>
      <c r="F153">
        <v>12127</v>
      </c>
      <c r="T153" t="s">
        <v>21</v>
      </c>
    </row>
    <row r="154" spans="1:20" x14ac:dyDescent="0.25">
      <c r="A154" t="s">
        <v>1747</v>
      </c>
      <c r="B154" t="s">
        <v>1955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1956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1957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1958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1959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1960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1961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1962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1984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1985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2004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2005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2006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2009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2010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2011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2012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2013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2014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2015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2016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2039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2040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2041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2042</v>
      </c>
      <c r="C180" t="s">
        <v>21</v>
      </c>
      <c r="D180" t="s">
        <v>22</v>
      </c>
      <c r="E180" t="s">
        <v>1703</v>
      </c>
      <c r="F180">
        <v>12127</v>
      </c>
      <c r="T180" t="s">
        <v>21</v>
      </c>
    </row>
    <row r="181" spans="1:20" x14ac:dyDescent="0.25">
      <c r="A181" t="s">
        <v>1599</v>
      </c>
      <c r="B181" t="s">
        <v>2043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2044</v>
      </c>
      <c r="C182" t="s">
        <v>21</v>
      </c>
      <c r="D182" t="s">
        <v>22</v>
      </c>
      <c r="E182" t="s">
        <v>1703</v>
      </c>
      <c r="F182">
        <v>12127</v>
      </c>
      <c r="T182" t="s">
        <v>21</v>
      </c>
    </row>
    <row r="183" spans="1:20" x14ac:dyDescent="0.25">
      <c r="A183" t="s">
        <v>1747</v>
      </c>
      <c r="B183" t="s">
        <v>2045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2046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2047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2048</v>
      </c>
      <c r="B186" t="s">
        <v>2048</v>
      </c>
      <c r="C186" t="s">
        <v>21</v>
      </c>
      <c r="D186" t="s">
        <v>22</v>
      </c>
      <c r="E186" t="s">
        <v>2083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2049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2050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2051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2052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2053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2054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2055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2086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2087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2088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2089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2090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2091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2109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2110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  <row r="202" spans="1:20" x14ac:dyDescent="0.25">
      <c r="A202" t="s">
        <v>1749</v>
      </c>
      <c r="B202" t="s">
        <v>2120</v>
      </c>
      <c r="C202" t="s">
        <v>21</v>
      </c>
      <c r="D202" t="s">
        <v>22</v>
      </c>
      <c r="E202" t="s">
        <v>1647</v>
      </c>
      <c r="F202">
        <v>12088</v>
      </c>
      <c r="T202" t="s">
        <v>21</v>
      </c>
    </row>
    <row r="203" spans="1:20" x14ac:dyDescent="0.25">
      <c r="A203" t="s">
        <v>1601</v>
      </c>
      <c r="B203" t="s">
        <v>2121</v>
      </c>
      <c r="C203" t="s">
        <v>21</v>
      </c>
      <c r="D203" t="s">
        <v>22</v>
      </c>
      <c r="E203" t="s">
        <v>1644</v>
      </c>
      <c r="F203">
        <v>9066</v>
      </c>
      <c r="T203" t="s">
        <v>21</v>
      </c>
    </row>
    <row r="204" spans="1:20" x14ac:dyDescent="0.25">
      <c r="A204" t="s">
        <v>1747</v>
      </c>
      <c r="B204" t="s">
        <v>2122</v>
      </c>
      <c r="C204" t="s">
        <v>21</v>
      </c>
      <c r="D204" t="s">
        <v>22</v>
      </c>
      <c r="E204" t="s">
        <v>1698</v>
      </c>
      <c r="F204">
        <v>12141</v>
      </c>
      <c r="T204" t="s">
        <v>21</v>
      </c>
    </row>
    <row r="205" spans="1:20" x14ac:dyDescent="0.25">
      <c r="A205" t="s">
        <v>1599</v>
      </c>
      <c r="B205" t="s">
        <v>2123</v>
      </c>
      <c r="C205" t="s">
        <v>21</v>
      </c>
      <c r="D205" t="s">
        <v>22</v>
      </c>
      <c r="E205" t="s">
        <v>1645</v>
      </c>
      <c r="F205">
        <v>1202</v>
      </c>
      <c r="T205" t="s">
        <v>21</v>
      </c>
    </row>
    <row r="206" spans="1:20" x14ac:dyDescent="0.25">
      <c r="A206" t="s">
        <v>1599</v>
      </c>
      <c r="B206" t="s">
        <v>2124</v>
      </c>
      <c r="C206" t="s">
        <v>21</v>
      </c>
      <c r="D206" t="s">
        <v>22</v>
      </c>
      <c r="E206" t="s">
        <v>1645</v>
      </c>
      <c r="F206">
        <v>1202</v>
      </c>
      <c r="T206" t="s">
        <v>21</v>
      </c>
    </row>
    <row r="207" spans="1:20" x14ac:dyDescent="0.25">
      <c r="A207" t="s">
        <v>1599</v>
      </c>
      <c r="B207" t="s">
        <v>2165</v>
      </c>
      <c r="C207" t="s">
        <v>21</v>
      </c>
      <c r="D207" t="s">
        <v>22</v>
      </c>
      <c r="E207" t="s">
        <v>1645</v>
      </c>
      <c r="F207">
        <v>1202</v>
      </c>
      <c r="T207" t="s">
        <v>21</v>
      </c>
    </row>
    <row r="208" spans="1:20" x14ac:dyDescent="0.25">
      <c r="A208" t="s">
        <v>1599</v>
      </c>
      <c r="B208" t="s">
        <v>2166</v>
      </c>
      <c r="C208" t="s">
        <v>21</v>
      </c>
      <c r="D208" t="s">
        <v>22</v>
      </c>
      <c r="E208" t="s">
        <v>1645</v>
      </c>
      <c r="F208">
        <v>1202</v>
      </c>
      <c r="T208" t="s">
        <v>21</v>
      </c>
    </row>
    <row r="209" spans="1:20" x14ac:dyDescent="0.25">
      <c r="A209" t="s">
        <v>1599</v>
      </c>
      <c r="B209" t="s">
        <v>2164</v>
      </c>
      <c r="C209" t="s">
        <v>21</v>
      </c>
      <c r="D209" t="s">
        <v>22</v>
      </c>
      <c r="E209" t="s">
        <v>1645</v>
      </c>
      <c r="F209">
        <v>1202</v>
      </c>
      <c r="T209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C:\Users\USER\Desktop\DIV12\DIV12_Analysis\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C:\Users\USER\Desktop\DIV12\DIV12_Analysis\[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C:\Users\USER\Desktop\DIV12\DIV12_Analysis\RAW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C:\Users\USER\Desktop\DIV12\DIV12_Analysis\RAW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C:\Users\USER\Desktop\DIV12\DIV12_Analysis\Operator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C:\Users\USER\Desktop\DIV12\DIV12_Analysis\[DIV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C:\Users\USER\Desktop\DIV12\DIV12_Analysis\[DIV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C:\Users\USER\Desktop\DIV12\DIV12_Analysis\[DIV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C:\Users\USER\Desktop\DIV12\DIV12_Analysis\MPG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C:\Users\USER\Desktop\DIV12\DIV12_Analysis\AAA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C:\Users\USER\Desktop\DIV12\DIV12_Analysis\RAW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C:\Users\USER\Desktop\DIV12\DIV12_Analysis\RAW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2025-02-27T15:41:56Z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</Properties>
</file>