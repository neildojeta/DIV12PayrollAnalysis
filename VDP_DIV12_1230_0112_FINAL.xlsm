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"/>
    </mc:Choice>
  </mc:AlternateContent>
  <xr:revisionPtr revIDLastSave="0" documentId="13_ncr:1_{628C4422-4F3B-4E91-BA0C-8AB5EFDDC1C9}" xr6:coauthVersionLast="47" xr6:coauthVersionMax="47" xr10:uidLastSave="{00000000-0000-0000-0000-000000000000}"/>
  <bookViews>
    <workbookView xWindow="-120" yWindow="-120" windowWidth="29040" windowHeight="15840" firstSheet="1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nm._FilterDatabase" localSheetId="9" hidden="1">Sheet1!$R$3:$R$44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Div2PartnerList!$A$1:$T$206</definedName>
    <definedName name="ExternalData_1" localSheetId="7" hidden="1">FirstReport!$A$1:$R$1144</definedName>
    <definedName name="ExternalData_1" localSheetId="10" hidden="1">SumVDPMVReport!$A$1:$BG$42</definedName>
    <definedName name="ExternalData_1" localSheetId="11" hidden="1">TollsChecks!$A$1:$F$2</definedName>
    <definedName name="ExternalData_2" localSheetId="3" hidden="1">'Deduction and other Revenue'!$A$1:$Q$56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3" i="10" l="1"/>
  <c r="S44" i="21"/>
  <c r="S43" i="21"/>
  <c r="S42" i="2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L47" i="21" l="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AA38" i="21" l="1"/>
  <c r="AA37" i="21"/>
  <c r="AA44" i="21"/>
  <c r="Y44" i="21"/>
  <c r="AA43" i="21"/>
  <c r="Y43" i="21"/>
  <c r="AA42" i="21"/>
  <c r="Y42" i="21"/>
  <c r="AA41" i="21"/>
  <c r="Y41" i="21"/>
  <c r="AA40" i="21"/>
  <c r="Y40" i="21"/>
  <c r="AA39" i="21"/>
  <c r="Y39" i="21"/>
  <c r="Y38" i="21"/>
  <c r="Y37" i="21"/>
  <c r="AA36" i="21"/>
  <c r="Y36" i="21"/>
  <c r="AA35" i="21"/>
  <c r="Y35" i="21"/>
  <c r="AA34" i="21"/>
  <c r="Y34" i="21"/>
  <c r="AA33" i="21"/>
  <c r="Y33" i="21"/>
  <c r="AA32" i="21"/>
  <c r="Y32" i="21"/>
  <c r="AA31" i="21"/>
  <c r="Y31" i="21"/>
  <c r="AA30" i="21"/>
  <c r="Y30" i="21"/>
  <c r="AA29" i="21"/>
  <c r="Y29" i="21"/>
  <c r="AA28" i="21"/>
  <c r="Y28" i="21"/>
  <c r="AA27" i="21"/>
  <c r="Y27" i="21"/>
  <c r="AA26" i="21"/>
  <c r="Y26" i="21"/>
  <c r="AA25" i="21"/>
  <c r="Y25" i="21"/>
  <c r="AA24" i="21"/>
  <c r="Y24" i="21"/>
  <c r="AA23" i="21"/>
  <c r="Y23" i="21"/>
  <c r="AA22" i="21"/>
  <c r="Y22" i="21"/>
  <c r="AA21" i="21"/>
  <c r="Y21" i="21"/>
  <c r="AA20" i="21"/>
  <c r="Y20" i="21"/>
  <c r="AA19" i="21"/>
  <c r="Y19" i="21"/>
  <c r="AA18" i="21"/>
  <c r="Y18" i="21"/>
  <c r="AA17" i="21"/>
  <c r="Y17" i="21"/>
  <c r="AA16" i="21"/>
  <c r="Y16" i="21"/>
  <c r="AA15" i="21"/>
  <c r="AA14" i="21"/>
  <c r="AA13" i="21"/>
  <c r="AA12" i="21"/>
  <c r="AA11" i="21"/>
  <c r="AA10" i="21"/>
  <c r="AA9" i="21"/>
  <c r="AA8" i="21"/>
  <c r="AA7" i="21"/>
  <c r="AA6" i="21"/>
  <c r="AA5" i="21"/>
  <c r="AA4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Y15" i="21" l="1"/>
  <c r="Y14" i="21"/>
  <c r="Y13" i="21"/>
  <c r="Y12" i="21"/>
  <c r="Y11" i="21"/>
  <c r="Y10" i="21"/>
  <c r="Y9" i="21"/>
  <c r="Y8" i="21"/>
  <c r="Y7" i="21"/>
  <c r="Y6" i="21"/>
  <c r="Y5" i="21"/>
  <c r="Y4" i="21"/>
  <c r="Q13" i="21" l="1"/>
  <c r="Q12" i="21"/>
  <c r="Q11" i="21"/>
  <c r="Q10" i="21"/>
  <c r="Q9" i="21"/>
  <c r="Q8" i="21"/>
  <c r="Q7" i="21"/>
  <c r="Q6" i="21"/>
  <c r="Q5" i="21"/>
  <c r="Q4" i="21"/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G42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D42" i="12" s="1"/>
  <c r="H36" i="12"/>
  <c r="H39" i="12" s="1"/>
  <c r="H42" i="12" s="1"/>
  <c r="P36" i="12"/>
  <c r="P39" i="12" s="1"/>
  <c r="P42" i="12" s="1"/>
  <c r="K36" i="12"/>
  <c r="M36" i="12"/>
  <c r="M39" i="12" s="1"/>
  <c r="M42" i="12" s="1"/>
  <c r="J36" i="12"/>
  <c r="J39" i="12" s="1"/>
  <c r="J42" i="12" s="1"/>
  <c r="I36" i="12"/>
  <c r="I39" i="12" s="1"/>
  <c r="I42" i="12" s="1"/>
  <c r="O36" i="12"/>
  <c r="O39" i="12" s="1"/>
  <c r="O42" i="12" s="1"/>
  <c r="N36" i="12"/>
  <c r="N39" i="12" s="1"/>
  <c r="N42" i="12" s="1"/>
  <c r="L36" i="12"/>
  <c r="L39" i="12" s="1"/>
  <c r="L42" i="12" s="1"/>
  <c r="Q6" i="12"/>
  <c r="Z5" i="8"/>
  <c r="K39" i="12" l="1"/>
  <c r="K42" i="12" s="1"/>
  <c r="Q36" i="12"/>
  <c r="Q39" i="12" s="1"/>
  <c r="Q42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<sst xmlns="http://schemas.openxmlformats.org/spreadsheetml/2006/main" count="11118" uniqueCount="2182">
  <si>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</si>
  <si>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</si>
  <si>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</si>
  <si>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</si>
  <si>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</si>
  <si>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</si>
  <si>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</si>
  <si>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</si>
  <si>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</si>
  <si>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</si>
  <si>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</si>
  <si>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</si>
  <si>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</si>
  <si>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</si>
  <si>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</si>
  <si>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</si>
  <si>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</si>
  <si>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</si>
  <si>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</si>
  <si>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</si>
  <si>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</si>
  <si>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</si>
  <si>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</si>
  <si>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</si>
  <si>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</si>
  <si>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</si>
  <si>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</si>
  <si>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</si>
  <si>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</si>
  <si>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</si>
  <si>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</si>
  <si>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</si>
  <si>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</si>
  <si>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</si>
  <si>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</si>
  <si>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</si>
  <si>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</si>
  <si>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</si>
  <si>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</si>
  <si>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</si>
  <si>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</si>
  <si>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</si>
  <si>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</si>
  <si>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</si>
  <si>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</si>
  <si>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</si>
  <si>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</si>
  <si>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</si>
  <si>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</si>
  <si>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</si>
  <si>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</si>
  <si>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</si>
  <si>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</si>
  <si>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</si>
  <si>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</si>
  <si>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</si>
  <si>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</si>
  <si>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</si>
  <si>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</si>
  <si>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</si>
  <si>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</si>
  <si>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</si>
  <si>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</si>
  <si>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</si>
  <si>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</si>
  <si>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</si>
  <si>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</si>
  <si>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</si>
  <si>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</si>
  <si>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</si>
  <si>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</si>
  <si>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</si>
  <si>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</si>
  <si>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</si>
  <si>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</si>
  <si>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</si>
  <si>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</si>
  <si>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</si>
  <si>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</si>
  <si>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</si>
  <si>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</si>
  <si>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</si>
  <si>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</si>
  <si>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</si>
  <si>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</si>
  <si>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</si>
  <si>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</si>
  <si>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</si>
  <si>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</si>
  <si>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</si>
  <si>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</si>
  <si>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</si>
  <si>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</si>
  <si>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</si>
  <si>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</si>
  <si>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</si>
  <si>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</si>
  <si>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</si>
  <si>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</si>
  <si>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</si>
  <si>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</si>
  <si>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</si>
  <si>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</si>
  <si>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</si>
  <si>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</si>
  <si>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</si>
  <si>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</si>
  <si>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</si>
  <si>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</si>
  <si>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</si>
  <si>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</si>
  <si>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</si>
  <si>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</si>
  <si>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</si>
  <si>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</si>
  <si>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</si>
  <si>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</si>
  <si>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</si>
  <si>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</si>
  <si>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</si>
  <si>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</si>
  <si>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</si>
  <si>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</si>
  <si>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</si>
  <si>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</si>
  <si>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</si>
  <si>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</si>
  <si>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</si>
  <si>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</si>
  <si>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</si>
  <si>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</si>
  <si>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</si>
  <si>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</si>
  <si>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</si>
  <si>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</si>
  <si>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</si>
  <si>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</si>
  <si>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</si>
  <si>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</si>
  <si>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</si>
  <si>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</si>
  <si>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</si>
  <si>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</si>
  <si>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</si>
  <si>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</si>
  <si>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</si>
  <si>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</si>
  <si>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</si>
  <si>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</si>
  <si>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</si>
  <si>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</si>
  <si>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</si>
  <si>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</si>
  <si>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</si>
  <si>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</si>
  <si>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</si>
  <si>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</si>
  <si>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</si>
  <si>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</si>
  <si>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</si>
  <si>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</si>
  <si>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</si>
  <si>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</si>
  <si>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</si>
  <si>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</si>
  <si>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</si>
  <si>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</si>
  <si>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</si>
  <si>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</si>
  <si>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</si>
  <si>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</si>
  <si>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</si>
  <si>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</si>
  <si>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</si>
  <si>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</si>
  <si>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</si>
  <si>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</si>
  <si>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</si>
  <si>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</si>
  <si>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</si>
  <si>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</si>
  <si>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</si>
  <si>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</si>
  <si>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</si>
  <si>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</si>
  <si>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</si>
  <si>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</si>
  <si>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</si>
  <si>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</si>
  <si>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</si>
  <si>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</si>
  <si>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</si>
  <si>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</si>
  <si>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</si>
  <si>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</si>
  <si>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</si>
  <si>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</si>
  <si>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</si>
  <si>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</si>
  <si>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</si>
  <si>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</si>
  <si>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</si>
  <si>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</si>
  <si>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</si>
  <si>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</si>
  <si>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</si>
  <si>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</si>
  <si>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</si>
  <si>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</si>
  <si>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</si>
  <si>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</si>
  <si>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</si>
  <si>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</si>
  <si>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</si>
  <si>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</si>
  <si>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</si>
  <si>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</si>
  <si>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</si>
  <si>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</si>
  <si>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</si>
  <si>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</si>
  <si>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</si>
  <si>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</si>
  <si>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</si>
  <si>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</si>
  <si>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</si>
  <si>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</si>
  <si>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</si>
  <si>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</si>
  <si>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</si>
  <si>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</si>
  <si>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</si>
  <si>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</si>
  <si>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</si>
  <si>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</si>
  <si>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</si>
  <si>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</si>
  <si>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</si>
  <si>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</si>
  <si>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</si>
  <si>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</si>
  <si>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</si>
  <si>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</si>
  <si>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</si>
  <si>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</si>
  <si>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</si>
  <si>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</si>
  <si>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</si>
  <si>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</si>
  <si>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</si>
  <si>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</si>
  <si>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</si>
  <si>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</si>
  <si>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</si>
  <si>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</si>
  <si>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</si>
  <si>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</si>
  <si>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</si>
  <si>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</si>
  <si>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</si>
  <si>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</si>
  <si>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</si>
  <si>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</si>
  <si>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</si>
  <si>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</si>
  <si>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</si>
  <si>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</si>
  <si>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</si>
  <si>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</si>
  <si>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</si>
  <si>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</si>
  <si>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</si>
  <si>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</si>
  <si>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</si>
  <si>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</si>
  <si>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</si>
  <si>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</si>
  <si>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</si>
  <si>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</si>
  <si>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</si>
  <si>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</si>
  <si>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</si>
  <si>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</si>
  <si>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</si>
  <si>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</si>
  <si>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</si>
  <si>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</si>
  <si>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</si>
  <si>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</si>
  <si>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</si>
  <si>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</si>
  <si>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</si>
  <si>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</si>
  <si>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</si>
  <si>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</si>
  <si>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</si>
  <si>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</si>
  <si>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</si>
  <si>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</si>
  <si>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</si>
  <si>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</si>
  <si>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</si>
  <si>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</si>
  <si>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</si>
  <si>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</si>
  <si>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</si>
  <si>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</si>
  <si>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</si>
  <si>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</si>
  <si>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</si>
  <si>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</si>
  <si>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</si>
  <si>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</si>
  <si>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</si>
  <si>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</si>
  <si>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</si>
  <si>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</si>
  <si>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</si>
  <si>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</si>
  <si>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</si>
  <si>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</si>
  <si>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</si>
  <si>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</si>
  <si>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</si>
  <si>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</si>
  <si>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</si>
  <si>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</si>
  <si>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</si>
  <si>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</si>
  <si>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</si>
  <si>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</si>
  <si>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</si>
  <si>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</si>
  <si>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</si>
  <si>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</si>
  <si>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</si>
  <si>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</si>
  <si>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</si>
  <si>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</si>
  <si>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</si>
  <si>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</si>
  <si>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</si>
  <si>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</si>
  <si>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</si>
  <si>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</si>
  <si>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</si>
  <si>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</si>
  <si>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</si>
  <si>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</si>
  <si>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</si>
  <si>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</si>
  <si>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</si>
  <si>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</si>
  <si>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</si>
  <si>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</si>
  <si>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</si>
  <si>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</si>
  <si>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</si>
  <si>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</si>
  <si>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</si>
  <si>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</si>
  <si>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</si>
  <si>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</si>
  <si>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</si>
  <si>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</si>
  <si>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</si>
  <si>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</si>
  <si>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</si>
  <si>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</si>
  <si>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</si>
  <si>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</si>
  <si>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</si>
  <si>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</si>
  <si>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</si>
  <si>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</si>
  <si>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</si>
  <si>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</si>
  <si>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</si>
  <si>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</si>
  <si>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</si>
  <si>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</si>
  <si>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</si>
  <si>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</si>
  <si>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</si>
  <si>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</si>
  <si>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</si>
  <si>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</si>
  <si>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</si>
  <si>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</si>
  <si>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</si>
  <si>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</si>
  <si>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</si>
  <si>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</si>
  <si>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</si>
  <si>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</si>
  <si>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</si>
  <si>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</si>
  <si>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</si>
  <si>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</si>
  <si>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</si>
  <si>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</si>
  <si>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</si>
  <si>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</si>
  <si>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</si>
  <si>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</si>
  <si>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</si>
  <si>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</si>
  <si>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</si>
  <si>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</si>
  <si>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</si>
  <si>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</si>
  <si>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</si>
  <si>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</si>
  <si>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</si>
  <si>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</si>
  <si>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</si>
  <si>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</si>
  <si>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</si>
  <si>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</si>
  <si>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</si>
  <si>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</si>
  <si>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</si>
  <si>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</si>
  <si>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</si>
  <si>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</si>
  <si>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</si>
  <si>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</si>
  <si>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</si>
  <si>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</si>
  <si>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</si>
  <si>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</si>
  <si>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</si>
  <si>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</si>
  <si>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</si>
  <si>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</si>
  <si>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</si>
  <si>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</si>
  <si>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</si>
  <si>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</si>
  <si>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</si>
  <si>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</si>
  <si>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</si>
  <si>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</si>
  <si>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</si>
  <si>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</si>
  <si>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</si>
  <si>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</si>
  <si>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</si>
  <si>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</si>
  <si>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</si>
  <si>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</si>
  <si>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</si>
  <si>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</si>
  <si>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</si>
  <si>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</si>
  <si>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</si>
  <si>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</si>
  <si>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</si>
  <si>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</si>
  <si>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</si>
  <si>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</si>
  <si>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</si>
  <si>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</si>
  <si>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</si>
  <si>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</si>
  <si>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</si>
  <si>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</si>
  <si>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</si>
  <si>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</si>
  <si>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</si>
  <si>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</si>
  <si>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</si>
  <si>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</si>
  <si>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</si>
  <si>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</si>
  <si>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</si>
  <si>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</si>
  <si>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</si>
  <si>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</si>
  <si>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</si>
  <si>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</si>
  <si>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</si>
  <si>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</si>
  <si>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</si>
  <si>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</si>
  <si>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</si>
  <si>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</si>
  <si>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</si>
  <si>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</si>
  <si>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</si>
  <si>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</si>
  <si>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</si>
  <si>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</si>
  <si>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</si>
  <si>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</si>
  <si>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</si>
  <si>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</si>
  <si>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</si>
  <si>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</si>
  <si>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</si>
  <si>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</si>
  <si>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</si>
  <si>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</si>
  <si>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</si>
  <si>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</si>
  <si>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</si>
  <si>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</si>
  <si>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</si>
  <si>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</si>
  <si>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</si>
  <si>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</si>
  <si>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</si>
  <si>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</si>
  <si>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</si>
  <si>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</si>
  <si>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</si>
  <si>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</si>
  <si>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</si>
  <si>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</si>
  <si>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</si>
  <si>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</si>
  <si>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</si>
  <si>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</si>
  <si>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</si>
  <si>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</si>
  <si>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</si>
  <si>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</si>
  <si>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</si>
  <si>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</si>
  <si>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</si>
  <si>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</si>
  <si>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</si>
  <si>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</si>
  <si>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</si>
  <si>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</si>
  <si>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</si>
  <si>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</si>
  <si>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</si>
  <si>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</si>
  <si>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</si>
  <si>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</si>
  <si>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</si>
  <si>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</si>
  <si>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</si>
  <si>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</si>
  <si>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</si>
  <si>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</si>
  <si>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</si>
  <si>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</si>
  <si>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</si>
  <si>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</si>
  <si>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</si>
  <si>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</si>
  <si>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</si>
  <si>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</si>
  <si>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</si>
  <si>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</si>
  <si>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</si>
  <si>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</si>
  <si>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</si>
  <si>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</si>
  <si>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</si>
  <si>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</si>
  <si>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</si>
  <si>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</si>
  <si>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</si>
  <si>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</si>
  <si>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</si>
  <si>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</si>
  <si>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</si>
  <si>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</si>
  <si>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</si>
  <si>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</si>
  <si>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</si>
  <si>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</si>
  <si>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</si>
  <si>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</si>
  <si>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</si>
  <si>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</si>
  <si>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</si>
  <si>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</si>
  <si>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</si>
  <si>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</si>
  <si>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</si>
  <si>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</si>
  <si>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</si>
  <si>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</si>
  <si>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</si>
  <si>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</si>
  <si>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</si>
  <si>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</si>
  <si>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</si>
  <si>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</si>
  <si>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</si>
  <si>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</si>
  <si>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</si>
  <si>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</si>
  <si>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</si>
  <si>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</si>
  <si>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</si>
  <si>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</si>
  <si>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</si>
  <si>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</si>
  <si>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</si>
  <si>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</si>
  <si>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</si>
  <si>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</si>
  <si>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</si>
  <si>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</si>
  <si>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</si>
  <si>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</si>
  <si>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</si>
  <si>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</si>
  <si>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</si>
  <si>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</si>
  <si>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</si>
  <si>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</si>
  <si>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</si>
  <si>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</si>
  <si>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</si>
  <si>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</si>
  <si>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</si>
  <si>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</si>
  <si>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</si>
  <si>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</si>
  <si>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</si>
  <si>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</si>
  <si>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</si>
  <si>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</si>
  <si>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</si>
  <si>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</si>
  <si>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</si>
  <si>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</si>
  <si>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</si>
  <si>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</si>
  <si>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</si>
  <si>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</si>
  <si>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</si>
  <si>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</si>
  <si>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</si>
  <si>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</si>
  <si>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</si>
  <si>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</si>
  <si>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</si>
  <si>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</si>
  <si>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</si>
  <si>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</si>
  <si>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</si>
  <si>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</si>
  <si>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</si>
  <si>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</si>
  <si>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</si>
  <si>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</si>
  <si>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</si>
  <si>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</si>
  <si>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</si>
  <si>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</si>
  <si>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</si>
  <si>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</si>
  <si>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</si>
  <si>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</si>
  <si>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</si>
  <si>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</si>
  <si>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</si>
  <si>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</si>
  <si>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</si>
  <si>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</si>
  <si>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</si>
  <si>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</si>
  <si>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</si>
  <si>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</si>
  <si>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</si>
  <si>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</si>
  <si>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</si>
  <si>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</si>
  <si>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</si>
  <si>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</si>
  <si>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</si>
  <si>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</si>
  <si>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</si>
  <si>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</si>
  <si>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</si>
  <si>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</si>
  <si>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</si>
  <si>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</si>
  <si>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</si>
  <si>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</si>
  <si>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</si>
  <si>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</si>
  <si>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</si>
  <si>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</si>
  <si>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</si>
  <si>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</si>
  <si>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</si>
  <si>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</si>
  <si>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</si>
  <si>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</si>
  <si>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</si>
  <si>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</si>
  <si>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</si>
  <si>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</si>
  <si>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</si>
  <si>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</si>
  <si>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</si>
  <si>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</si>
  <si>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</si>
  <si>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</si>
  <si>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</si>
  <si>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</si>
  <si>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</si>
  <si>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</si>
  <si>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</si>
  <si>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</si>
  <si>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</si>
  <si>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</si>
  <si>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</si>
  <si>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</si>
  <si>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</si>
  <si>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</si>
  <si>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</si>
  <si>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</si>
  <si>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</si>
  <si>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</si>
  <si>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</si>
  <si>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</si>
  <si>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</si>
  <si>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</si>
  <si>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</si>
  <si>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</si>
  <si>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</si>
  <si>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</si>
  <si>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</si>
  <si>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</si>
  <si>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</si>
  <si>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</si>
  <si>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</si>
  <si>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</si>
  <si>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</si>
  <si>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</si>
  <si>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</si>
  <si>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</si>
  <si>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</si>
  <si>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</si>
  <si>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</si>
  <si>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</si>
  <si>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</si>
  <si>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</si>
  <si>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</si>
  <si>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</si>
  <si>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</si>
  <si>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</si>
  <si>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</si>
  <si>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</si>
  <si>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</si>
  <si>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</si>
  <si>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</si>
  <si>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</si>
  <si>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</si>
  <si>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</si>
  <si>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</si>
  <si>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</si>
  <si>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</si>
  <si>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</si>
  <si>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</si>
  <si>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</si>
  <si>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</si>
  <si>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</si>
  <si>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</si>
  <si>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</si>
  <si>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</si>
  <si>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</si>
  <si>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</si>
  <si>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</si>
  <si>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</si>
  <si>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</si>
  <si>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</si>
  <si>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</si>
  <si>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</si>
  <si>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</si>
  <si>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</si>
  <si>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</si>
  <si>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</si>
  <si>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</si>
  <si>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</si>
  <si>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</si>
  <si>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</si>
  <si>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</si>
  <si>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</si>
  <si>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</si>
  <si>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</si>
  <si>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</si>
  <si>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</si>
  <si>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</si>
  <si>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</si>
  <si>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</si>
  <si>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</si>
  <si>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</si>
  <si>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</si>
  <si>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</si>
  <si>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</si>
  <si>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</si>
  <si>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</si>
  <si>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</si>
  <si>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</si>
  <si>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</si>
  <si>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</si>
  <si>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</si>
  <si>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</si>
  <si>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</si>
  <si>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</si>
  <si>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</si>
  <si>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</si>
  <si>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</si>
  <si>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</si>
  <si>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</si>
  <si>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</si>
  <si>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</si>
  <si>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</si>
  <si>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</si>
  <si>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</si>
  <si>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</si>
  <si>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</si>
  <si>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</si>
  <si>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</si>
  <si>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</si>
  <si>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</si>
  <si>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</si>
  <si>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</si>
  <si>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</si>
  <si>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</si>
  <si>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</si>
  <si>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</si>
  <si>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</si>
  <si>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</si>
  <si>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</si>
  <si>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</si>
  <si>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</si>
  <si>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</si>
  <si>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</si>
  <si>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</si>
  <si>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</si>
  <si>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</si>
  <si>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</si>
  <si>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</si>
  <si>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</si>
  <si>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</si>
  <si>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</si>
  <si>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</si>
  <si>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</si>
  <si>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</si>
  <si>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</si>
  <si>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</si>
  <si>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</si>
  <si>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</si>
  <si>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</si>
  <si>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</si>
  <si>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</si>
  <si>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</si>
  <si>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</si>
  <si>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</si>
  <si>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</si>
  <si>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</si>
  <si>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</si>
  <si>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</si>
  <si>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</si>
  <si>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</si>
  <si>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</si>
  <si>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</si>
  <si>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</si>
  <si>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</si>
  <si>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</si>
  <si>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</si>
  <si>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</si>
  <si>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</si>
  <si>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</si>
  <si>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</si>
  <si>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</si>
  <si>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</si>
  <si>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</si>
  <si>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</si>
  <si>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</si>
  <si>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</si>
  <si>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</si>
  <si>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</si>
  <si>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</si>
  <si>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</si>
  <si>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</si>
  <si>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</si>
  <si>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</si>
  <si>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</si>
  <si>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</si>
  <si>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</si>
  <si>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</si>
  <si>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</si>
  <si>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</si>
  <si>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</si>
  <si>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</si>
  <si>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</si>
  <si>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</si>
  <si>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</si>
  <si>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</si>
  <si>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</si>
  <si>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</si>
  <si>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</si>
  <si>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</si>
  <si>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</si>
  <si>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</si>
  <si>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</si>
  <si>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</si>
  <si>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</si>
  <si>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</si>
  <si>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</si>
  <si>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</si>
  <si>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</si>
  <si>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</si>
  <si>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</si>
  <si>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</si>
  <si>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</si>
  <si>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</si>
  <si>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</si>
  <si>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</si>
  <si>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</si>
  <si>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</si>
  <si>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</si>
  <si>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</si>
  <si>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</si>
  <si>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</si>
  <si>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</si>
  <si>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</si>
  <si>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</si>
  <si>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</si>
  <si>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</si>
  <si>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</si>
  <si>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</si>
  <si>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</si>
  <si>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</si>
  <si>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</si>
  <si>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</si>
  <si>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</si>
  <si>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</si>
  <si>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</si>
  <si>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</si>
  <si>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</si>
  <si>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</si>
  <si>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</si>
  <si>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</si>
  <si>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</si>
  <si>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</si>
  <si>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</si>
  <si>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</si>
  <si>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</si>
  <si>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</si>
  <si>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</si>
  <si>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</si>
  <si>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</si>
  <si>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</si>
  <si>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</si>
  <si>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</si>
  <si>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</si>
  <si>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</si>
  <si>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</si>
  <si>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</si>
  <si>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</si>
  <si>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</si>
  <si>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</si>
  <si>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</si>
  <si>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</si>
  <si>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</si>
  <si>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</si>
  <si>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</si>
  <si>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</si>
  <si>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</si>
  <si>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</si>
  <si>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</si>
  <si>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</si>
  <si>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</si>
  <si>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</si>
  <si>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</si>
  <si>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</si>
  <si>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</si>
  <si>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</si>
  <si>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</si>
  <si>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</si>
  <si>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</si>
  <si>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</si>
  <si>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</si>
  <si>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</si>
  <si>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</si>
  <si>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</si>
  <si>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</si>
  <si>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</si>
  <si>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</si>
  <si>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</si>
  <si>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</si>
  <si>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</si>
  <si>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</si>
  <si>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</si>
  <si>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</si>
  <si>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</si>
  <si>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</si>
  <si>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</si>
  <si>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</si>
  <si>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</si>
  <si>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</si>
  <si>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</si>
  <si>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</si>
  <si>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</si>
  <si>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</si>
  <si>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</si>
  <si>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</si>
  <si>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</si>
  <si>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</si>
  <si>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</si>
  <si>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</si>
  <si>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</si>
  <si>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</si>
  <si>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</si>
  <si>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</si>
  <si>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</si>
  <si>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</si>
  <si>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</si>
  <si>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</si>
  <si>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</si>
  <si>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</si>
  <si>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</si>
  <si>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</si>
  <si>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</si>
  <si>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</si>
  <si>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</si>
  <si>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</si>
  <si>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</si>
  <si>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</si>
  <si>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</si>
  <si>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</si>
  <si>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</si>
  <si>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</si>
  <si>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</si>
  <si>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</si>
  <si>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</si>
  <si>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</si>
  <si>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</si>
  <si>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</si>
  <si>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</si>
  <si>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</si>
  <si>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</si>
  <si>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</si>
  <si>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</si>
  <si>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</si>
  <si>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</si>
  <si>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</si>
  <si>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</si>
  <si>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</si>
  <si>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</si>
  <si>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</si>
  <si>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</si>
  <si>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</si>
  <si>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</si>
  <si>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</si>
  <si>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</si>
  <si>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</si>
  <si>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</si>
  <si>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</si>
  <si>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</si>
  <si>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</si>
  <si>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</si>
  <si>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</si>
  <si>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</si>
  <si>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</si>
  <si>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</si>
  <si>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</si>
  <si>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</si>
  <si>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</si>
  <si>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</si>
  <si>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</si>
  <si>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</si>
  <si>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</si>
  <si>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</si>
  <si>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</si>
  <si>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</si>
  <si>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</si>
  <si>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</si>
  <si>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</si>
  <si>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</si>
  <si>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</si>
  <si>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</si>
  <si>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</si>
  <si>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</si>
  <si>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</si>
  <si>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</si>
  <si>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</si>
  <si>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</si>
  <si>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</si>
  <si>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</si>
  <si>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</si>
  <si>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</si>
  <si>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</si>
  <si>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</si>
  <si>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</si>
  <si>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</si>
  <si>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</si>
  <si>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</si>
  <si>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</si>
  <si>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</si>
  <si>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</si>
  <si>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</si>
  <si>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</si>
  <si>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</si>
  <si>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</si>
  <si>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</si>
  <si>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</si>
  <si>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</si>
  <si>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</si>
  <si>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</si>
  <si>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</si>
  <si>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</si>
  <si>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</si>
  <si>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</si>
  <si>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</si>
  <si>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</si>
  <si>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</si>
  <si>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</si>
  <si>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</si>
  <si>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</si>
  <si>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</si>
  <si>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</si>
  <si>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</si>
  <si>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</si>
  <si>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</si>
  <si>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</si>
  <si>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</si>
  <si>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</si>
  <si>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</si>
  <si>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</si>
  <si>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</si>
  <si>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</si>
  <si>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</si>
  <si>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</si>
  <si>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</si>
  <si>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</si>
  <si>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</si>
  <si>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</si>
  <si>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</si>
  <si>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</si>
  <si>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</si>
  <si>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</si>
  <si>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</si>
  <si>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</si>
  <si>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</si>
  <si>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</si>
  <si>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</si>
  <si>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</si>
  <si>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</si>
  <si>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</si>
  <si>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</si>
  <si>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</si>
  <si>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</si>
  <si>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</si>
  <si>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</si>
  <si>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</si>
  <si>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</si>
  <si>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</si>
  <si>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</si>
  <si>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</si>
  <si>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</si>
  <si>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</si>
  <si>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</si>
  <si>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</si>
  <si>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</si>
  <si>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</si>
  <si>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</si>
  <si>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</si>
  <si>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</si>
  <si>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</si>
  <si>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</si>
  <si>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</si>
  <si>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</si>
  <si>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</si>
  <si>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</si>
  <si>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</si>
  <si>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</si>
  <si>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</si>
  <si>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</si>
  <si>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</si>
  <si>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</si>
  <si>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</si>
  <si>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</si>
  <si>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</si>
  <si>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</si>
  <si>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</si>
  <si>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</si>
  <si>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</si>
  <si>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</si>
  <si>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</si>
  <si>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</si>
  <si>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</si>
  <si>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</si>
  <si>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</si>
  <si>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</si>
  <si>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</si>
  <si>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</si>
  <si>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</si>
  <si>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</si>
  <si>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</si>
  <si>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</si>
  <si>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</si>
  <si>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</si>
  <si>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</si>
  <si>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</si>
  <si>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</si>
  <si>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</si>
  <si>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</si>
  <si>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</si>
  <si>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</si>
  <si>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</si>
  <si>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</si>
  <si>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</si>
  <si>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</si>
  <si>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</si>
  <si>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</si>
  <si>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</si>
  <si>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</si>
  <si>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</si>
  <si>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</si>
  <si>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</si>
  <si>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</si>
  <si>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</si>
  <si>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</si>
  <si>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</si>
  <si>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</si>
  <si>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</si>
  <si>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</si>
  <si>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</si>
  <si>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</si>
  <si>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</si>
  <si>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</si>
  <si>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</si>
  <si>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</si>
  <si>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</si>
  <si>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</si>
  <si>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</si>
  <si>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</si>
  <si>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</si>
  <si>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</si>
  <si>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</si>
  <si>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</si>
  <si>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</si>
  <si>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</si>
  <si>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</si>
  <si>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</si>
  <si>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</si>
  <si>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</si>
  <si>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</si>
  <si>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</si>
  <si>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</si>
  <si>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</si>
  <si>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</si>
  <si>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</si>
  <si>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</si>
  <si>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</si>
  <si>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</si>
  <si>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</si>
  <si>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</si>
  <si>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</si>
  <si>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</si>
  <si>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</si>
  <si>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</si>
  <si>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</si>
  <si>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</si>
  <si>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</si>
  <si>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</si>
  <si>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</si>
  <si>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</si>
  <si>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</si>
  <si>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</si>
  <si>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</si>
  <si>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</si>
  <si>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</si>
  <si>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</si>
  <si>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</si>
  <si>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</si>
  <si>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</si>
  <si>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</si>
  <si>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</si>
  <si>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</si>
  <si>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</si>
  <si>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</si>
  <si>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</si>
  <si>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</si>
  <si>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</si>
  <si>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</si>
  <si>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</si>
  <si>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</si>
  <si>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</si>
  <si>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</si>
  <si>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</si>
  <si>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</si>
  <si>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</si>
  <si>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</si>
  <si>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</si>
  <si>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</si>
  <si>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</si>
  <si>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</si>
  <si>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</si>
  <si>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</si>
  <si>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</si>
  <si>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</si>
  <si>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</si>
  <si>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</si>
  <si>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</si>
  <si>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</si>
  <si>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</si>
  <si>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</si>
  <si>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</si>
  <si>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</si>
  <si>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</si>
  <si>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</si>
  <si>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</si>
  <si>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</si>
  <si>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</si>
  <si>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</si>
  <si>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</si>
  <si>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</si>
  <si>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</si>
  <si>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</si>
  <si>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</si>
  <si>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</si>
  <si>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</si>
  <si>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</si>
  <si>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</si>
  <si>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</si>
  <si>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</si>
  <si>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</si>
  <si>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</si>
  <si>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</si>
  <si>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</si>
  <si>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</si>
  <si>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</si>
  <si>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</si>
  <si>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</si>
  <si>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</si>
  <si>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</si>
  <si>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</si>
  <si>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</si>
  <si>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</si>
  <si>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</si>
  <si>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</si>
  <si>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</si>
  <si>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</si>
  <si>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</si>
  <si>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</si>
  <si>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</si>
  <si>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</si>
  <si>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</si>
  <si>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</si>
  <si>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</si>
  <si>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</si>
  <si>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</si>
  <si>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</si>
  <si>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</si>
  <si>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</si>
  <si>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</si>
  <si>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</si>
  <si>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</si>
  <si>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</si>
  <si>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</si>
  <si>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</si>
  <si>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</si>
  <si>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</si>
  <si>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</si>
  <si>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</si>
  <si>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</si>
  <si>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</si>
  <si>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</si>
  <si>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</si>
  <si>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</si>
  <si>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</si>
  <si>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</si>
  <si>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</si>
  <si>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</si>
  <si>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</si>
  <si>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</si>
  <si>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</si>
  <si>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</si>
  <si>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</si>
  <si>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</si>
  <si>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</si>
  <si>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</si>
  <si>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</si>
  <si>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</si>
  <si>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</si>
  <si>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</si>
  <si>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</si>
  <si>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</si>
  <si>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</si>
  <si>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</si>
  <si>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</si>
  <si>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</si>
  <si>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</si>
  <si>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</si>
  <si>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</si>
  <si>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</si>
  <si>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</si>
  <si>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</si>
  <si>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</si>
  <si>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</si>
  <si>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</si>
  <si>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</si>
  <si>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</si>
  <si>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</si>
  <si>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</si>
  <si>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</si>
  <si>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</si>
  <si>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</si>
  <si>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</si>
  <si>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</si>
  <si>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</si>
  <si>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</si>
  <si>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</si>
  <si>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</si>
  <si>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</si>
  <si>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</si>
  <si>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</si>
  <si>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</si>
  <si>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</si>
  <si>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</si>
  <si>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</si>
  <si>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</si>
  <si>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</si>
  <si>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</si>
  <si>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</si>
  <si>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</si>
  <si>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</si>
  <si>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</si>
  <si>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</si>
  <si>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</si>
  <si>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</si>
  <si>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</si>
  <si>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</si>
  <si>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</si>
  <si>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</si>
  <si>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</si>
  <si>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</si>
  <si>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</si>
  <si>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</si>
  <si>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</si>
  <si>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</si>
  <si>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</si>
  <si>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</si>
  <si>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</si>
  <si>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</si>
  <si>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</si>
  <si>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</si>
  <si>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</si>
  <si>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</si>
  <si>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</si>
  <si>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</si>
  <si>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</si>
  <si>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</si>
  <si>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</si>
  <si>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</si>
  <si>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</si>
  <si>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</si>
  <si>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</si>
  <si>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</si>
  <si>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</si>
  <si>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</si>
  <si>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</si>
  <si>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</si>
  <si>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</si>
  <si>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</si>
  <si>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</si>
  <si>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</si>
  <si>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</si>
  <si>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</si>
  <si>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</si>
  <si>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</si>
  <si>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</si>
  <si>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</si>
  <si>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</si>
  <si>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</si>
  <si>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</si>
  <si>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</si>
  <si>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</si>
  <si>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</si>
  <si>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</si>
  <si>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</si>
  <si>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</si>
  <si>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</si>
  <si>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</si>
  <si>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</si>
  <si>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</si>
  <si>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</si>
  <si>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</si>
  <si>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</si>
  <si>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</si>
  <si>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</si>
  <si>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</si>
  <si>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</si>
  <si>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</si>
  <si>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</si>
  <si>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</si>
  <si>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</si>
  <si>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</si>
  <si>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</si>
  <si>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</si>
  <si>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</si>
  <si>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</si>
  <si>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</si>
  <si>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</si>
  <si>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</si>
  <si>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</si>
  <si>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</si>
  <si>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</si>
  <si>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</si>
  <si>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</si>
  <si>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</si>
  <si>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</si>
  <si>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</si>
  <si>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</si>
  <si>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</si>
  <si>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</si>
  <si>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</si>
  <si>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</si>
  <si>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</si>
  <si>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</si>
  <si>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</si>
  <si>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</si>
  <si>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</si>
  <si>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</si>
  <si>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</si>
  <si>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</si>
  <si>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</si>
  <si>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</si>
  <si>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</si>
  <si>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</si>
  <si>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</si>
  <si>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</si>
  <si>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</si>
  <si>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</si>
  <si>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</si>
  <si>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</si>
  <si>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</si>
  <si>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</si>
  <si>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</si>
  <si>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</si>
  <si>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</si>
  <si>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</si>
  <si>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</si>
  <si>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</si>
  <si>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</si>
  <si>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</si>
  <si>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</si>
  <si>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</si>
  <si>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</si>
  <si>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</si>
  <si>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</si>
  <si>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</si>
  <si>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</si>
  <si>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</si>
  <si>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</si>
  <si>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</si>
  <si>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</si>
  <si>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</si>
  <si>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</si>
  <si>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</si>
  <si>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</si>
  <si>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</si>
  <si>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</si>
  <si>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</si>
  <si>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</si>
  <si>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</si>
  <si>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</si>
  <si>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</si>
  <si>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</si>
  <si>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</si>
  <si>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</si>
  <si>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</si>
  <si>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</si>
  <si>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</si>
  <si>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</si>
  <si>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</si>
  <si>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</si>
  <si>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</si>
  <si>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</si>
  <si>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</si>
  <si>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</si>
  <si>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</si>
  <si>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</si>
  <si>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</si>
  <si>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</si>
  <si>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</si>
  <si>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</si>
  <si>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</si>
  <si>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</si>
  <si>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</si>
  <si>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</si>
  <si>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</si>
  <si>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</si>
  <si>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</si>
  <si>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</si>
  <si>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</si>
  <si>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</si>
  <si>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</si>
  <si>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</si>
  <si>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</si>
  <si>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</si>
  <si>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</si>
  <si>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</si>
  <si>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</si>
  <si>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</si>
  <si>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</si>
  <si>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</si>
  <si>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</si>
  <si>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</si>
  <si>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</si>
  <si>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</si>
  <si>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</si>
  <si>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</si>
  <si>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</si>
  <si>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</si>
  <si>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</si>
  <si>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</si>
  <si>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</si>
  <si>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</si>
  <si>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</si>
  <si>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</si>
  <si>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</si>
  <si>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</si>
  <si>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</si>
  <si>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</si>
  <si>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</si>
  <si>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</si>
  <si>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</si>
  <si>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</si>
  <si>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</si>
  <si>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</si>
  <si>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</si>
  <si>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</si>
  <si>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</si>
  <si>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</si>
  <si>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</si>
  <si>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</si>
  <si>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</si>
  <si>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</si>
  <si>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</si>
  <si>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</si>
  <si>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</si>
  <si>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</si>
  <si>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</si>
  <si>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</si>
  <si>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</si>
  <si>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</si>
  <si>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</si>
  <si>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</si>
  <si>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</si>
  <si>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</si>
  <si>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</si>
  <si>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</si>
  <si>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</si>
  <si>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</si>
  <si>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</si>
  <si>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</si>
  <si>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</si>
  <si>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</si>
  <si>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</si>
  <si>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</si>
  <si>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</si>
  <si>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</si>
  <si>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</si>
  <si>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</si>
  <si>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</si>
  <si>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</si>
  <si>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</si>
  <si>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</si>
  <si>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</si>
  <si>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</si>
  <si>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</si>
  <si>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</si>
  <si>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</si>
  <si>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</si>
  <si>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</si>
  <si>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</si>
  <si>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</si>
  <si>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</si>
  <si>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</si>
  <si>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</si>
  <si>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</si>
  <si>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</si>
  <si>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</si>
  <si>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</si>
  <si>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</si>
  <si>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</si>
  <si>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</si>
  <si>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</si>
  <si>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</si>
  <si>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</si>
  <si>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</si>
  <si>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</si>
  <si>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</si>
  <si>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</si>
  <si>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</si>
  <si>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</si>
  <si>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</si>
  <si>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</si>
  <si>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</si>
  <si>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</si>
  <si>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</si>
  <si>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</si>
  <si>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</si>
  <si>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</si>
  <si>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</si>
  <si>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</si>
  <si>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</si>
  <si>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</si>
  <si>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</si>
  <si>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</si>
  <si>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</si>
  <si>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</si>
  <si>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</si>
  <si>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</si>
  <si>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</si>
  <si>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</si>
  <si>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</si>
  <si>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</si>
  <si>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</si>
  <si>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</si>
  <si>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</si>
  <si>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</si>
  <si>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</si>
  <si>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</si>
  <si>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</si>
  <si>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</si>
  <si>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</si>
  <si>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</si>
  <si>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</si>
  <si>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</si>
  <si>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</si>
  <si>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</si>
  <si>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</si>
  <si>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</si>
  <si>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</si>
  <si>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</si>
  <si>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</si>
  <si>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</si>
  <si>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</si>
  <si>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</si>
  <si>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</si>
  <si>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</si>
  <si>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</si>
  <si>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</si>
  <si>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</si>
  <si>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</si>
  <si>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</si>
  <si>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</si>
  <si>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</si>
  <si>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</si>
  <si>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</si>
  <si>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</si>
  <si>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</si>
  <si>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</si>
  <si>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</si>
  <si>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</si>
  <si>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</si>
  <si>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</si>
  <si>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</si>
  <si>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</si>
  <si>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</si>
  <si>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</si>
  <si>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</si>
  <si>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</si>
  <si>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</si>
  <si>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</si>
  <si>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</si>
  <si>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</si>
  <si>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</si>
  <si>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</si>
  <si>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</si>
  <si>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</si>
  <si>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</si>
  <si>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</si>
  <si>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</si>
  <si>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</si>
  <si>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</si>
  <si>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</si>
  <si>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</si>
  <si>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</si>
  <si>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</si>
  <si>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</si>
  <si>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</si>
  <si>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</si>
  <si>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</si>
  <si>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</si>
  <si>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</si>
  <si>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</si>
  <si>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</si>
  <si>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</si>
  <si>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</si>
  <si>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</si>
  <si>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</si>
  <si>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</si>
  <si>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</si>
  <si>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</si>
  <si>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</si>
  <si>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</si>
  <si>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</si>
  <si>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</si>
  <si>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</si>
  <si>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</si>
  <si>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</si>
  <si>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</si>
  <si>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</si>
  <si>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</si>
  <si>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</si>
  <si>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</si>
  <si>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</si>
  <si>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</si>
  <si>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</si>
  <si>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</si>
  <si>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</si>
  <si>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</si>
  <si>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</si>
  <si>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</si>
  <si>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</si>
  <si>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</si>
  <si>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</si>
  <si>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</si>
  <si>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</si>
  <si>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</si>
  <si>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</si>
  <si>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</si>
  <si>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</si>
  <si>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</si>
  <si>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</si>
  <si>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</si>
  <si>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</si>
  <si>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</si>
  <si>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</si>
  <si>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</si>
  <si>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</si>
  <si>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</si>
  <si>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</si>
  <si>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</si>
  <si>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</si>
  <si>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</si>
  <si>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</si>
  <si>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</si>
  <si>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</si>
  <si>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</si>
  <si>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</si>
  <si>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</si>
  <si>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</si>
  <si>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</si>
  <si>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</si>
  <si>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</si>
  <si>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</si>
  <si>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</si>
  <si>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</si>
  <si>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</si>
  <si>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</si>
  <si>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</si>
  <si>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</si>
  <si>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</si>
  <si>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SMITH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</si>
  <si>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</si>
  <si>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</si>
  <si>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</si>
  <si>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</si>
  <si>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</si>
  <si>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</si>
  <si>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</si>
  <si>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</si>
  <si>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</si>
  <si>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</si>
  <si>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</si>
  <si>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</si>
  <si>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</si>
  <si>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</si>
  <si>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</si>
  <si>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</si>
  <si>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</si>
  <si>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</si>
  <si>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</si>
  <si>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</si>
  <si>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</si>
  <si>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</si>
  <si>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</si>
  <si>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</si>
  <si>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</si>
  <si>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</si>
  <si>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</si>
  <si>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</si>
  <si>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</si>
  <si>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</si>
  <si>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</si>
  <si>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</si>
  <si>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</si>
  <si>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</si>
  <si>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</si>
  <si>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</si>
  <si>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</si>
  <si>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</si>
  <si>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</si>
  <si>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</si>
  <si>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</si>
  <si>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</si>
  <si>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</si>
  <si>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</si>
  <si>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</si>
  <si>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</si>
  <si>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</si>
  <si>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</si>
  <si>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</si>
  <si>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</si>
  <si>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</si>
  <si>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</si>
  <si>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</si>
  <si>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</si>
  <si>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</si>
  <si>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</si>
  <si>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</si>
  <si>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</si>
  <si>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</si>
  <si>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</si>
  <si>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</si>
  <si>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</si>
  <si>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</si>
  <si>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</si>
  <si>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</si>
  <si>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</si>
  <si>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</si>
  <si>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</si>
  <si>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</si>
  <si>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</si>
  <si>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</si>
  <si>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</si>
  <si>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</si>
  <si>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</si>
  <si>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</si>
  <si>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</si>
  <si>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</si>
  <si>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</si>
  <si>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</si>
  <si>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</si>
  <si>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</si>
  <si>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</si>
  <si>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</si>
  <si>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</si>
  <si>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</si>
  <si>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</si>
  <si>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</si>
  <si>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</si>
  <si>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</si>
  <si>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</si>
  <si>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</si>
  <si>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</si>
  <si>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</si>
  <si>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</si>
  <si>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</si>
  <si>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</si>
  <si>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</si>
  <si>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</si>
  <si>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</si>
  <si>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</si>
  <si>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</si>
  <si>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</si>
  <si>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</si>
  <si>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</si>
  <si>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</si>
  <si>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</si>
  <si>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</si>
  <si>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</si>
  <si>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</si>
  <si>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</si>
  <si>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</si>
  <si>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</si>
  <si>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</si>
  <si>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</si>
  <si>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</si>
  <si>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</si>
  <si>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</si>
  <si>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</si>
  <si>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</si>
  <si>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</si>
  <si>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</si>
  <si>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</si>
  <si>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</si>
  <si>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</si>
  <si>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</si>
  <si>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</si>
  <si>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</si>
  <si>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</si>
  <si>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</si>
  <si>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</si>
  <si>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</si>
  <si>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</si>
  <si>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</si>
  <si>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</si>
  <si>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</si>
  <si>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</si>
  <si>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</si>
  <si>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</si>
  <si>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</si>
  <si>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</si>
  <si>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</si>
  <si>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</si>
  <si>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</si>
  <si>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</si>
  <si>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</si>
  <si>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</si>
  <si>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</si>
  <si>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</si>
  <si>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</si>
  <si>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</si>
  <si>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</si>
  <si>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</si>
  <si>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</si>
  <si>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</si>
  <si>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</si>
  <si>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</si>
  <si>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</si>
  <si>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</si>
  <si>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</si>
  <si>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</si>
  <si>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</si>
  <si>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</si>
  <si>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</si>
  <si>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</si>
  <si>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</si>
  <si>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</si>
  <si>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</si>
  <si>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</si>
  <si>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</si>
  <si>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</si>
  <si>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</si>
  <si>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</si>
  <si>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</si>
  <si>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</si>
  <si>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</si>
  <si>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</si>
  <si>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</si>
  <si>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</si>
  <si>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</si>
  <si>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</si>
  <si>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</si>
  <si>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</si>
  <si>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</si>
  <si>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</si>
  <si>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</si>
  <si>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</si>
  <si>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</si>
  <si>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</si>
  <si>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</si>
  <si>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</si>
  <si>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</si>
  <si>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</si>
  <si>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</si>
  <si>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</si>
  <si>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</si>
  <si>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</si>
  <si>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</si>
  <si>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</si>
  <si>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</si>
  <si>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</si>
  <si>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</si>
  <si>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</si>
  <si>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</si>
  <si>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</si>
  <si>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</si>
  <si>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</si>
  <si>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</si>
  <si>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</si>
  <si>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</si>
  <si>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</si>
  <si>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</si>
  <si>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</si>
  <si>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</si>
  <si>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</si>
  <si>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</si>
  <si>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</si>
  <si>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</si>
  <si>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</si>
  <si>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</si>
  <si>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</si>
  <si>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</si>
  <si>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</si>
  <si>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</si>
  <si>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</si>
  <si>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</si>
  <si>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</si>
  <si>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</si>
  <si>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</si>
  <si>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</si>
  <si>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</si>
  <si>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</si>
  <si>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</si>
  <si>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</si>
  <si>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</si>
  <si>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</si>
  <si>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</si>
  <si>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</si>
  <si>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</si>
  <si>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</si>
  <si>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</si>
  <si>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</si>
  <si>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</si>
  <si>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</si>
  <si>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</si>
  <si>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</si>
  <si>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</si>
  <si>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</si>
  <si>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</si>
  <si>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</si>
  <si>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</si>
  <si>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</si>
  <si>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</si>
  <si>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</si>
  <si>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</si>
  <si>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</si>
  <si>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</si>
  <si>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</si>
  <si>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</si>
  <si>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</si>
  <si>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</si>
  <si>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</si>
  <si>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</si>
  <si>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</si>
  <si>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</si>
  <si>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</si>
  <si>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</si>
  <si>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</si>
  <si>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EDDY GUZMAN NIEVES</t>
  </si>
  <si>
    <t>FARIS ALLALOUCHE</t>
  </si>
  <si>
    <t>DEMETRIUS</t>
  </si>
  <si>
    <t>NICKERSON</t>
  </si>
  <si>
    <t>084177de-a5cc-49bf-b1c7-917d71258640</t>
  </si>
  <si>
    <t>EDDY</t>
  </si>
  <si>
    <t>GUZMAN NIEVES</t>
  </si>
  <si>
    <t>45162ef8-7f97-4ba1-8370-275dd2130f11</t>
  </si>
  <si>
    <t>FARIS</t>
  </si>
  <si>
    <t>ALLALOUCHE</t>
  </si>
  <si>
    <t>63141f65-49cf-432b-b204-2bbd100d08f4</t>
  </si>
  <si>
    <t>ABDELRAHMAN GAFER</t>
  </si>
  <si>
    <t>ROBERT DAVIS</t>
  </si>
  <si>
    <t>RAMI AHMAD</t>
  </si>
  <si>
    <t>OLUWAYEMISI ORESANWO</t>
  </si>
  <si>
    <t>KHALIAH DUKES</t>
  </si>
  <si>
    <t>ABDELRAHMAN</t>
  </si>
  <si>
    <t>GAFER</t>
  </si>
  <si>
    <t>033c4965-61b0-423b-813e-e63c34785e05</t>
  </si>
  <si>
    <t>ROBERT</t>
  </si>
  <si>
    <t>DAVIS</t>
  </si>
  <si>
    <t>516e4e8e-7d72-4ad0-afc0-db0b1f5e2b21</t>
  </si>
  <si>
    <t>RAMI</t>
  </si>
  <si>
    <t>AHMAD</t>
  </si>
  <si>
    <t>d83ca27d-d6b8-46c4-bc5a-50a64c68dcd5</t>
  </si>
  <si>
    <t>OLUWAYEMISI</t>
  </si>
  <si>
    <t>ORESANWO</t>
  </si>
  <si>
    <t>e55be6f6-ea44-4082-9171-e4b9e543f025</t>
  </si>
  <si>
    <t>KHALIAH</t>
  </si>
  <si>
    <t>DUKES</t>
  </si>
  <si>
    <t>f2a05772-5214-443f-960b-fbb57370c1e1</t>
  </si>
  <si>
    <t>Required Hours</t>
  </si>
  <si>
    <t>Allowed Hours</t>
  </si>
  <si>
    <t>Payable Hours</t>
  </si>
  <si>
    <t>Extra hours</t>
  </si>
  <si>
    <t>Brookes Transportation, LLC</t>
  </si>
  <si>
    <t>Jara Trans LLC</t>
  </si>
  <si>
    <t>Joud LLC</t>
  </si>
  <si>
    <t>Melinio Transit</t>
  </si>
  <si>
    <t>MOAAZKO Transit LLC</t>
  </si>
  <si>
    <t>Nubiantod LLC</t>
  </si>
  <si>
    <t>Orion Transit, LLC</t>
  </si>
  <si>
    <t>Punctual Service LLC</t>
  </si>
  <si>
    <t>Quaker State Trans LLC</t>
  </si>
  <si>
    <t>Sabah SBH LLC</t>
  </si>
  <si>
    <t>Safe Drive Trans LLC</t>
  </si>
  <si>
    <t>Quick Stars LLC</t>
  </si>
  <si>
    <t>Shams Transportation LLC</t>
  </si>
  <si>
    <t>White Nile Transit</t>
  </si>
  <si>
    <t>Zahia LLC</t>
  </si>
  <si>
    <t>Approved Extra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</si>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</sst>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_(* #,##0_);_(* \(#,##0\);_(* &quot;-&quot;??_);_(@_)"/>
    <numFmt numFmtId="169" formatCode="m/d/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168" fontId="0" fillId="0" borderId="25" xfId="11" applyNumberFormat="1" applyFont="1" applyBorder="1" applyAlignment="1">
      <alignment horizontal="center"/>
    </xf>
    <xf numFmtId="168" fontId="0" fillId="2" borderId="25" xfId="11" applyNumberFormat="1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24" xfId="0" applyFill="1" applyBorder="1" applyAlignment="1">
      <alignment horizontal="center"/>
    </xf>
    <xf numFmtId="168" fontId="0" fillId="11" borderId="25" xfId="11" applyNumberFormat="1" applyFont="1" applyFill="1" applyBorder="1" applyAlignment="1">
      <alignment horizontal="center"/>
    </xf>
    <xf numFmtId="9" fontId="0" fillId="11" borderId="0" xfId="10" applyFont="1" applyFill="1"/>
    <xf numFmtId="0" fontId="0" fillId="11" borderId="26" xfId="0" applyFill="1" applyBorder="1"/>
    <xf numFmtId="0" fontId="0" fillId="11" borderId="27" xfId="0" applyFill="1" applyBorder="1"/>
    <xf numFmtId="0" fontId="0" fillId="11" borderId="27" xfId="0" applyFill="1" applyBorder="1" applyAlignment="1">
      <alignment horizontal="center"/>
    </xf>
    <xf numFmtId="168" fontId="0" fillId="0" borderId="25" xfId="11" applyNumberFormat="1" applyFont="1" applyFill="1" applyBorder="1" applyAlignment="1">
      <alignment horizontal="center"/>
    </xf>
    <xf numFmtId="9" fontId="0" fillId="0" borderId="0" xfId="10" applyFont="1" applyFill="1"/>
    <xf numFmtId="0" fontId="14" fillId="12" borderId="0" xfId="7" applyFill="1" applyAlignment="1">
      <alignment horizontal="left"/>
    </xf>
    <xf numFmtId="0" fontId="14" fillId="12" borderId="0" xfId="7" applyFill="1" applyAlignment="1">
      <alignment horizontal="center" vertical="center"/>
    </xf>
    <xf numFmtId="0" fontId="14" fillId="12" borderId="0" xfId="7" applyFill="1"/>
    <xf numFmtId="167" fontId="14" fillId="12" borderId="0" xfId="7" applyNumberFormat="1" applyFill="1" applyAlignment="1">
      <alignment horizontal="center"/>
    </xf>
    <xf numFmtId="167" fontId="14" fillId="12" borderId="0" xfId="7" quotePrefix="1" applyNumberFormat="1" applyFill="1" applyAlignment="1">
      <alignment horizontal="center"/>
    </xf>
    <xf numFmtId="167" fontId="14" fillId="12" borderId="0" xfId="6" applyNumberFormat="1" applyFont="1" applyFill="1" applyAlignment="1" applyProtection="1">
      <alignment horizontal="center"/>
    </xf>
    <xf numFmtId="167" fontId="14" fillId="12" borderId="0" xfId="9" applyNumberFormat="1" applyFont="1" applyFill="1" applyAlignment="1" applyProtection="1">
      <alignment horizontal="center"/>
    </xf>
    <xf numFmtId="169" fontId="0" fillId="0" borderId="0" xfId="0" applyNumberFormat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8" formatCode="_(* #,##0_);_(* \(#,##0\);_(* &quot;-&quot;??_);_(@_)"/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rgb="FFFCE4D6"/>
          <bgColor rgb="FF000000"/>
        </patternFill>
      </fill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numFmt numFmtId="169" formatCode="m/d/yyyy"/>
    </dxf>
    <dxf>
      <numFmt numFmtId="0" formatCode="General"/>
    </dxf>
    <dxf>
      <numFmt numFmtId="0" formatCode="General"/>
    </dxf>
    <dxf>
      <numFmt numFmtId="16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83620254633" createdVersion="8" refreshedVersion="8" minRefreshableVersion="3" recordCount="41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minValue="35.159999999999997" maxValue="800"/>
    </cacheField>
    <cacheField name="Online Hours" numFmtId="0">
      <sharedItems containsSemiMixedTypes="0" containsString="0" containsNumber="1" minValue="12.23" maxValue="761.53999999999985"/>
    </cacheField>
    <cacheField name="Payable Online Hours" numFmtId="0">
      <sharedItems containsSemiMixedTypes="0" containsString="0" containsNumber="1" minValue="12.23" maxValue="761.53999999999985"/>
    </cacheField>
    <cacheField name="% of Hours to Required" numFmtId="0">
      <sharedItems containsSemiMixedTypes="0" containsString="0" containsNumber="1" minValue="0.24460000000000001" maxValue="1"/>
    </cacheField>
    <cacheField name="Core Hours Rev" numFmtId="0">
      <sharedItems containsSemiMixedTypes="0" containsString="0" containsNumber="1" minValue="0" maxValue="17077.534500000002"/>
    </cacheField>
    <cacheField name="CHI Tier 1 Rev" numFmtId="0">
      <sharedItems containsSemiMixedTypes="0" containsString="0" containsNumber="1" minValue="0" maxValue="3749.724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1313.6564999999998"/>
    </cacheField>
    <cacheField name="Acceptance Rate" numFmtId="0">
      <sharedItems containsSemiMixedTypes="0" containsString="0" containsNumber="1" minValue="0.75184275184275196" maxValue="1"/>
    </cacheField>
    <cacheField name="Cancellation Rate" numFmtId="0">
      <sharedItems containsSemiMixedTypes="0" containsString="0" containsNumber="1" minValue="0" maxValue="6.6666666666666693E-2"/>
    </cacheField>
    <cacheField name="Tier 1 ARDCRI KPI Rev" numFmtId="0">
      <sharedItems containsSemiMixedTypes="0" containsString="0" containsNumber="1" minValue="0" maxValue="1874.8620000000001"/>
    </cacheField>
    <cacheField name="Tier 2 ARDCRI KPI Rev" numFmtId="0">
      <sharedItems containsSemiMixedTypes="0" containsString="0" containsNumber="1" minValue="0" maxValue="1313.6565000000001"/>
    </cacheField>
    <cacheField name="Utilization%" numFmtId="0">
      <sharedItems containsSemiMixedTypes="0" containsString="0" containsNumber="1" minValue="0.51267212133306705" maxValue="0.926847097092524"/>
    </cacheField>
    <cacheField name="Utilization Rev" numFmtId="0">
      <sharedItems containsSemiMixedTypes="0" containsString="0" containsNumber="1" minValue="0" maxValue="1313.6565000000001"/>
    </cacheField>
    <cacheField name="Driver Tips" numFmtId="0">
      <sharedItems containsSemiMixedTypes="0" containsString="0" containsNumber="1" minValue="0" maxValue="1076.6199999999999"/>
    </cacheField>
    <cacheField name="Tolls" numFmtId="0">
      <sharedItems containsSemiMixedTypes="0" containsString="0" containsNumber="1" minValue="0" maxValue="101.79"/>
    </cacheField>
    <cacheField name="CHI Non-KPI" numFmtId="0">
      <sharedItems containsSemiMixedTypes="0" containsString="0" containsNumber="1" minValue="0" maxValue="5998.76"/>
    </cacheField>
    <cacheField name="Total Rev" numFmtId="0">
      <sharedItems containsSemiMixedTypes="0" containsString="0" containsNumber="1" minValue="202.72" maxValue="21955.934000000001"/>
    </cacheField>
    <cacheField name="Required" numFmtId="0">
      <sharedItems containsSemiMixedTypes="0" containsString="0" containsNumber="1" minValue="35.159999999999997" maxValue="800"/>
    </cacheField>
    <cacheField name="CHI Rev" numFmtId="0">
      <sharedItems containsSemiMixedTypes="0" containsString="0" containsNumber="1" minValue="0" maxValue="3749.7240000000002"/>
    </cacheField>
    <cacheField name="Tier 1 ARDCRI KPI" numFmtId="0">
      <sharedItems containsSemiMixedTypes="0" containsString="0" containsNumber="1" minValue="0" maxValue="568.14"/>
    </cacheField>
    <cacheField name="Tier 2 ARDCRI KPI" numFmtId="0">
      <sharedItems containsSemiMixedTypes="0" containsString="0" containsNumber="1" minValue="0" maxValue="761.53999999999985"/>
    </cacheField>
    <cacheField name="Total Expired Offers" numFmtId="0">
      <sharedItems containsSemiMixedTypes="0" containsString="0" containsNumber="1" containsInteger="1" minValue="0" maxValue="117"/>
    </cacheField>
    <cacheField name="Total ARDCRI KPI Rev" numFmtId="0">
      <sharedItems containsSemiMixedTypes="0" containsString="0" containsNumber="1" minValue="0" maxValue="1874.8620000000001"/>
    </cacheField>
    <cacheField name="Approved Extra Hours" numFmtId="0">
      <sharedItems containsSemiMixedTypes="0" containsString="0" containsNumber="1" containsInteger="1" minValue="0" maxValue="35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unt="23">
        <s v="SAFE DRIVE TRANS LLC"/>
        <s v="NUBIANTOD LLC"/>
        <s v="SHAMS TRANSPORTATION LLC"/>
        <s v="ZAHIA LLC"/>
        <s v="MOAAZKO TRANSIT LLC"/>
        <s v="QUAKER STATE TRANS LLC"/>
        <s v="JARA TRANS LLC"/>
        <s v="GIANNA TRANSPORT LLC"/>
        <s v="QUICK STARS LLC"/>
        <s v="SABAH SBH LLC"/>
        <s v="TIBSHA TRANSPORTATION"/>
        <s v="PUNCTUAL SERVICE LLC"/>
        <s v="ASKR AUTO INC"/>
        <s v="MELINIO TRANSIT"/>
        <s v="UMDOR LIMO SERVICES LLC"/>
        <s v="ABU ANNE LLC"/>
        <s v="ORION TRANSIT, LLC"/>
        <s v="WHITE NILE TRANSIT"/>
        <s v="ABOU RANI TRANSIT LLC"/>
        <s v="BROOKES TRANSPORTATION, LLC"/>
        <s v="JOUD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16" maxValue="1418"/>
    </cacheField>
    <cacheField name="Total Supply Hours" numFmtId="0">
      <sharedItems containsSemiMixedTypes="0" containsString="0" containsNumber="1" minValue="12.23" maxValue="769.45999999999992"/>
    </cacheField>
    <cacheField name="Paused Hours" numFmtId="0">
      <sharedItems containsSemiMixedTypes="0" containsString="0" containsNumber="1" minValue="0" maxValue="19.22"/>
    </cacheField>
    <cacheField name="WAV Trips" numFmtId="0">
      <sharedItems containsSemiMixedTypes="0" containsString="0" containsNumber="1" containsInteger="1" minValue="1" maxValue="272"/>
    </cacheField>
    <cacheField name="Non WAV Trips" numFmtId="0">
      <sharedItems containsSemiMixedTypes="0" containsString="0" containsNumber="1" containsInteger="1" minValue="15" maxValue="1185"/>
    </cacheField>
    <cacheField name="Utilized Hours" numFmtId="0">
      <sharedItems containsSemiMixedTypes="0" containsString="0" containsNumber="1" minValue="7.75" maxValue="681.68000000000006"/>
    </cacheField>
    <cacheField name="Open Hours" numFmtId="0">
      <sharedItems containsSemiMixedTypes="0" containsString="0" containsNumber="1" minValue="3.77" maxValue="140.32"/>
    </cacheField>
    <cacheField name="Core Total Supply Hours" numFmtId="0">
      <sharedItems containsSemiMixedTypes="0" containsString="0" containsNumber="1" minValue="0.47" maxValue="275.06"/>
    </cacheField>
    <cacheField name="Core Utilized Hours" numFmtId="0">
      <sharedItems containsSemiMixedTypes="0" containsString="0" containsNumber="1" minValue="0.01" maxValue="251.04"/>
    </cacheField>
    <cacheField name="Trips Per Hours" numFmtId="0">
      <sharedItems containsSemiMixedTypes="0" containsString="0" containsNumber="1" minValue="0.8" maxValue="49.99"/>
    </cacheField>
    <cacheField name="Total Accepts" numFmtId="0">
      <sharedItems containsSemiMixedTypes="0" containsString="0" containsNumber="1" containsInteger="1" minValue="20" maxValue="1681"/>
    </cacheField>
    <cacheField name="Total Rejects" numFmtId="0">
      <sharedItems containsSemiMixedTypes="0" containsString="0" containsNumber="1" containsInteger="1" minValue="0" maxValue="138"/>
    </cacheField>
    <cacheField name="Total Cancels" numFmtId="0">
      <sharedItems containsSemiMixedTypes="0" containsString="0" containsNumber="1" containsInteger="1" minValue="0" maxValue="64"/>
    </cacheField>
    <cacheField name="KPI Hours" numFmtId="0">
      <sharedItems containsSemiMixedTypes="0" containsString="0" containsNumber="1" minValue="0" maxValue="511.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5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759.67"/>
    </cacheField>
    <cacheField name="Driver Earnings Excl Tips" numFmtId="0">
      <sharedItems containsSemiMixedTypes="0" containsString="0" containsNumber="1" minValue="193.96" maxValue="15682.53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50"/>
    <n v="50.34"/>
    <n v="50"/>
    <n v="1"/>
    <n v="1056.25"/>
    <n v="325"/>
    <n v="0"/>
    <n v="0"/>
    <n v="1"/>
    <n v="0"/>
    <n v="162.5"/>
    <n v="0"/>
    <n v="0.67640047675804504"/>
    <n v="0"/>
    <n v="24"/>
    <n v="0"/>
    <n v="0"/>
    <n v="1567.75"/>
    <n v="50"/>
    <n v="325"/>
    <n v="50"/>
    <n v="0"/>
    <n v="0"/>
    <n v="162.5"/>
    <n v="0"/>
    <d v="2024-12-30T00:00:00"/>
    <x v="0"/>
    <n v="67"/>
    <n v="50.34"/>
    <n v="0"/>
    <n v="10"/>
    <n v="57"/>
    <n v="34.049999999999997"/>
    <n v="16.3"/>
    <n v="19.940000000000001"/>
    <n v="9.9600000000000009"/>
    <n v="1.33"/>
    <n v="75"/>
    <n v="0"/>
    <n v="0"/>
    <n v="50.3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9.04"/>
  </r>
  <r>
    <x v="0"/>
    <n v="52"/>
    <n v="52.04"/>
    <n v="52"/>
    <n v="1"/>
    <n v="1098.5"/>
    <n v="338"/>
    <n v="0"/>
    <n v="0"/>
    <n v="1"/>
    <n v="0"/>
    <n v="169"/>
    <n v="0"/>
    <n v="0.73712528823981605"/>
    <n v="84.5"/>
    <n v="28"/>
    <n v="0"/>
    <n v="0"/>
    <n v="1718"/>
    <n v="50"/>
    <n v="338"/>
    <n v="52"/>
    <n v="0"/>
    <n v="0"/>
    <n v="169"/>
    <n v="2"/>
    <d v="2024-12-30T00:00:00"/>
    <x v="1"/>
    <n v="65"/>
    <n v="52.31"/>
    <n v="0.27"/>
    <n v="30"/>
    <n v="35"/>
    <n v="38.36"/>
    <n v="13.69"/>
    <n v="46.75"/>
    <n v="34.979999999999997"/>
    <n v="1.24"/>
    <n v="71"/>
    <n v="0"/>
    <n v="0"/>
    <n v="52.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3.43"/>
  </r>
  <r>
    <x v="0"/>
    <n v="105"/>
    <n v="103.31"/>
    <n v="103.31"/>
    <n v="1"/>
    <n v="2182.4238"/>
    <n v="671.51499999999999"/>
    <n v="0"/>
    <n v="0"/>
    <n v="0.99484536082474195"/>
    <n v="3.10880829015544E-2"/>
    <n v="335.75749999999999"/>
    <n v="0"/>
    <n v="0.75471880747265496"/>
    <n v="167.87880000000001"/>
    <n v="121.36"/>
    <n v="0"/>
    <n v="0"/>
    <n v="3478.9349999999999"/>
    <n v="100"/>
    <n v="671.51499999999999"/>
    <n v="103.31"/>
    <n v="0"/>
    <n v="1"/>
    <n v="335.75749999999999"/>
    <n v="5"/>
    <d v="2024-12-30T00:00:00"/>
    <x v="2"/>
    <n v="168"/>
    <n v="103.32"/>
    <n v="0.01"/>
    <n v="32"/>
    <n v="136"/>
    <n v="77.97"/>
    <n v="25.34"/>
    <n v="48.47"/>
    <n v="33.79"/>
    <n v="3.25"/>
    <n v="193"/>
    <n v="0"/>
    <n v="6"/>
    <n v="103.31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854.1799999999998"/>
  </r>
  <r>
    <x v="0"/>
    <n v="455"/>
    <n v="455.58000000000004"/>
    <n v="455"/>
    <n v="1"/>
    <n v="9611.875"/>
    <n v="2957.5"/>
    <n v="0"/>
    <n v="0"/>
    <n v="0.83912483912483904"/>
    <n v="2.4539877300613501E-2"/>
    <n v="0"/>
    <n v="0"/>
    <n v="0.69197506475262305"/>
    <n v="0"/>
    <n v="508.34"/>
    <n v="0"/>
    <n v="0"/>
    <n v="13077.715"/>
    <n v="425"/>
    <n v="2957.5"/>
    <n v="0"/>
    <n v="0"/>
    <n v="117"/>
    <n v="0"/>
    <n v="30"/>
    <d v="2024-12-30T00:00:00"/>
    <x v="3"/>
    <n v="582"/>
    <n v="474.79999999999995"/>
    <n v="19.22"/>
    <n v="117"/>
    <n v="465"/>
    <n v="315.25"/>
    <n v="140.32"/>
    <n v="215.27"/>
    <n v="158.34"/>
    <n v="12.13"/>
    <n v="652"/>
    <n v="8"/>
    <n v="16"/>
    <n v="244.61"/>
    <n v="0.1"/>
    <n v="0.05"/>
    <n v="0.7"/>
    <n v="32.5"/>
    <n v="0"/>
    <n v="0.65"/>
    <n v="0.98"/>
    <n v="0.96"/>
    <n v="0.94"/>
    <n v="0.2"/>
    <n v="0.1"/>
    <n v="0.05"/>
    <n v="0.05"/>
    <n v="425"/>
    <n v="0"/>
    <n v="455"/>
    <n v="7118.41"/>
  </r>
  <r>
    <x v="0"/>
    <n v="60"/>
    <n v="60.13"/>
    <n v="60"/>
    <n v="1"/>
    <n v="1267.5"/>
    <n v="390"/>
    <n v="0"/>
    <n v="0"/>
    <n v="1"/>
    <n v="0"/>
    <n v="195"/>
    <n v="0"/>
    <n v="0.66322966905039105"/>
    <n v="0"/>
    <n v="20.07"/>
    <n v="0"/>
    <n v="0"/>
    <n v="1872.57"/>
    <n v="50"/>
    <n v="390"/>
    <n v="60"/>
    <n v="0"/>
    <n v="0"/>
    <n v="195"/>
    <n v="10"/>
    <d v="2024-12-30T00:00:00"/>
    <x v="4"/>
    <n v="66"/>
    <n v="60.13"/>
    <n v="0"/>
    <n v="16"/>
    <n v="50"/>
    <n v="39.880000000000003"/>
    <n v="20.239999999999998"/>
    <n v="36.22"/>
    <n v="25.09"/>
    <n v="1.1000000000000001"/>
    <n v="73"/>
    <n v="0"/>
    <n v="0"/>
    <n v="60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0.71"/>
  </r>
  <r>
    <x v="0"/>
    <n v="160"/>
    <n v="154.14999999999998"/>
    <n v="154.14999999999998"/>
    <n v="1"/>
    <n v="3256.4187999999999"/>
    <n v="1001.9749999999999"/>
    <n v="0"/>
    <n v="0"/>
    <n v="0.89491525423728802"/>
    <n v="1.13636363636364E-2"/>
    <n v="0"/>
    <n v="0"/>
    <n v="0.75822251054167999"/>
    <n v="250.49379999999999"/>
    <n v="136.06"/>
    <n v="0"/>
    <n v="0"/>
    <n v="4644.9475000000002"/>
    <n v="150"/>
    <n v="1001.975"/>
    <n v="0"/>
    <n v="0"/>
    <n v="29"/>
    <n v="0"/>
    <n v="10"/>
    <d v="2024-12-30T00:00:00"/>
    <x v="5"/>
    <n v="230"/>
    <n v="154.46"/>
    <n v="0.31"/>
    <n v="56"/>
    <n v="174"/>
    <n v="116.88"/>
    <n v="37.269999999999996"/>
    <n v="79.22"/>
    <n v="60.82"/>
    <n v="4.4800000000000004"/>
    <n v="264"/>
    <n v="2"/>
    <n v="3"/>
    <n v="100.25"/>
    <n v="0.1"/>
    <n v="0.05"/>
    <n v="0.7"/>
    <n v="32.5"/>
    <n v="0"/>
    <n v="0.65"/>
    <n v="0.98"/>
    <n v="0.96"/>
    <n v="0.94"/>
    <n v="0.2"/>
    <n v="0.1"/>
    <n v="0.05"/>
    <n v="0.05"/>
    <n v="150"/>
    <n v="0"/>
    <n v="154.14999999999998"/>
    <n v="2687.6400000000003"/>
  </r>
  <r>
    <x v="0"/>
    <n v="60"/>
    <n v="60.370000000000005"/>
    <n v="60"/>
    <n v="1"/>
    <n v="1267.5"/>
    <n v="390"/>
    <n v="0"/>
    <n v="0"/>
    <n v="0.99074074074074103"/>
    <n v="9.3457943925233603E-3"/>
    <n v="195"/>
    <n v="0"/>
    <n v="0.70101043564684395"/>
    <n v="97.5"/>
    <n v="22"/>
    <n v="0"/>
    <n v="0"/>
    <n v="1972"/>
    <n v="50"/>
    <n v="390"/>
    <n v="60"/>
    <n v="0"/>
    <n v="1"/>
    <n v="195"/>
    <n v="10"/>
    <d v="2024-12-30T00:00:00"/>
    <x v="6"/>
    <n v="87"/>
    <n v="60.45"/>
    <n v="0.08"/>
    <n v="12"/>
    <n v="75"/>
    <n v="42.32"/>
    <n v="18.04"/>
    <n v="16.329999999999998"/>
    <n v="9.77"/>
    <n v="1.44"/>
    <n v="107"/>
    <n v="0"/>
    <n v="1"/>
    <n v="60.37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41.25"/>
  </r>
  <r>
    <x v="0"/>
    <n v="42.01"/>
    <n v="42.01"/>
    <n v="42.01"/>
    <n v="1"/>
    <n v="887.46119999999996"/>
    <n v="273.065"/>
    <n v="0"/>
    <n v="0"/>
    <n v="1"/>
    <n v="0"/>
    <n v="136.5325"/>
    <n v="0"/>
    <n v="0.78362294691740098"/>
    <n v="68.266199999999998"/>
    <n v="64"/>
    <n v="0"/>
    <n v="0"/>
    <n v="1429.325"/>
    <n v="42.01"/>
    <n v="273.065"/>
    <n v="42.01"/>
    <n v="0"/>
    <n v="0"/>
    <n v="136.5325"/>
    <n v="0"/>
    <d v="2024-12-30T00:00:00"/>
    <x v="7"/>
    <n v="66"/>
    <n v="50.01"/>
    <n v="8"/>
    <n v="14"/>
    <n v="52"/>
    <n v="32.92"/>
    <n v="9.1"/>
    <n v="20.77"/>
    <n v="12.63"/>
    <n v="1.32"/>
    <n v="64"/>
    <n v="0"/>
    <n v="0"/>
    <n v="42.01"/>
    <n v="0.1"/>
    <n v="0.05"/>
    <n v="0.7"/>
    <n v="32.5"/>
    <n v="0"/>
    <n v="0.65"/>
    <n v="0.98"/>
    <n v="0.96"/>
    <n v="0.94"/>
    <n v="0.2"/>
    <n v="0.1"/>
    <n v="0.05"/>
    <n v="0.05"/>
    <n v="42"/>
    <n v="0"/>
    <n v="0"/>
    <n v="843.4"/>
  </r>
  <r>
    <x v="0"/>
    <n v="50"/>
    <n v="49.51"/>
    <n v="49.51"/>
    <n v="0.99019999999999997"/>
    <n v="1045.8987999999999"/>
    <n v="321.815"/>
    <n v="0"/>
    <n v="0"/>
    <n v="1"/>
    <n v="1.8181818181818198E-2"/>
    <n v="160.9075"/>
    <n v="0"/>
    <n v="0.55423146839022397"/>
    <n v="0"/>
    <n v="40.5"/>
    <n v="0"/>
    <n v="0"/>
    <n v="1569.1212"/>
    <n v="50"/>
    <n v="321.815"/>
    <n v="49.51"/>
    <n v="0"/>
    <n v="0"/>
    <n v="160.9075"/>
    <n v="0"/>
    <d v="2024-12-30T00:00:00"/>
    <x v="8"/>
    <n v="52"/>
    <n v="49.51"/>
    <n v="0"/>
    <n v="3"/>
    <n v="49"/>
    <n v="27.44"/>
    <n v="22.07"/>
    <n v="6.21"/>
    <n v="3.43"/>
    <n v="1.05"/>
    <n v="55"/>
    <n v="0"/>
    <n v="1"/>
    <n v="49.5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0.42999999999995"/>
  </r>
  <r>
    <x v="0"/>
    <n v="50"/>
    <n v="49.95"/>
    <n v="49.95"/>
    <n v="0.999"/>
    <n v="1055.1938"/>
    <n v="324.67500000000001"/>
    <n v="0"/>
    <n v="0"/>
    <n v="1"/>
    <n v="0"/>
    <n v="162.33750000000001"/>
    <n v="0"/>
    <n v="0.61421421421421396"/>
    <n v="0"/>
    <n v="46"/>
    <n v="0"/>
    <n v="0"/>
    <n v="1588.2062000000001"/>
    <n v="50"/>
    <n v="324.67500000000001"/>
    <n v="49.95"/>
    <n v="0"/>
    <n v="0"/>
    <n v="162.33750000000001"/>
    <n v="0"/>
    <d v="2024-12-30T00:00:00"/>
    <x v="9"/>
    <n v="63"/>
    <n v="50"/>
    <n v="0.05"/>
    <n v="9"/>
    <n v="54"/>
    <n v="30.68"/>
    <n v="19.28"/>
    <n v="15.85"/>
    <n v="7.91"/>
    <n v="1.26"/>
    <n v="70"/>
    <n v="0"/>
    <n v="0"/>
    <n v="49.9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0.1"/>
  </r>
  <r>
    <x v="0"/>
    <n v="60"/>
    <n v="60.190000000000005"/>
    <n v="60"/>
    <n v="1"/>
    <n v="1267.5"/>
    <n v="390"/>
    <n v="0"/>
    <n v="0"/>
    <n v="1"/>
    <n v="1.1111111111111099E-2"/>
    <n v="195"/>
    <n v="0"/>
    <n v="0.63864429307193904"/>
    <n v="0"/>
    <n v="28"/>
    <n v="0"/>
    <n v="0"/>
    <n v="1880.5"/>
    <n v="50"/>
    <n v="390"/>
    <n v="60"/>
    <n v="0"/>
    <n v="0"/>
    <n v="195"/>
    <n v="10"/>
    <d v="2024-12-30T00:00:00"/>
    <x v="10"/>
    <n v="81"/>
    <n v="60.2"/>
    <n v="0.01"/>
    <n v="10"/>
    <n v="71"/>
    <n v="38.44"/>
    <n v="21.76"/>
    <n v="38.4"/>
    <n v="25.32"/>
    <n v="1.35"/>
    <n v="90"/>
    <n v="0"/>
    <n v="1"/>
    <n v="60.19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02"/>
  </r>
  <r>
    <x v="0"/>
    <n v="50"/>
    <n v="12.23"/>
    <n v="12.23"/>
    <n v="0.24460000000000001"/>
    <n v="0"/>
    <n v="0"/>
    <n v="0"/>
    <n v="0"/>
    <n v="0.952380952380952"/>
    <n v="0.05"/>
    <n v="0"/>
    <n v="0"/>
    <n v="0.63368765331152899"/>
    <n v="0"/>
    <n v="0"/>
    <n v="0"/>
    <n v="202.72"/>
    <n v="202.72"/>
    <n v="50"/>
    <n v="0"/>
    <n v="0"/>
    <n v="12.23"/>
    <n v="0"/>
    <n v="0"/>
    <n v="0"/>
    <d v="2024-12-30T00:00:00"/>
    <x v="11"/>
    <n v="16"/>
    <n v="12.23"/>
    <n v="0"/>
    <n v="1"/>
    <n v="15"/>
    <n v="7.75"/>
    <n v="4.47"/>
    <n v="1.17"/>
    <n v="0.61"/>
    <n v="1.31"/>
    <n v="20"/>
    <n v="1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202.72"/>
  </r>
  <r>
    <x v="0"/>
    <n v="106"/>
    <n v="105.23"/>
    <n v="105.23"/>
    <n v="1"/>
    <n v="2222.9838"/>
    <n v="683.995"/>
    <n v="0"/>
    <n v="0"/>
    <n v="1"/>
    <n v="2.0547945205479399E-2"/>
    <n v="341.9975"/>
    <n v="0"/>
    <n v="0.67746840254680196"/>
    <n v="0"/>
    <n v="94.3"/>
    <n v="0"/>
    <n v="0"/>
    <n v="3343.2761999999998"/>
    <n v="100"/>
    <n v="683.995"/>
    <n v="105.23"/>
    <n v="0"/>
    <n v="0"/>
    <n v="341.9975"/>
    <n v="6"/>
    <d v="2024-12-30T00:00:00"/>
    <x v="12"/>
    <n v="125"/>
    <n v="105.23"/>
    <n v="0"/>
    <n v="28"/>
    <n v="97"/>
    <n v="71.290000000000006"/>
    <n v="33.94"/>
    <n v="50.04"/>
    <n v="36.68"/>
    <n v="2.3600000000000003"/>
    <n v="146"/>
    <n v="0"/>
    <n v="3"/>
    <n v="105.2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635.8"/>
  </r>
  <r>
    <x v="0"/>
    <n v="485"/>
    <n v="483.51"/>
    <n v="483.51"/>
    <n v="0.99692783505154603"/>
    <n v="10365.0039"/>
    <n v="3189.2319600000001"/>
    <n v="0"/>
    <n v="0"/>
    <n v="0.98743961352656995"/>
    <n v="1.8590998043052798E-2"/>
    <n v="1594.616"/>
    <n v="0"/>
    <n v="0.90151186118177495"/>
    <n v="797.30799999999999"/>
    <n v="627.20000000000005"/>
    <n v="0"/>
    <n v="0"/>
    <n v="16573.359899999999"/>
    <n v="485"/>
    <n v="3189.232"/>
    <n v="483.51"/>
    <n v="0"/>
    <n v="4"/>
    <n v="1594.616"/>
    <n v="0"/>
    <d v="2024-12-30T00:00:00"/>
    <x v="13"/>
    <n v="877"/>
    <n v="492.09000000000003"/>
    <n v="8.58"/>
    <n v="210"/>
    <n v="667"/>
    <n v="435.89"/>
    <n v="47.610000000000007"/>
    <n v="243.62"/>
    <n v="216.91000000000003"/>
    <n v="19.659999999999997"/>
    <n v="1022"/>
    <n v="9"/>
    <n v="19"/>
    <n v="436.15"/>
    <n v="0.1"/>
    <n v="0.05"/>
    <n v="0.7"/>
    <n v="32.979999999999997"/>
    <n v="0"/>
    <n v="0.65"/>
    <n v="0.98"/>
    <n v="0.96"/>
    <n v="0.94"/>
    <n v="0.2"/>
    <n v="0.1"/>
    <n v="0.05"/>
    <n v="0.05"/>
    <n v="485"/>
    <n v="0"/>
    <n v="0"/>
    <n v="10148.430000000002"/>
  </r>
  <r>
    <x v="0"/>
    <n v="85"/>
    <n v="85.63"/>
    <n v="85"/>
    <n v="1"/>
    <n v="1795.625"/>
    <n v="552.5"/>
    <n v="0"/>
    <n v="0"/>
    <n v="0.97972972972973005"/>
    <n v="0"/>
    <n v="276.25"/>
    <n v="0"/>
    <n v="0.77694733154268403"/>
    <n v="138.125"/>
    <n v="102.76"/>
    <n v="0"/>
    <n v="0"/>
    <n v="2865.26"/>
    <n v="50"/>
    <n v="552.5"/>
    <n v="85"/>
    <n v="0"/>
    <n v="3"/>
    <n v="276.25"/>
    <n v="35"/>
    <d v="2024-12-30T00:00:00"/>
    <x v="14"/>
    <n v="148"/>
    <n v="85.75"/>
    <n v="0.12"/>
    <n v="14"/>
    <n v="134"/>
    <n v="66.53"/>
    <n v="19.09"/>
    <n v="13.81"/>
    <n v="8.59"/>
    <n v="1.73"/>
    <n v="145"/>
    <n v="0"/>
    <n v="0"/>
    <n v="85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49.36"/>
  </r>
  <r>
    <x v="0"/>
    <n v="50"/>
    <n v="50.11"/>
    <n v="50"/>
    <n v="1"/>
    <n v="1056.25"/>
    <n v="325"/>
    <n v="0"/>
    <n v="0"/>
    <n v="1"/>
    <n v="1.5625E-2"/>
    <n v="162.5"/>
    <n v="0"/>
    <n v="0.51267212133306705"/>
    <n v="0"/>
    <n v="44"/>
    <n v="0"/>
    <n v="0"/>
    <n v="1587.75"/>
    <n v="50"/>
    <n v="325"/>
    <n v="50"/>
    <n v="0"/>
    <n v="0"/>
    <n v="162.5"/>
    <n v="0"/>
    <d v="2024-12-30T00:00:00"/>
    <x v="15"/>
    <n v="50"/>
    <n v="50.11"/>
    <n v="0"/>
    <n v="10"/>
    <n v="40"/>
    <n v="25.69"/>
    <n v="24.42"/>
    <n v="37.54"/>
    <n v="19.12"/>
    <n v="1"/>
    <n v="64"/>
    <n v="0"/>
    <n v="1"/>
    <n v="50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58.12"/>
  </r>
  <r>
    <x v="0"/>
    <n v="540"/>
    <n v="533.29"/>
    <n v="533.29"/>
    <n v="0.98757407407407405"/>
    <n v="11439.0705"/>
    <n v="3519.7139999999999"/>
    <n v="0"/>
    <n v="0"/>
    <n v="0.97360406091370599"/>
    <n v="3.1282586027111599E-2"/>
    <n v="1759.857"/>
    <n v="0"/>
    <n v="0.799358697894204"/>
    <n v="879.92849999999999"/>
    <n v="765.39"/>
    <n v="0"/>
    <n v="0"/>
    <n v="18363.96"/>
    <n v="540"/>
    <n v="3519.7139999999999"/>
    <n v="533.29"/>
    <n v="0"/>
    <n v="12"/>
    <n v="1759.857"/>
    <n v="0"/>
    <d v="2024-12-30T00:00:00"/>
    <x v="16"/>
    <n v="834"/>
    <n v="545"/>
    <n v="11.710000000000003"/>
    <n v="153"/>
    <n v="681"/>
    <n v="426.29"/>
    <n v="106.96"/>
    <n v="264.64"/>
    <n v="198"/>
    <n v="26.880000000000003"/>
    <n v="959"/>
    <n v="14"/>
    <n v="30"/>
    <n v="390.59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806.239999999998"/>
  </r>
  <r>
    <x v="0"/>
    <n v="50"/>
    <n v="51.39"/>
    <n v="50"/>
    <n v="1"/>
    <n v="1056.25"/>
    <n v="325"/>
    <n v="0"/>
    <n v="0"/>
    <n v="0.98630136986301398"/>
    <n v="0"/>
    <n v="162.5"/>
    <n v="0"/>
    <n v="0.62949990270480605"/>
    <n v="0"/>
    <n v="59.19"/>
    <n v="0"/>
    <n v="0"/>
    <n v="1602.94"/>
    <n v="50"/>
    <n v="325"/>
    <n v="50"/>
    <n v="0"/>
    <n v="1"/>
    <n v="162.5"/>
    <n v="0"/>
    <d v="2024-12-30T00:00:00"/>
    <x v="17"/>
    <n v="68"/>
    <n v="51.88"/>
    <n v="0.49"/>
    <n v="12"/>
    <n v="56"/>
    <n v="32.35"/>
    <n v="19.03"/>
    <n v="18.829999999999998"/>
    <n v="12.28"/>
    <n v="1.31"/>
    <n v="72"/>
    <n v="0"/>
    <n v="0"/>
    <n v="51.3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2.63"/>
  </r>
  <r>
    <x v="0"/>
    <n v="50"/>
    <n v="50.59"/>
    <n v="50"/>
    <n v="1"/>
    <n v="1056.25"/>
    <n v="325"/>
    <n v="0"/>
    <n v="0"/>
    <n v="0.98795180722891596"/>
    <n v="2.4390243902439001E-2"/>
    <n v="162.5"/>
    <n v="0"/>
    <n v="0.78829808262502499"/>
    <n v="81.25"/>
    <n v="49.12"/>
    <n v="0"/>
    <n v="0"/>
    <n v="1674.12"/>
    <n v="50"/>
    <n v="325"/>
    <n v="50"/>
    <n v="0"/>
    <n v="1"/>
    <n v="162.5"/>
    <n v="0"/>
    <d v="2024-12-30T00:00:00"/>
    <x v="18"/>
    <n v="74"/>
    <n v="50.59"/>
    <n v="0"/>
    <n v="23"/>
    <n v="51"/>
    <n v="39.880000000000003"/>
    <n v="10.71"/>
    <n v="40.590000000000003"/>
    <n v="32.53"/>
    <n v="1.46"/>
    <n v="82"/>
    <n v="0"/>
    <n v="2"/>
    <n v="50.5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45.9"/>
  </r>
  <r>
    <x v="0"/>
    <n v="800"/>
    <n v="759.67"/>
    <n v="759.67"/>
    <n v="0.94958750000000003"/>
    <n v="17035.5998"/>
    <n v="0"/>
    <n v="0"/>
    <n v="1310.43075"/>
    <n v="0.90542099192618197"/>
    <n v="3.3121019108280303E-2"/>
    <n v="0"/>
    <n v="0"/>
    <n v="0.87012781865810196"/>
    <n v="1310.4308000000001"/>
    <n v="1076.6199999999999"/>
    <n v="0"/>
    <n v="0"/>
    <n v="20733.081300000002"/>
    <n v="800"/>
    <n v="1310.4308000000001"/>
    <n v="0"/>
    <n v="0"/>
    <n v="26"/>
    <n v="0"/>
    <n v="0"/>
    <d v="2024-12-30T00:00:00"/>
    <x v="19"/>
    <n v="1415"/>
    <n v="762.92999999999972"/>
    <n v="3.26"/>
    <n v="272"/>
    <n v="1143"/>
    <n v="661.01"/>
    <n v="98.579999999999984"/>
    <n v="271.2999999999999"/>
    <n v="242.82000000000002"/>
    <n v="49.99"/>
    <n v="1570"/>
    <n v="138"/>
    <n v="52"/>
    <n v="381.26"/>
    <n v="0.1"/>
    <n v="0.05"/>
    <n v="0.7"/>
    <n v="34.5"/>
    <n v="0"/>
    <n v="0.65"/>
    <n v="0.98"/>
    <n v="0.96"/>
    <n v="0.94"/>
    <n v="0.2"/>
    <n v="0.1"/>
    <n v="0.05"/>
    <n v="0.05"/>
    <n v="800"/>
    <n v="0"/>
    <n v="759.67"/>
    <n v="15682.530000000002"/>
  </r>
  <r>
    <x v="1"/>
    <n v="52"/>
    <n v="51.06"/>
    <n v="51.06"/>
    <n v="1"/>
    <n v="1078.6424999999999"/>
    <n v="331.89"/>
    <n v="0"/>
    <n v="0"/>
    <n v="1"/>
    <n v="0"/>
    <n v="165.94499999999999"/>
    <n v="0"/>
    <n v="0.68488053270661997"/>
    <n v="0"/>
    <n v="42"/>
    <n v="0"/>
    <n v="0"/>
    <n v="1618.4775"/>
    <n v="50"/>
    <n v="331.89"/>
    <n v="51.06"/>
    <n v="0"/>
    <n v="0"/>
    <n v="165.94499999999999"/>
    <n v="2"/>
    <d v="2025-01-06T00:00:00"/>
    <x v="10"/>
    <n v="66"/>
    <n v="51.07"/>
    <n v="0.01"/>
    <n v="9"/>
    <n v="57"/>
    <n v="34.97"/>
    <n v="16.09"/>
    <n v="19.920000000000002"/>
    <n v="14.96"/>
    <n v="1.29"/>
    <n v="82"/>
    <n v="0"/>
    <n v="0"/>
    <n v="51.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95.25"/>
  </r>
  <r>
    <x v="1"/>
    <n v="43"/>
    <n v="42.28"/>
    <n v="42.28"/>
    <n v="0.98325581395348804"/>
    <n v="893.16499999999996"/>
    <n v="274.82"/>
    <n v="0"/>
    <n v="0"/>
    <n v="1"/>
    <n v="0.05"/>
    <n v="0"/>
    <n v="68.704999999999998"/>
    <n v="0.78192999053926204"/>
    <n v="68.704999999999998"/>
    <n v="67.25"/>
    <n v="9.02"/>
    <n v="0"/>
    <n v="1381.665"/>
    <n v="43"/>
    <n v="274.82"/>
    <n v="0"/>
    <n v="42.28"/>
    <n v="0"/>
    <n v="68.704999999999998"/>
    <n v="0"/>
    <d v="2025-01-06T00:00:00"/>
    <x v="14"/>
    <n v="71"/>
    <n v="42.58"/>
    <n v="0.3"/>
    <n v="11"/>
    <n v="60"/>
    <n v="33.06"/>
    <n v="9.2200000000000006"/>
    <n v="12.76"/>
    <n v="10.31"/>
    <n v="1.67"/>
    <n v="80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43"/>
    <n v="0"/>
    <n v="0"/>
    <n v="769.33"/>
  </r>
  <r>
    <x v="1"/>
    <n v="50"/>
    <n v="49.309999999999995"/>
    <n v="49.309999999999995"/>
    <n v="0.98619999999999997"/>
    <n v="1041.6738"/>
    <n v="320.51499999999999"/>
    <n v="0"/>
    <n v="0"/>
    <n v="0.93548387096774199"/>
    <n v="1.72413793103448E-2"/>
    <n v="0"/>
    <n v="80.128799999999998"/>
    <n v="0.53761914418982004"/>
    <n v="0"/>
    <n v="46"/>
    <n v="0"/>
    <n v="0"/>
    <n v="1488.3176000000001"/>
    <n v="50"/>
    <n v="320.51499999999999"/>
    <n v="0"/>
    <n v="49.309999999999995"/>
    <n v="1"/>
    <n v="80.128799999999998"/>
    <n v="0"/>
    <d v="2025-01-06T00:00:00"/>
    <x v="8"/>
    <n v="52"/>
    <n v="49.41"/>
    <n v="0.1"/>
    <n v="5"/>
    <n v="47"/>
    <n v="26.51"/>
    <n v="22.8"/>
    <n v="7.52"/>
    <n v="6.86"/>
    <n v="1.05"/>
    <n v="58"/>
    <n v="3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27.72"/>
  </r>
  <r>
    <x v="1"/>
    <n v="161"/>
    <n v="160.78"/>
    <n v="160.78"/>
    <n v="1"/>
    <n v="3396.4775"/>
    <n v="1045.07"/>
    <n v="0"/>
    <n v="0"/>
    <n v="0.75184275184275196"/>
    <n v="1.30718954248366E-2"/>
    <n v="0"/>
    <n v="0"/>
    <n v="0.79220052245304096"/>
    <n v="261.26749999999998"/>
    <n v="151.1"/>
    <n v="2.88"/>
    <n v="0"/>
    <n v="4856.7950000000001"/>
    <n v="150"/>
    <n v="1045.07"/>
    <n v="0"/>
    <n v="0"/>
    <n v="64"/>
    <n v="0"/>
    <n v="11"/>
    <d v="2025-01-06T00:00:00"/>
    <x v="5"/>
    <n v="274"/>
    <n v="160.98999999999998"/>
    <n v="0.21"/>
    <n v="50"/>
    <n v="224"/>
    <n v="127.37"/>
    <n v="33.43"/>
    <n v="57.84"/>
    <n v="50.72"/>
    <n v="7.870000000000001"/>
    <n v="306"/>
    <n v="37"/>
    <n v="4"/>
    <n v="100.00999999999999"/>
    <n v="0.1"/>
    <n v="0.05"/>
    <n v="0.7"/>
    <n v="32.5"/>
    <n v="0"/>
    <n v="0.65"/>
    <n v="0.98"/>
    <n v="0.96"/>
    <n v="0.94"/>
    <n v="0.2"/>
    <n v="0.1"/>
    <n v="0.05"/>
    <n v="0.05"/>
    <n v="150"/>
    <n v="0"/>
    <n v="160.78"/>
    <n v="2481.5899999999997"/>
  </r>
  <r>
    <x v="1"/>
    <n v="50"/>
    <n v="16.11"/>
    <n v="16.11"/>
    <n v="0.32219999999999999"/>
    <n v="0"/>
    <n v="0"/>
    <n v="0"/>
    <n v="0"/>
    <n v="1"/>
    <n v="0"/>
    <n v="0"/>
    <n v="0"/>
    <n v="0.59528243327125996"/>
    <n v="0"/>
    <n v="20"/>
    <n v="6"/>
    <n v="193.96"/>
    <n v="219.96"/>
    <n v="50"/>
    <n v="0"/>
    <n v="16.11"/>
    <n v="0"/>
    <n v="0"/>
    <n v="0"/>
    <n v="0"/>
    <d v="2025-01-06T00:00:00"/>
    <x v="17"/>
    <n v="25"/>
    <n v="16.3"/>
    <n v="0.19"/>
    <n v="4"/>
    <n v="21"/>
    <n v="9.59"/>
    <n v="6.52"/>
    <n v="4.99"/>
    <n v="3.69"/>
    <n v="1.53"/>
    <n v="28"/>
    <n v="0"/>
    <n v="0"/>
    <n v="16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93.96"/>
  </r>
  <r>
    <x v="1"/>
    <n v="50"/>
    <n v="26.04"/>
    <n v="26.04"/>
    <n v="0.52080000000000004"/>
    <n v="0"/>
    <n v="0"/>
    <n v="0"/>
    <n v="0"/>
    <n v="0.89130434782608703"/>
    <n v="4.8780487804878002E-2"/>
    <n v="0"/>
    <n v="0"/>
    <n v="0.62519201228878596"/>
    <n v="0"/>
    <n v="30"/>
    <n v="1.51"/>
    <n v="400.25"/>
    <n v="431.76"/>
    <n v="50"/>
    <n v="0"/>
    <n v="0"/>
    <n v="0"/>
    <n v="0"/>
    <n v="0"/>
    <n v="0"/>
    <d v="2025-01-06T00:00:00"/>
    <x v="11"/>
    <n v="35"/>
    <n v="26.04"/>
    <n v="0"/>
    <n v="1"/>
    <n v="34"/>
    <n v="16.28"/>
    <n v="9.75"/>
    <n v="0.47"/>
    <n v="0.01"/>
    <n v="1.34"/>
    <n v="41"/>
    <n v="5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26.04"/>
    <n v="400.25"/>
  </r>
  <r>
    <x v="1"/>
    <n v="570"/>
    <n v="568.14"/>
    <n v="568.14"/>
    <n v="1"/>
    <n v="12186.602999999999"/>
    <n v="3749.7240000000002"/>
    <n v="0"/>
    <n v="0"/>
    <n v="0.97733454215775195"/>
    <n v="2.2263450834879399E-2"/>
    <n v="1874.8620000000001"/>
    <n v="0"/>
    <n v="0.85272996092512399"/>
    <n v="937.43100000000004"/>
    <n v="599.45000000000005"/>
    <n v="68.23"/>
    <n v="0"/>
    <n v="19416.3"/>
    <n v="540"/>
    <n v="3749.7240000000002"/>
    <n v="568.14"/>
    <n v="0"/>
    <n v="18"/>
    <n v="1874.8620000000001"/>
    <n v="30"/>
    <d v="2025-01-06T00:00:00"/>
    <x v="16"/>
    <n v="924"/>
    <n v="584.08000000000004"/>
    <n v="15.94"/>
    <n v="207"/>
    <n v="717"/>
    <n v="484.47"/>
    <n v="83.69"/>
    <n v="272.54999999999995"/>
    <n v="232.85000000000002"/>
    <n v="26.249999999999996"/>
    <n v="1078"/>
    <n v="7"/>
    <n v="24"/>
    <n v="321.30000000000007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146.25"/>
  </r>
  <r>
    <x v="1"/>
    <n v="105"/>
    <n v="102.25"/>
    <n v="102.25"/>
    <n v="1"/>
    <n v="2160.0311999999999"/>
    <n v="664.625"/>
    <n v="0"/>
    <n v="0"/>
    <n v="0.99481865284974103"/>
    <n v="3.125E-2"/>
    <n v="332.3125"/>
    <n v="0"/>
    <n v="0.71657701711491395"/>
    <n v="166.15620000000001"/>
    <n v="128.63"/>
    <n v="0"/>
    <n v="0"/>
    <n v="3451.7550000000001"/>
    <n v="100"/>
    <n v="664.625"/>
    <n v="102.25"/>
    <n v="0"/>
    <n v="0"/>
    <n v="332.3125"/>
    <n v="5"/>
    <d v="2025-01-06T00:00:00"/>
    <x v="2"/>
    <n v="166"/>
    <n v="102.25"/>
    <n v="0"/>
    <n v="19"/>
    <n v="147"/>
    <n v="73.27000000000001"/>
    <n v="28.97"/>
    <n v="30.22"/>
    <n v="21.97"/>
    <n v="3.25"/>
    <n v="192"/>
    <n v="1"/>
    <n v="6"/>
    <n v="50.49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94.98"/>
  </r>
  <r>
    <x v="1"/>
    <n v="55"/>
    <n v="52.62"/>
    <n v="52.62"/>
    <n v="1"/>
    <n v="1111.5975000000001"/>
    <n v="342.03"/>
    <n v="0"/>
    <n v="0"/>
    <n v="1"/>
    <n v="3.3333333333333298E-2"/>
    <n v="171.01499999999999"/>
    <n v="0"/>
    <n v="0.71702774610414299"/>
    <n v="85.507499999999993"/>
    <n v="64.47"/>
    <n v="0"/>
    <n v="0"/>
    <n v="1774.62"/>
    <n v="50"/>
    <n v="342.03"/>
    <n v="52.62"/>
    <n v="0"/>
    <n v="0"/>
    <n v="171.01499999999999"/>
    <n v="5"/>
    <d v="2025-01-06T00:00:00"/>
    <x v="1"/>
    <n v="62"/>
    <n v="52.62"/>
    <n v="0"/>
    <n v="15"/>
    <n v="47"/>
    <n v="37.729999999999997"/>
    <n v="14.89"/>
    <n v="31.02"/>
    <n v="22.44"/>
    <n v="1.18"/>
    <n v="60"/>
    <n v="0"/>
    <n v="2"/>
    <n v="52.6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8.96"/>
  </r>
  <r>
    <x v="1"/>
    <n v="55"/>
    <n v="52.970000000000006"/>
    <n v="52.970000000000006"/>
    <n v="1"/>
    <n v="1118.9911999999999"/>
    <n v="344.30500000000006"/>
    <n v="0"/>
    <n v="0"/>
    <n v="0.931506849315068"/>
    <n v="2.9411764705882401E-2"/>
    <n v="0"/>
    <n v="86.0762"/>
    <n v="0.63620917500471996"/>
    <n v="0"/>
    <n v="78.23"/>
    <n v="0"/>
    <n v="0"/>
    <n v="1627.6024"/>
    <n v="50"/>
    <n v="344.30500000000001"/>
    <n v="0"/>
    <n v="52.970000000000006"/>
    <n v="5"/>
    <n v="86.0762"/>
    <n v="5"/>
    <d v="2025-01-06T00:00:00"/>
    <x v="4"/>
    <n v="67"/>
    <n v="53.02"/>
    <n v="0.05"/>
    <n v="13"/>
    <n v="54"/>
    <n v="33.700000000000003"/>
    <n v="19.27"/>
    <n v="17.22"/>
    <n v="10"/>
    <n v="1.26"/>
    <n v="68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6.08"/>
  </r>
  <r>
    <x v="1"/>
    <n v="50"/>
    <n v="50.02"/>
    <n v="50"/>
    <n v="1"/>
    <n v="1056.25"/>
    <n v="325"/>
    <n v="0"/>
    <n v="0"/>
    <n v="1"/>
    <n v="0"/>
    <n v="162.5"/>
    <n v="0"/>
    <n v="0.72890843662534999"/>
    <n v="81.25"/>
    <n v="43"/>
    <n v="0"/>
    <n v="0"/>
    <n v="1668"/>
    <n v="50"/>
    <n v="325"/>
    <n v="50"/>
    <n v="0"/>
    <n v="0"/>
    <n v="162.5"/>
    <n v="0"/>
    <d v="2025-01-06T00:00:00"/>
    <x v="20"/>
    <n v="72"/>
    <n v="50.02"/>
    <n v="0"/>
    <n v="17"/>
    <n v="55"/>
    <n v="36.46"/>
    <n v="13.56"/>
    <n v="16.09"/>
    <n v="15"/>
    <n v="1.44"/>
    <n v="76"/>
    <n v="0"/>
    <n v="0"/>
    <n v="50.0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2.47"/>
  </r>
  <r>
    <x v="1"/>
    <n v="50"/>
    <n v="22.21"/>
    <n v="22.21"/>
    <n v="0.44419999999999998"/>
    <n v="0"/>
    <n v="0"/>
    <n v="0"/>
    <n v="0"/>
    <n v="1"/>
    <n v="0"/>
    <n v="0"/>
    <n v="0"/>
    <n v="0.83025664115263398"/>
    <n v="0"/>
    <n v="46.8"/>
    <n v="0"/>
    <n v="494.39"/>
    <n v="541.19000000000005"/>
    <n v="50"/>
    <n v="0"/>
    <n v="22.21"/>
    <n v="0"/>
    <n v="0"/>
    <n v="0"/>
    <n v="0"/>
    <d v="2025-01-06T00:00:00"/>
    <x v="7"/>
    <n v="36"/>
    <n v="27.69"/>
    <n v="5.48"/>
    <n v="8"/>
    <n v="28"/>
    <n v="18.440000000000001"/>
    <n v="3.77"/>
    <n v="7.31"/>
    <n v="3.46"/>
    <n v="1.3"/>
    <n v="32"/>
    <n v="0"/>
    <n v="0"/>
    <n v="22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94.39"/>
  </r>
  <r>
    <x v="1"/>
    <n v="35.159999999999997"/>
    <n v="35.160000000000004"/>
    <n v="35.159999999999997"/>
    <n v="1"/>
    <n v="742.755"/>
    <n v="228.53999999999996"/>
    <n v="0"/>
    <n v="0"/>
    <n v="1"/>
    <n v="0"/>
    <n v="114.27"/>
    <n v="0"/>
    <n v="0.62855517633674596"/>
    <n v="0"/>
    <n v="20.5"/>
    <n v="0"/>
    <n v="0"/>
    <n v="1106.0650000000001"/>
    <n v="35.159999999999997"/>
    <n v="228.54"/>
    <n v="35.159999999999997"/>
    <n v="0"/>
    <n v="0"/>
    <n v="114.27"/>
    <n v="0"/>
    <d v="2025-01-06T00:00:00"/>
    <x v="6"/>
    <n v="54"/>
    <n v="35.380000000000003"/>
    <n v="0.22"/>
    <n v="5"/>
    <n v="49"/>
    <n v="22.1"/>
    <n v="13.06"/>
    <n v="5.69"/>
    <n v="3.5"/>
    <n v="1.53"/>
    <n v="60"/>
    <n v="0"/>
    <n v="0"/>
    <n v="35.160000000000004"/>
    <n v="0.1"/>
    <n v="0.05"/>
    <n v="0.7"/>
    <n v="32.5"/>
    <n v="0"/>
    <n v="0.65"/>
    <n v="0.98"/>
    <n v="0.96"/>
    <n v="0.94"/>
    <n v="0.2"/>
    <n v="0.1"/>
    <n v="0.05"/>
    <n v="0.05"/>
    <n v="35"/>
    <n v="0"/>
    <n v="0"/>
    <n v="500.57"/>
  </r>
  <r>
    <x v="1"/>
    <n v="50"/>
    <n v="50.21"/>
    <n v="50"/>
    <n v="1"/>
    <n v="1056.25"/>
    <n v="325"/>
    <n v="0"/>
    <n v="0"/>
    <n v="0.98360655737704905"/>
    <n v="3.3333333333333298E-2"/>
    <n v="162.5"/>
    <n v="0"/>
    <n v="0.68970324636526603"/>
    <n v="0"/>
    <n v="23.4"/>
    <n v="0"/>
    <n v="0"/>
    <n v="1567.15"/>
    <n v="50"/>
    <n v="325"/>
    <n v="50"/>
    <n v="0"/>
    <n v="0"/>
    <n v="162.5"/>
    <n v="0"/>
    <d v="2025-01-06T00:00:00"/>
    <x v="0"/>
    <n v="56"/>
    <n v="50.21"/>
    <n v="0"/>
    <n v="18"/>
    <n v="38"/>
    <n v="34.630000000000003"/>
    <n v="15.57"/>
    <n v="20.57"/>
    <n v="19.489999999999998"/>
    <n v="1.1200000000000001"/>
    <n v="60"/>
    <n v="1"/>
    <n v="2"/>
    <n v="50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3.08000000000004"/>
  </r>
  <r>
    <x v="1"/>
    <n v="105"/>
    <n v="104.53"/>
    <n v="104.53"/>
    <n v="1"/>
    <n v="2208.1961999999999"/>
    <n v="679.44500000000005"/>
    <n v="0"/>
    <n v="0"/>
    <n v="0.98369565217391297"/>
    <n v="5.5248618784530398E-2"/>
    <n v="0"/>
    <n v="0"/>
    <n v="0.70362575337223798"/>
    <n v="169.8612"/>
    <n v="120.61"/>
    <n v="19.53"/>
    <n v="0"/>
    <n v="3197.6424999999999"/>
    <n v="100"/>
    <n v="679.44500000000005"/>
    <n v="0"/>
    <n v="0"/>
    <n v="3"/>
    <n v="0"/>
    <n v="5"/>
    <d v="2025-01-06T00:00:00"/>
    <x v="12"/>
    <n v="146"/>
    <n v="105.08000000000001"/>
    <n v="0.55000000000000004"/>
    <n v="30"/>
    <n v="116"/>
    <n v="73.550000000000011"/>
    <n v="30.979999999999997"/>
    <n v="34.31"/>
    <n v="24.32"/>
    <n v="3.29"/>
    <n v="181"/>
    <n v="0"/>
    <n v="10"/>
    <n v="0"/>
    <n v="0.1"/>
    <n v="0.05"/>
    <n v="0.7"/>
    <n v="32.5"/>
    <n v="0"/>
    <n v="0.65"/>
    <n v="0.98"/>
    <n v="0.96"/>
    <n v="0.94"/>
    <n v="0.2"/>
    <n v="0.1"/>
    <n v="0.05"/>
    <n v="0.05"/>
    <n v="100"/>
    <n v="0"/>
    <n v="104.53"/>
    <n v="1572.03"/>
  </r>
  <r>
    <x v="1"/>
    <n v="50"/>
    <n v="50.089999999999996"/>
    <n v="50"/>
    <n v="1"/>
    <n v="1056.25"/>
    <n v="325"/>
    <n v="0"/>
    <n v="0"/>
    <n v="0.95744680851063801"/>
    <n v="6.6666666666666693E-2"/>
    <n v="0"/>
    <n v="0"/>
    <n v="0.52445597923737297"/>
    <n v="0"/>
    <n v="43"/>
    <n v="0"/>
    <n v="0"/>
    <n v="1424.25"/>
    <n v="50"/>
    <n v="325"/>
    <n v="0"/>
    <n v="0"/>
    <n v="2"/>
    <n v="0"/>
    <n v="0"/>
    <d v="2025-01-06T00:00:00"/>
    <x v="15"/>
    <n v="40"/>
    <n v="50.11"/>
    <n v="0.02"/>
    <n v="21"/>
    <n v="19"/>
    <n v="26.27"/>
    <n v="23.82"/>
    <n v="38.07"/>
    <n v="20.74"/>
    <n v="0.8"/>
    <n v="45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486.08"/>
  </r>
  <r>
    <x v="1"/>
    <n v="547"/>
    <n v="547.21"/>
    <n v="547"/>
    <n v="1"/>
    <n v="11726.039000000001"/>
    <n v="3608.0120000000002"/>
    <n v="0"/>
    <n v="0"/>
    <n v="0.98653198653198604"/>
    <n v="1.1092150170648501E-2"/>
    <n v="1804.0060000000001"/>
    <n v="0"/>
    <n v="0.926847097092524"/>
    <n v="902.00300000000004"/>
    <n v="637.13"/>
    <n v="75.3"/>
    <n v="0"/>
    <n v="18752.490000000002"/>
    <n v="540"/>
    <n v="3608.0120000000002"/>
    <n v="547"/>
    <n v="0"/>
    <n v="4"/>
    <n v="1804.0060000000001"/>
    <n v="7"/>
    <d v="2025-01-06T00:00:00"/>
    <x v="13"/>
    <n v="1010"/>
    <n v="550.91999999999996"/>
    <n v="3.7099999999999991"/>
    <n v="251"/>
    <n v="759"/>
    <n v="507.18"/>
    <n v="40"/>
    <n v="244.76"/>
    <n v="231.21"/>
    <n v="19.8"/>
    <n v="1172"/>
    <n v="12"/>
    <n v="13"/>
    <n v="511.12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0799.99"/>
  </r>
  <r>
    <x v="1"/>
    <n v="50"/>
    <n v="49.83"/>
    <n v="49.83"/>
    <n v="0.99660000000000004"/>
    <n v="1052.6587999999999"/>
    <n v="323.89499999999998"/>
    <n v="0"/>
    <n v="0"/>
    <n v="0.78723404255319196"/>
    <n v="0"/>
    <n v="0"/>
    <n v="0"/>
    <n v="0.86213124623720605"/>
    <n v="80.973799999999997"/>
    <n v="22.07"/>
    <n v="6"/>
    <n v="0"/>
    <n v="1485.5975000000001"/>
    <n v="50"/>
    <n v="323.89499999999998"/>
    <n v="0"/>
    <n v="0"/>
    <n v="20"/>
    <n v="0"/>
    <n v="0"/>
    <d v="2025-01-06T00:00:00"/>
    <x v="18"/>
    <n v="66"/>
    <n v="50.059999999999995"/>
    <n v="0.23"/>
    <n v="29"/>
    <n v="37"/>
    <n v="42.96"/>
    <n v="6.87"/>
    <n v="36.799999999999997"/>
    <n v="32.549999999999997"/>
    <n v="1.32"/>
    <n v="74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3"/>
    <n v="788.92"/>
  </r>
  <r>
    <x v="1"/>
    <n v="800"/>
    <n v="761.53999999999985"/>
    <n v="761.53999999999985"/>
    <n v="0.95192500000000002"/>
    <n v="17077.534500000002"/>
    <n v="0"/>
    <n v="0"/>
    <n v="1313.6564999999998"/>
    <n v="0.92668136714443206"/>
    <n v="3.8072575847709698E-2"/>
    <n v="0"/>
    <n v="1313.6565000000001"/>
    <n v="0.89513354518475796"/>
    <n v="1313.6565000000001"/>
    <n v="835.64"/>
    <n v="101.79"/>
    <n v="0"/>
    <n v="21955.934000000001"/>
    <n v="800"/>
    <n v="1313.6565000000001"/>
    <n v="0"/>
    <n v="761.53999999999985"/>
    <n v="42"/>
    <n v="1313.6565000000001"/>
    <n v="0"/>
    <d v="2025-01-06T00:00:00"/>
    <x v="19"/>
    <n v="1418"/>
    <n v="769.45999999999992"/>
    <n v="7.919999999999999"/>
    <n v="233"/>
    <n v="1185"/>
    <n v="681.68000000000006"/>
    <n v="79.860000000000014"/>
    <n v="275.06"/>
    <n v="251.04"/>
    <n v="47.930000000000007"/>
    <n v="1681"/>
    <n v="91"/>
    <n v="64"/>
    <n v="410.20999999999992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4885.35"/>
  </r>
  <r>
    <x v="1"/>
    <n v="50"/>
    <n v="50.07"/>
    <n v="50"/>
    <n v="1"/>
    <n v="1056.25"/>
    <n v="325"/>
    <n v="0"/>
    <n v="0"/>
    <n v="0.98571428571428599"/>
    <n v="5.7971014492753603E-2"/>
    <n v="0"/>
    <n v="0"/>
    <n v="0.56221290193728801"/>
    <n v="0"/>
    <n v="68.5"/>
    <n v="0"/>
    <n v="0"/>
    <n v="1449.75"/>
    <n v="50"/>
    <n v="325"/>
    <n v="0"/>
    <n v="0"/>
    <n v="1"/>
    <n v="0"/>
    <n v="0"/>
    <d v="2025-01-06T00:00:00"/>
    <x v="9"/>
    <n v="60"/>
    <n v="50.18"/>
    <n v="0.11"/>
    <n v="11"/>
    <n v="49"/>
    <n v="28.15"/>
    <n v="21.92"/>
    <n v="10.85"/>
    <n v="7.44"/>
    <n v="1.2"/>
    <n v="69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617.22"/>
  </r>
  <r>
    <x v="1"/>
    <n v="425"/>
    <n v="392.81999999999994"/>
    <n v="392.81999999999994"/>
    <n v="0.924282352941176"/>
    <n v="0"/>
    <n v="0"/>
    <n v="0"/>
    <n v="0"/>
    <n v="0.89569752281616699"/>
    <n v="3.2023289665211098E-2"/>
    <n v="0"/>
    <n v="0"/>
    <n v="0.786416170256097"/>
    <n v="0"/>
    <n v="454.63"/>
    <n v="37.35"/>
    <n v="5998.76"/>
    <n v="6490.74"/>
    <n v="425"/>
    <n v="0"/>
    <n v="0"/>
    <n v="0"/>
    <n v="70"/>
    <n v="0"/>
    <n v="0"/>
    <d v="2025-01-06T00:00:00"/>
    <x v="3"/>
    <n v="537"/>
    <n v="401.55"/>
    <n v="8.73"/>
    <n v="133"/>
    <n v="404"/>
    <n v="308.92"/>
    <n v="83.890000000000015"/>
    <n v="161.37"/>
    <n v="139.38999999999999"/>
    <n v="12.26"/>
    <n v="687"/>
    <n v="10"/>
    <n v="22"/>
    <n v="198.26999999999998"/>
    <n v="0.1"/>
    <n v="0.05"/>
    <n v="0.7"/>
    <n v="32.5"/>
    <n v="0"/>
    <n v="0.65"/>
    <n v="0.98"/>
    <n v="0.96"/>
    <n v="0.94"/>
    <n v="0.2"/>
    <n v="0.1"/>
    <n v="0.05"/>
    <n v="0.05"/>
    <n v="425"/>
    <n v="0"/>
    <n v="392.81999999999994"/>
    <n v="5998.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5" firstHeaderRow="0" firstDataRow="1" firstDataCol="2"/>
  <pivotFields count="59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8"/>
        <item x="15"/>
        <item x="12"/>
        <item x="19"/>
        <item x="7"/>
        <item x="6"/>
        <item x="20"/>
        <item x="13"/>
        <item x="4"/>
        <item x="1"/>
        <item x="16"/>
        <item x="11"/>
        <item x="5"/>
        <item x="8"/>
        <item x="9"/>
        <item x="0"/>
        <item x="2"/>
        <item x="10"/>
        <item x="14"/>
        <item x="17"/>
        <item x="3"/>
        <item m="1" x="22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0"/>
  </rowFields>
  <rowItems count="42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44"/>
    <tableColumn id="2" xr3:uid="{6FEE9A9F-BC73-4834-BF05-8DFF7335ED47}" uniqueName="2" name="Rate.PARTNER NAME" queryTableFieldId="2" dataDxfId="43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42" dataDxfId="41">
  <tableColumns count="7">
    <tableColumn id="1" xr3:uid="{6E8F3551-4DCE-46CE-BD28-51A8302E87CB}" name="Type" dataDxfId="40"/>
    <tableColumn id="2" xr3:uid="{5404B4C5-ECEF-4C1F-8A18-BC9D8BE1C71B}" name="Start" dataDxfId="39"/>
    <tableColumn id="3" xr3:uid="{ED569C2B-A42E-43C5-A2F6-A3987EE52677}" name="End" dataDxfId="38">
      <calculatedColumnFormula>C2+6</calculatedColumnFormula>
    </tableColumn>
    <tableColumn id="8" xr3:uid="{7528310C-79CF-4C2C-A6A6-945EB7C53D6F}" name="Week#" dataDxfId="37"/>
    <tableColumn id="6" xr3:uid="{AE3F7AE3-B9B7-4FBD-BECC-F855DB3120A1}" name="Utilization Target" dataDxfId="36"/>
    <tableColumn id="4" xr3:uid="{76EDF2B3-48C2-41BC-8C8B-1E1DA27282E5}" name="Tier 1 ARDCRI Rate" dataDxfId="35" dataCellStyle="Percent"/>
    <tableColumn id="5" xr3:uid="{623BF9A5-9791-48A7-A063-0FCE89090301}" name="Tier 2 ARDCRI Rate" dataDxfId="34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6" tableType="queryTable" totalsRowShown="0">
  <autoFilter ref="A1:Q56" xr:uid="{425E9FDE-B83D-4045-8FD5-DD203C9CE861}"/>
  <sortState xmlns:xlrd2="http://schemas.microsoft.com/office/spreadsheetml/2017/richdata2" ref="A2:Q56">
    <sortCondition ref="A1:A56"/>
  </sortState>
  <tableColumns count="17">
    <tableColumn id="1" xr3:uid="{E230C15D-1F50-42B6-BAD8-8BBB397BDDF0}" uniqueName="1" name="PARTNER" queryTableFieldId="1" dataDxfId="33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2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31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30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2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2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41BF30B-BC98-487E-A528-51293425A128}" name="Table1" displayName="Table1" ref="J3:Q44" totalsRowShown="0" headerRowDxfId="26" headerRowBorderDxfId="25" tableBorderDxfId="24" totalsRowBorderDxfId="23">
  <autoFilter ref="J3:Q44" xr:uid="{141BF30B-BC98-487E-A528-51293425A128}">
    <filterColumn colId="0">
      <colorFilter dxfId="22"/>
    </filterColumn>
  </autoFilter>
  <tableColumns count="8">
    <tableColumn id="1" xr3:uid="{A92E95E5-2110-4A56-B8EA-6A9FF20E725E}" name="PARTNER NAME" dataDxfId="21"/>
    <tableColumn id="2" xr3:uid="{CA09CF10-770C-44BD-9CB8-3756E3EA5E83}" name="WeekN" dataDxfId="20"/>
    <tableColumn id="3" xr3:uid="{EEFE02D3-520F-49FA-AC97-4CCD30C13094}" name="Required Hours" dataDxfId="19"/>
    <tableColumn id="6" xr3:uid="{66804F4A-B9EF-4C52-9102-B61F1C504CB8}" name="Approved Extra" dataDxfId="18"/>
    <tableColumn id="4" xr3:uid="{8FF36CC0-622D-4863-8133-A4C965AE8B99}" name="Allowed Hours" dataDxfId="17">
      <calculatedColumnFormula>+L4+M4</calculatedColumnFormula>
    </tableColumn>
    <tableColumn id="5" xr3:uid="{AEFEC3CD-AB57-4CB3-97A6-D295EBCFA0DA}" name="Online Hours" dataDxfId="16"/>
    <tableColumn id="8" xr3:uid="{A4C56D48-ED98-47AD-9319-C0F19AD0FF98}" name="Payable Hours" dataDxfId="15"/>
    <tableColumn id="9" xr3:uid="{E95A23ED-CD76-4068-8D27-C3C625D9ECA8}" name="Extra hours" dataDxfId="14" dataCellStyle="Comma">
      <calculatedColumnFormula>+O4-P4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3" tableType="queryTable" totalsRowCount="1">
  <autoFilter ref="A1:BG42" xr:uid="{DE01B30A-39AF-4694-BB2D-3D7EA17167B1}">
    <filterColumn colId="0">
      <filters>
        <filter val="Week2"/>
      </filters>
    </filterColumn>
  </autoFilter>
  <sortState xmlns:xlrd2="http://schemas.microsoft.com/office/spreadsheetml/2017/richdata2" ref="A22:BG42">
    <sortCondition ref="AB1:AB42"/>
  </sortState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totalsRowFunction="custom" queryTableFieldId="61">
      <totalsRowFormula>AVERAGE(J2:J21)</totalsRowFormula>
    </tableColumn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3" totalsRow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6" tableType="queryTable" totalsRowShown="0">
  <autoFilter ref="A1:T206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0</v>
      </c>
      <c r="D2">
        <v>800</v>
      </c>
    </row>
    <row r="3" spans="1:4" x14ac:dyDescent="0.25">
      <c r="A3" t="s">
        <v>1600</v>
      </c>
      <c r="B3" t="s">
        <v>1600</v>
      </c>
      <c r="C3">
        <v>0</v>
      </c>
      <c r="D3">
        <v>485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42.01</v>
      </c>
    </row>
    <row r="7" spans="1:4" x14ac:dyDescent="0.25">
      <c r="A7" t="s">
        <v>1670</v>
      </c>
      <c r="B7" t="s">
        <v>1670</v>
      </c>
      <c r="C7">
        <v>30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0</v>
      </c>
      <c r="D9">
        <v>50</v>
      </c>
    </row>
    <row r="10" spans="1:4" x14ac:dyDescent="0.25">
      <c r="A10" t="s">
        <v>1814</v>
      </c>
      <c r="B10" t="s">
        <v>1814</v>
      </c>
      <c r="C10">
        <v>6</v>
      </c>
      <c r="D10">
        <v>100</v>
      </c>
    </row>
    <row r="11" spans="1:4" x14ac:dyDescent="0.25">
      <c r="A11" t="s">
        <v>1750</v>
      </c>
      <c r="B11" t="s">
        <v>1750</v>
      </c>
      <c r="C11">
        <v>0</v>
      </c>
      <c r="D11">
        <v>50</v>
      </c>
    </row>
    <row r="12" spans="1:4" x14ac:dyDescent="0.25">
      <c r="A12" t="s">
        <v>1716</v>
      </c>
      <c r="B12" t="s">
        <v>1716</v>
      </c>
      <c r="C12">
        <v>35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10</v>
      </c>
      <c r="D17">
        <v>150</v>
      </c>
    </row>
    <row r="18" spans="1:4" x14ac:dyDescent="0.25">
      <c r="A18" t="s">
        <v>1787</v>
      </c>
      <c r="B18" t="s">
        <v>1787</v>
      </c>
      <c r="C18">
        <v>5</v>
      </c>
      <c r="D18">
        <v>100</v>
      </c>
    </row>
    <row r="19" spans="1:4" x14ac:dyDescent="0.25">
      <c r="A19" t="s">
        <v>1742</v>
      </c>
      <c r="B19" t="s">
        <v>1742</v>
      </c>
      <c r="C19">
        <v>10</v>
      </c>
      <c r="D19">
        <v>50</v>
      </c>
    </row>
    <row r="20" spans="1:4" x14ac:dyDescent="0.25">
      <c r="A20" t="s">
        <v>1748</v>
      </c>
      <c r="B20" t="s">
        <v>1748</v>
      </c>
      <c r="C20">
        <v>0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10</v>
      </c>
      <c r="D23">
        <v>50</v>
      </c>
    </row>
    <row r="24" spans="1:4" x14ac:dyDescent="0.25">
      <c r="A24" t="s">
        <v>2061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2021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45656</v>
      </c>
      <c r="D2" s="54">
        <f>C2+6</f>
        <v>45662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45663</v>
      </c>
      <c r="D3" s="54">
        <f>C3+6</f>
        <v>45669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6"/>
  <sheetViews>
    <sheetView workbookViewId="0">
      <selection activeCell="M59" sqref="M59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167</v>
      </c>
      <c r="D2">
        <v>2</v>
      </c>
      <c r="E2">
        <v>334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1815</v>
      </c>
      <c r="B3">
        <v>4552</v>
      </c>
      <c r="C3">
        <v>167</v>
      </c>
      <c r="D3">
        <v>2</v>
      </c>
      <c r="E3">
        <v>334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0</v>
      </c>
    </row>
    <row r="4" spans="1:17" x14ac:dyDescent="0.25">
      <c r="A4" t="s">
        <v>1814</v>
      </c>
      <c r="B4">
        <v>4561</v>
      </c>
      <c r="C4">
        <v>321.5</v>
      </c>
      <c r="D4">
        <v>2</v>
      </c>
      <c r="E4">
        <v>643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1814</v>
      </c>
      <c r="B5">
        <v>4529</v>
      </c>
      <c r="C5">
        <v>321.5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4530</v>
      </c>
      <c r="C6">
        <v>321.5</v>
      </c>
      <c r="D6">
        <v>2</v>
      </c>
      <c r="E6">
        <v>643</v>
      </c>
      <c r="F6">
        <v>0</v>
      </c>
      <c r="G6">
        <v>1000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1000</v>
      </c>
    </row>
    <row r="7" spans="1:17" x14ac:dyDescent="0.25">
      <c r="A7" t="s">
        <v>1599</v>
      </c>
      <c r="B7">
        <v>4531</v>
      </c>
      <c r="C7">
        <v>321.5</v>
      </c>
      <c r="D7">
        <v>2</v>
      </c>
      <c r="E7">
        <v>643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4532</v>
      </c>
      <c r="C8">
        <v>321.5</v>
      </c>
      <c r="D8">
        <v>2</v>
      </c>
      <c r="E8">
        <v>643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4533</v>
      </c>
      <c r="C9">
        <v>321.5</v>
      </c>
      <c r="D9">
        <v>2</v>
      </c>
      <c r="E9">
        <v>643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4534</v>
      </c>
      <c r="C10">
        <v>321.5</v>
      </c>
      <c r="D10">
        <v>2</v>
      </c>
      <c r="E10">
        <v>643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4535</v>
      </c>
      <c r="C11">
        <v>321.5</v>
      </c>
      <c r="D11">
        <v>2</v>
      </c>
      <c r="E11">
        <v>643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4542</v>
      </c>
      <c r="C12">
        <v>321.5</v>
      </c>
      <c r="D12">
        <v>2</v>
      </c>
      <c r="E12">
        <v>643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4547</v>
      </c>
      <c r="C13">
        <v>321.5</v>
      </c>
      <c r="D13">
        <v>2</v>
      </c>
      <c r="E13">
        <v>643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4549</v>
      </c>
      <c r="C14">
        <v>321.5</v>
      </c>
      <c r="D14">
        <v>2</v>
      </c>
      <c r="E14">
        <v>643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4553</v>
      </c>
      <c r="C15">
        <v>321.5</v>
      </c>
      <c r="D15">
        <v>2</v>
      </c>
      <c r="E15">
        <v>643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1599</v>
      </c>
      <c r="B16">
        <v>4558</v>
      </c>
      <c r="C16">
        <v>321.5</v>
      </c>
      <c r="D16">
        <v>2</v>
      </c>
      <c r="E16">
        <v>643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1599</v>
      </c>
      <c r="B17">
        <v>4568</v>
      </c>
      <c r="C17">
        <v>321.5</v>
      </c>
      <c r="D17">
        <v>2</v>
      </c>
      <c r="E17">
        <v>643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0</v>
      </c>
    </row>
    <row r="18" spans="1:17" x14ac:dyDescent="0.25">
      <c r="A18" t="s">
        <v>1599</v>
      </c>
      <c r="B18">
        <v>4569</v>
      </c>
      <c r="C18">
        <v>321.5</v>
      </c>
      <c r="D18">
        <v>2</v>
      </c>
      <c r="E18">
        <v>643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1667</v>
      </c>
      <c r="B19">
        <v>4537</v>
      </c>
      <c r="C19">
        <v>167</v>
      </c>
      <c r="D19">
        <v>2</v>
      </c>
      <c r="E19">
        <v>334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250</v>
      </c>
      <c r="O19" t="s">
        <v>96</v>
      </c>
      <c r="P19">
        <v>0</v>
      </c>
      <c r="Q19">
        <v>0</v>
      </c>
    </row>
    <row r="20" spans="1:17" x14ac:dyDescent="0.25">
      <c r="A20" t="s">
        <v>1812</v>
      </c>
      <c r="B20">
        <v>4567</v>
      </c>
      <c r="C20">
        <v>167</v>
      </c>
      <c r="D20">
        <v>2</v>
      </c>
      <c r="E20">
        <v>334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25">
      <c r="A21" t="s">
        <v>1750</v>
      </c>
      <c r="B21">
        <v>4548</v>
      </c>
      <c r="C21">
        <v>167</v>
      </c>
      <c r="D21">
        <v>2</v>
      </c>
      <c r="E21">
        <v>334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1666</v>
      </c>
      <c r="C22">
        <v>167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Q22">
        <v>0</v>
      </c>
    </row>
    <row r="23" spans="1:17" x14ac:dyDescent="0.25">
      <c r="A23" t="s">
        <v>1600</v>
      </c>
      <c r="B23">
        <v>4571</v>
      </c>
      <c r="C23">
        <v>321.5</v>
      </c>
      <c r="D23">
        <v>2</v>
      </c>
      <c r="E23">
        <v>643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1600</v>
      </c>
      <c r="B24">
        <v>4538</v>
      </c>
      <c r="C24">
        <v>321.5</v>
      </c>
      <c r="D24">
        <v>2</v>
      </c>
      <c r="E24">
        <v>643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1600</v>
      </c>
      <c r="B25">
        <v>4539</v>
      </c>
      <c r="C25">
        <v>321.5</v>
      </c>
      <c r="D25">
        <v>2</v>
      </c>
      <c r="E25">
        <v>643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P25">
        <v>0</v>
      </c>
      <c r="Q25">
        <v>0</v>
      </c>
    </row>
    <row r="26" spans="1:17" x14ac:dyDescent="0.25">
      <c r="A26" t="s">
        <v>1600</v>
      </c>
      <c r="B26">
        <v>4540</v>
      </c>
      <c r="C26">
        <v>321.5</v>
      </c>
      <c r="D26">
        <v>2</v>
      </c>
      <c r="E26">
        <v>643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321.5</v>
      </c>
      <c r="D27">
        <v>2</v>
      </c>
      <c r="E27">
        <v>643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321.5</v>
      </c>
      <c r="D28">
        <v>2</v>
      </c>
      <c r="E28">
        <v>643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321.5</v>
      </c>
      <c r="D29">
        <v>2</v>
      </c>
      <c r="E29">
        <v>643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167</v>
      </c>
      <c r="D30">
        <v>2</v>
      </c>
      <c r="E30">
        <v>334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167</v>
      </c>
      <c r="D31">
        <v>2</v>
      </c>
      <c r="E31">
        <v>334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321.5</v>
      </c>
      <c r="D32">
        <v>2</v>
      </c>
      <c r="E32">
        <v>643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25">
      <c r="A33" t="s">
        <v>1601</v>
      </c>
      <c r="B33">
        <v>4544</v>
      </c>
      <c r="C33">
        <v>321.5</v>
      </c>
      <c r="D33">
        <v>2</v>
      </c>
      <c r="E33">
        <v>643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321.5</v>
      </c>
      <c r="D34">
        <v>2</v>
      </c>
      <c r="E34">
        <v>643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321.5</v>
      </c>
      <c r="D35">
        <v>2</v>
      </c>
      <c r="E35">
        <v>643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321.5</v>
      </c>
      <c r="D36">
        <v>2</v>
      </c>
      <c r="E36">
        <v>643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321.5</v>
      </c>
      <c r="D37">
        <v>2</v>
      </c>
      <c r="E37">
        <v>643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321.5</v>
      </c>
      <c r="D38">
        <v>2</v>
      </c>
      <c r="E38">
        <v>643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167</v>
      </c>
      <c r="D39">
        <v>2</v>
      </c>
      <c r="E39">
        <v>334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321.5</v>
      </c>
      <c r="D40">
        <v>2</v>
      </c>
      <c r="E40">
        <v>643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167</v>
      </c>
      <c r="D41">
        <v>2</v>
      </c>
      <c r="E41">
        <v>334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167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167</v>
      </c>
      <c r="D43">
        <v>2</v>
      </c>
      <c r="E43">
        <v>334</v>
      </c>
      <c r="F43">
        <v>0</v>
      </c>
      <c r="G43">
        <v>500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500</v>
      </c>
    </row>
    <row r="44" spans="1:17" x14ac:dyDescent="0.25">
      <c r="A44" t="s">
        <v>1665</v>
      </c>
      <c r="B44">
        <v>4554</v>
      </c>
      <c r="C44">
        <v>167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167</v>
      </c>
      <c r="D45">
        <v>2</v>
      </c>
      <c r="E45">
        <v>334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167</v>
      </c>
      <c r="D46">
        <v>2</v>
      </c>
      <c r="E46">
        <v>334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321.5</v>
      </c>
      <c r="D47">
        <v>2</v>
      </c>
      <c r="E47">
        <v>643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167</v>
      </c>
      <c r="D49">
        <v>2</v>
      </c>
      <c r="E49">
        <v>334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167</v>
      </c>
      <c r="D50">
        <v>2</v>
      </c>
      <c r="E50">
        <v>334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167</v>
      </c>
      <c r="D51">
        <v>2</v>
      </c>
      <c r="E51">
        <v>334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321.5</v>
      </c>
      <c r="D52">
        <v>2</v>
      </c>
      <c r="E52">
        <v>643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321.5</v>
      </c>
      <c r="D53">
        <v>2</v>
      </c>
      <c r="E53">
        <v>643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4565</v>
      </c>
      <c r="C54">
        <v>167</v>
      </c>
      <c r="D54">
        <v>2</v>
      </c>
      <c r="E54">
        <v>334</v>
      </c>
      <c r="F54">
        <v>0</v>
      </c>
      <c r="G54">
        <v>500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500</v>
      </c>
    </row>
    <row r="55" spans="1:17" x14ac:dyDescent="0.25">
      <c r="A55" t="s">
        <v>1670</v>
      </c>
      <c r="B55">
        <v>4528</v>
      </c>
      <c r="C55">
        <v>321.5</v>
      </c>
      <c r="D55">
        <v>2</v>
      </c>
      <c r="E55">
        <v>643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  <row r="56" spans="1:17" x14ac:dyDescent="0.25">
      <c r="A56" t="s">
        <v>1670</v>
      </c>
      <c r="B56">
        <v>4527</v>
      </c>
      <c r="C56">
        <v>321.5</v>
      </c>
      <c r="D56">
        <v>2</v>
      </c>
      <c r="E56">
        <v>643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96</v>
      </c>
      <c r="P56">
        <v>0</v>
      </c>
      <c r="Q5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 filterMode="1"/>
  <dimension ref="A1:T44"/>
  <sheetViews>
    <sheetView showGridLines="0" zoomScale="80" zoomScaleNormal="80" workbookViewId="0">
      <pane ySplit="4" topLeftCell="A5" activePane="bottomLeft" state="frozen"/>
      <selection pane="bottomLeft" activeCell="Q21" sqref="Q21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2069</v>
      </c>
      <c r="B1" s="26"/>
      <c r="C1" s="26"/>
    </row>
    <row r="2" spans="1:20" ht="18.75" x14ac:dyDescent="0.3">
      <c r="A2" s="25"/>
      <c r="B2" s="26"/>
      <c r="C2" s="26"/>
      <c r="D2" s="117" t="s">
        <v>68</v>
      </c>
      <c r="E2" s="117"/>
      <c r="F2" s="117"/>
      <c r="G2" s="117"/>
      <c r="H2" s="117"/>
      <c r="I2" s="117"/>
      <c r="J2" s="118" t="s">
        <v>69</v>
      </c>
      <c r="K2" s="118"/>
      <c r="L2" s="118"/>
      <c r="M2" s="118"/>
      <c r="N2" s="118"/>
      <c r="O2" s="118"/>
      <c r="P2" s="118"/>
    </row>
    <row r="3" spans="1:20" ht="15.75" x14ac:dyDescent="0.25">
      <c r="A3" s="25"/>
      <c r="B3" s="26"/>
      <c r="C3" s="26"/>
      <c r="D3" s="120" t="s">
        <v>70</v>
      </c>
      <c r="E3" s="120"/>
      <c r="F3" s="120" t="s">
        <v>71</v>
      </c>
      <c r="G3" s="120"/>
      <c r="H3" s="120"/>
      <c r="I3" s="120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119" t="s">
        <v>96</v>
      </c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42689.015299999999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8359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33330.015299999999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35325.849900000001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4501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30824.849900000001</v>
      </c>
      <c r="T7" s="40"/>
    </row>
    <row r="8" spans="1:20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37780.259999999995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4501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33279.259999999995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1970.5150000000001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334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0</v>
      </c>
      <c r="P10" s="36" cm="1">
        <f t="array" ref="P10">SUM(_xlfn._xlws.FILTER(Deduction_and_other_Revenue[Other Deductions],((Deduction_and_other_Revenue[TYPE]=$A$5)*(Deduction_and_other_Revenue[PARTNER]=$A10)),0))</f>
        <v>250</v>
      </c>
      <c r="Q10" s="39">
        <f t="shared" si="0"/>
        <v>1386.5150000000001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19568.455000000002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2906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500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16162.455000000002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3492.62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334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3158.62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3159.7174999999997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334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2825.7174999999997</v>
      </c>
    </row>
    <row r="14" spans="1:20" s="111" customFormat="1" ht="15" customHeight="1" x14ac:dyDescent="0.25">
      <c r="A14" s="109" t="str">
        <v>ASKR AUTO INC</v>
      </c>
      <c r="B14" s="110">
        <v>12101</v>
      </c>
      <c r="C14" s="111" t="str">
        <v>shaaeldin@hotmail.com</v>
      </c>
      <c r="D14" s="112">
        <f>IFERROR(SUMIF(SumVDPMVReport[PARTNER NAME],$A14,SumVDPMVReport[Total Rev]),0)</f>
        <v>6540.9187000000002</v>
      </c>
      <c r="E14" s="36"/>
      <c r="F14" s="36"/>
      <c r="G14" s="113" cm="1">
        <f t="array" ref="G14">SUM(_xlfn._xlws.FILTER(Deduction_and_other_Revenue[Other Income],((Deduction_and_other_Revenue[TYPE]=$A$5)*(Deduction_and_other_Revenue[PARTNER]=$A14)),0))</f>
        <v>0</v>
      </c>
      <c r="H14" s="112" cm="1">
        <f t="array" ref="H14">SUM(_xlfn._xlws.FILTER(Deduction_and_other_Revenue[Bonus],((Deduction_and_other_Revenue[TYPE]=$A$5)*(Deduction_and_other_Revenue[PARTNER]=$A14)),0))</f>
        <v>0</v>
      </c>
      <c r="I14" s="113" cm="1">
        <f t="array" ref="I14">SUM(_xlfn._xlws.FILTER(Deduction_and_other_Revenue[Reimbursement],((Deduction_and_other_Revenue[TYPE]=$A$5)*(Deduction_and_other_Revenue[PARTNER]=$A14)),0))</f>
        <v>0</v>
      </c>
      <c r="J14" s="112" cm="1">
        <f t="array" ref="J14">SUM(_xlfn._xlws.FILTER(Deduction_and_other_Revenue[Credentials],((Deduction_and_other_Revenue[TYPE]=$A$5)*(Deduction_and_other_Revenue[PARTNER]=$A14)),0))</f>
        <v>0</v>
      </c>
      <c r="K14" s="114" cm="1">
        <f t="array" ref="K14">SUM(_xlfn._xlws.FILTER(Deduction_and_other_Revenue[LIFT LEASE TOTAL],((Deduction_and_other_Revenue[TYPE]=$A$5)*(Deduction_and_other_Revenue[PARTNER]=$A14)),0))</f>
        <v>643</v>
      </c>
      <c r="L14" s="114" cm="1">
        <f t="array" ref="L14">SUM(_xlfn._xlws.FILTER(Deduction_and_other_Revenue[Tolls],((Deduction_and_other_Revenue[TYPE]=$A$5)*(Deduction_and_other_Revenue[PARTNER]=$A14)),0))</f>
        <v>0</v>
      </c>
      <c r="M14" s="114" cm="1">
        <f t="array" ref="M14">SUM(_xlfn._xlws.FILTER(Deduction_and_other_Revenue[Camera Tickets],((Deduction_and_other_Revenue[TYPE]=$A$5)*(Deduction_and_other_Revenue[PARTNER]=$A14)),0))</f>
        <v>0</v>
      </c>
      <c r="N14" s="114" cm="1">
        <f t="array" ref="N14">SUM(_xlfn._xlws.FILTER(Deduction_and_other_Revenue[Parking Tickets],((Deduction_and_other_Revenue[TYPE]=$A$5)*(Deduction_and_other_Revenue[PARTNER]=$A14)),0))</f>
        <v>0</v>
      </c>
      <c r="O14" s="112" cm="1">
        <f t="array" ref="O14">SUM(_xlfn._xlws.FILTER(Deduction_and_other_Revenue[Violation],((Deduction_and_other_Revenue[TYPE]=$A$5)*(Deduction_and_other_Revenue[PARTNER]=$A14)),0))</f>
        <v>0</v>
      </c>
      <c r="P14" s="112" cm="1">
        <f t="array" ref="P14">SUM(_xlfn._xlws.FILTER(Deduction_and_other_Revenue[Other Deductions],((Deduction_and_other_Revenue[TYPE]=$A$5)*(Deduction_and_other_Revenue[PARTNER]=$A14)),0))</f>
        <v>0</v>
      </c>
      <c r="Q14" s="115">
        <f t="shared" ref="Q14:Q17" si="1">IFERROR(SUM(D14:I14)-SUM(J14:P14),0)</f>
        <v>5897.9187000000002</v>
      </c>
      <c r="R14" s="27"/>
      <c r="S14" s="27"/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1668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334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1334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4246.9250000000002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334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3912.9250000000002</v>
      </c>
    </row>
    <row r="17" spans="1:19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634.48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334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300.48</v>
      </c>
    </row>
    <row r="18" spans="1:19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3037.9562000000001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334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2703.9562000000001</v>
      </c>
    </row>
    <row r="19" spans="1:19" s="111" customFormat="1" ht="15" customHeight="1" x14ac:dyDescent="0.25">
      <c r="A19" s="109" t="str">
        <v>ABU ANNE LLC</v>
      </c>
      <c r="B19" s="110">
        <v>12124</v>
      </c>
      <c r="C19" s="111" t="str">
        <v>hassanarizona@hotmail.com</v>
      </c>
      <c r="D19" s="112">
        <f>IFERROR(SUMIF(SumVDPMVReport[PARTNER NAME],$A19,SumVDPMVReport[Total Rev]),0)</f>
        <v>3012</v>
      </c>
      <c r="E19" s="36"/>
      <c r="F19" s="36"/>
      <c r="G19" s="113" cm="1">
        <f t="array" ref="G19">SUM(_xlfn._xlws.FILTER(Deduction_and_other_Revenue[Other Income],((Deduction_and_other_Revenue[TYPE]=$A$5)*(Deduction_and_other_Revenue[PARTNER]=$A19)),0))</f>
        <v>0</v>
      </c>
      <c r="H19" s="112" cm="1">
        <f t="array" ref="H19">SUM(_xlfn._xlws.FILTER(Deduction_and_other_Revenue[Bonus],((Deduction_and_other_Revenue[TYPE]=$A$5)*(Deduction_and_other_Revenue[PARTNER]=$A19)),0))</f>
        <v>0</v>
      </c>
      <c r="I19" s="113" cm="1">
        <f t="array" ref="I19">SUM(_xlfn._xlws.FILTER(Deduction_and_other_Revenue[Reimbursement],((Deduction_and_other_Revenue[TYPE]=$A$5)*(Deduction_and_other_Revenue[PARTNER]=$A19)),0))</f>
        <v>0</v>
      </c>
      <c r="J19" s="112" cm="1">
        <f t="array" ref="J19">SUM(_xlfn._xlws.FILTER(Deduction_and_other_Revenue[Credentials],((Deduction_and_other_Revenue[TYPE]=$A$5)*(Deduction_and_other_Revenue[PARTNER]=$A19)),0))</f>
        <v>0</v>
      </c>
      <c r="K19" s="114" cm="1">
        <f t="array" ref="K19">SUM(_xlfn._xlws.FILTER(Deduction_and_other_Revenue[LIFT LEASE TOTAL],((Deduction_and_other_Revenue[TYPE]=$A$5)*(Deduction_and_other_Revenue[PARTNER]=$A19)),0))</f>
        <v>334</v>
      </c>
      <c r="L19" s="114" cm="1">
        <f t="array" ref="L19">SUM(_xlfn._xlws.FILTER(Deduction_and_other_Revenue[Tolls],((Deduction_and_other_Revenue[TYPE]=$A$5)*(Deduction_and_other_Revenue[PARTNER]=$A19)),0))</f>
        <v>0</v>
      </c>
      <c r="M19" s="114" cm="1">
        <f t="array" ref="M19">SUM(_xlfn._xlws.FILTER(Deduction_and_other_Revenue[Camera Tickets],((Deduction_and_other_Revenue[TYPE]=$A$5)*(Deduction_and_other_Revenue[PARTNER]=$A19)),0))</f>
        <v>0</v>
      </c>
      <c r="N19" s="114" cm="1">
        <f t="array" ref="N19">SUM(_xlfn._xlws.FILTER(Deduction_and_other_Revenue[Parking Tickets],((Deduction_and_other_Revenue[TYPE]=$A$5)*(Deduction_and_other_Revenue[PARTNER]=$A19)),0))</f>
        <v>0</v>
      </c>
      <c r="O19" s="112" cm="1">
        <f t="array" ref="O19">SUM(_xlfn._xlws.FILTER(Deduction_and_other_Revenue[Violation],((Deduction_and_other_Revenue[TYPE]=$A$5)*(Deduction_and_other_Revenue[PARTNER]=$A19)),0))</f>
        <v>0</v>
      </c>
      <c r="P19" s="112" cm="1">
        <f t="array" ref="P19">SUM(_xlfn._xlws.FILTER(Deduction_and_other_Revenue[Other Deductions],((Deduction_and_other_Revenue[TYPE]=$A$5)*(Deduction_and_other_Revenue[PARTNER]=$A19)),0))</f>
        <v>0</v>
      </c>
      <c r="Q19" s="115">
        <f t="shared" ref="Q19:Q22" si="3">IFERROR(SUM(D19:I19)-SUM(J19:P19),0)</f>
        <v>2678</v>
      </c>
      <c r="R19" s="27"/>
      <c r="S19" s="27"/>
    </row>
    <row r="20" spans="1:19" s="111" customFormat="1" ht="15" customHeight="1" x14ac:dyDescent="0.25">
      <c r="A20" s="109" t="str">
        <v>QUICK STARS LLC</v>
      </c>
      <c r="B20" s="110">
        <v>12138</v>
      </c>
      <c r="C20" s="111" t="str">
        <v>said7kabdi@gmail.com</v>
      </c>
      <c r="D20" s="112">
        <f>IFERROR(SUMIF(SumVDPMVReport[PARTNER NAME],$A20,SumVDPMVReport[Total Rev]),0)</f>
        <v>3057.4387999999999</v>
      </c>
      <c r="E20" s="36"/>
      <c r="F20" s="36"/>
      <c r="G20" s="113" cm="1">
        <f t="array" ref="G20">SUM(_xlfn._xlws.FILTER(Deduction_and_other_Revenue[Other Income],((Deduction_and_other_Revenue[TYPE]=$A$5)*(Deduction_and_other_Revenue[PARTNER]=$A20)),0))</f>
        <v>0</v>
      </c>
      <c r="H20" s="112" cm="1">
        <f t="array" ref="H20">SUM(_xlfn._xlws.FILTER(Deduction_and_other_Revenue[Bonus],((Deduction_and_other_Revenue[TYPE]=$A$5)*(Deduction_and_other_Revenue[PARTNER]=$A20)),0))</f>
        <v>0</v>
      </c>
      <c r="I20" s="113" cm="1">
        <f t="array" ref="I20">SUM(_xlfn._xlws.FILTER(Deduction_and_other_Revenue[Reimbursement],((Deduction_and_other_Revenue[TYPE]=$A$5)*(Deduction_and_other_Revenue[PARTNER]=$A20)),0))</f>
        <v>0</v>
      </c>
      <c r="J20" s="112" cm="1">
        <f t="array" ref="J20">SUM(_xlfn._xlws.FILTER(Deduction_and_other_Revenue[Credentials],((Deduction_and_other_Revenue[TYPE]=$A$5)*(Deduction_and_other_Revenue[PARTNER]=$A20)),0))</f>
        <v>0</v>
      </c>
      <c r="K20" s="114" cm="1">
        <f t="array" ref="K20">SUM(_xlfn._xlws.FILTER(Deduction_and_other_Revenue[LIFT LEASE TOTAL],((Deduction_and_other_Revenue[TYPE]=$A$5)*(Deduction_and_other_Revenue[PARTNER]=$A20)),0))</f>
        <v>334</v>
      </c>
      <c r="L20" s="114" cm="1">
        <f t="array" ref="L20">SUM(_xlfn._xlws.FILTER(Deduction_and_other_Revenue[Tolls],((Deduction_and_other_Revenue[TYPE]=$A$5)*(Deduction_and_other_Revenue[PARTNER]=$A20)),0))</f>
        <v>0</v>
      </c>
      <c r="M20" s="114" cm="1">
        <f t="array" ref="M20">SUM(_xlfn._xlws.FILTER(Deduction_and_other_Revenue[Camera Tickets],((Deduction_and_other_Revenue[TYPE]=$A$5)*(Deduction_and_other_Revenue[PARTNER]=$A20)),0))</f>
        <v>0</v>
      </c>
      <c r="N20" s="114" cm="1">
        <f t="array" ref="N20">SUM(_xlfn._xlws.FILTER(Deduction_and_other_Revenue[Parking Tickets],((Deduction_and_other_Revenue[TYPE]=$A$5)*(Deduction_and_other_Revenue[PARTNER]=$A20)),0))</f>
        <v>0</v>
      </c>
      <c r="O20" s="112" cm="1">
        <f t="array" ref="O20">SUM(_xlfn._xlws.FILTER(Deduction_and_other_Revenue[Violation],((Deduction_and_other_Revenue[TYPE]=$A$5)*(Deduction_and_other_Revenue[PARTNER]=$A20)),0))</f>
        <v>500</v>
      </c>
      <c r="P20" s="112" cm="1">
        <f t="array" ref="P20">SUM(_xlfn._xlws.FILTER(Deduction_and_other_Revenue[Other Deductions],((Deduction_and_other_Revenue[TYPE]=$A$5)*(Deduction_and_other_Revenue[PARTNER]=$A20)),0))</f>
        <v>0</v>
      </c>
      <c r="Q20" s="115">
        <f t="shared" si="3"/>
        <v>2223.4387999999999</v>
      </c>
      <c r="R20" s="27"/>
      <c r="S20" s="27"/>
    </row>
    <row r="21" spans="1:19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9501.7425000000003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977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8524.7425000000003</v>
      </c>
    </row>
    <row r="22" spans="1:19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6930.6900000000005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643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6287.6900000000005</v>
      </c>
    </row>
    <row r="23" spans="1:19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3500.1723999999999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334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3166.1723999999999</v>
      </c>
    </row>
    <row r="24" spans="1:19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3134.9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334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2800.9</v>
      </c>
    </row>
    <row r="25" spans="1:19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3498.9775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334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3164.9775</v>
      </c>
    </row>
    <row r="26" spans="1:19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1822.9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334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1488.9</v>
      </c>
    </row>
    <row r="27" spans="1:19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3078.0650000000001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334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2744.0650000000001</v>
      </c>
    </row>
    <row r="28" spans="1:19" ht="15" hidden="1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9" ht="15" hidden="1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9" ht="15" hidden="1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9" hidden="1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9" ht="15" hidden="1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197651.59879999998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27206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2000</v>
      </c>
      <c r="P36" s="42">
        <f t="shared" si="5"/>
        <v>250</v>
      </c>
      <c r="Q36" s="42">
        <f t="shared" si="5"/>
        <v>168195.59879999998</v>
      </c>
    </row>
    <row r="38" spans="4:17" ht="15" customHeight="1" x14ac:dyDescent="0.25">
      <c r="K38" s="79"/>
    </row>
    <row r="39" spans="4:17" ht="15" customHeight="1" x14ac:dyDescent="0.25">
      <c r="D39" s="43">
        <f>D36</f>
        <v>197651.59879999998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27206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2000</v>
      </c>
      <c r="P39" s="43">
        <f t="shared" si="6"/>
        <v>250</v>
      </c>
      <c r="Q39" s="43">
        <f t="shared" si="6"/>
        <v>168195.59879999998</v>
      </c>
    </row>
    <row r="41" spans="4:17" ht="15" customHeight="1" x14ac:dyDescent="0.25">
      <c r="D41" s="84">
        <v>212135.04000000004</v>
      </c>
      <c r="E41" s="84">
        <v>0</v>
      </c>
      <c r="F41" s="84">
        <v>0</v>
      </c>
      <c r="G41" s="84">
        <v>309</v>
      </c>
      <c r="H41" s="84">
        <v>0</v>
      </c>
      <c r="I41" s="84">
        <v>0</v>
      </c>
      <c r="J41" s="84">
        <v>0</v>
      </c>
      <c r="K41" s="84">
        <v>25029</v>
      </c>
      <c r="L41" s="84">
        <v>0</v>
      </c>
      <c r="M41" s="84">
        <v>0</v>
      </c>
      <c r="N41" s="84">
        <v>0</v>
      </c>
      <c r="O41" s="84">
        <v>4250</v>
      </c>
      <c r="P41" s="84">
        <v>0</v>
      </c>
      <c r="Q41" s="84">
        <v>183165.04000000004</v>
      </c>
    </row>
    <row r="42" spans="4:17" ht="15" customHeight="1" x14ac:dyDescent="0.25">
      <c r="D42" s="84">
        <f>+D39-D41</f>
        <v>-14483.441200000059</v>
      </c>
      <c r="G42" s="84">
        <f t="shared" ref="G42:Q42" si="7">+G39-G41</f>
        <v>-309</v>
      </c>
      <c r="H42" s="84">
        <f t="shared" si="7"/>
        <v>0</v>
      </c>
      <c r="I42" s="84">
        <f t="shared" si="7"/>
        <v>0</v>
      </c>
      <c r="J42" s="84">
        <f t="shared" si="7"/>
        <v>0</v>
      </c>
      <c r="K42" s="84">
        <f t="shared" si="7"/>
        <v>2177</v>
      </c>
      <c r="L42" s="84">
        <f t="shared" si="7"/>
        <v>0</v>
      </c>
      <c r="M42" s="84">
        <f t="shared" si="7"/>
        <v>0</v>
      </c>
      <c r="N42" s="84">
        <f t="shared" si="7"/>
        <v>0</v>
      </c>
      <c r="O42" s="84">
        <f t="shared" si="7"/>
        <v>-2250</v>
      </c>
      <c r="P42" s="84">
        <f t="shared" si="7"/>
        <v>250</v>
      </c>
      <c r="Q42" s="84">
        <f t="shared" si="7"/>
        <v>-14969.441200000059</v>
      </c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>
    <filterColumn colId="16">
      <filters blank="1">
        <filter val="$1,334.00"/>
        <filter val="$1,386.52"/>
        <filter val="$1,488.90"/>
        <filter val="$16,162.46"/>
        <filter val="$2,223.44"/>
        <filter val="$2,678.00"/>
        <filter val="$2,703.96"/>
        <filter val="$2,744.07"/>
        <filter val="$2,800.90"/>
        <filter val="$2,825.72"/>
        <filter val="$3,158.62"/>
        <filter val="$3,164.98"/>
        <filter val="$3,166.17"/>
        <filter val="$3,912.93"/>
        <filter val="$30,824.85"/>
        <filter val="$300.48"/>
        <filter val="$33,279.26"/>
        <filter val="$33,330.02"/>
        <filter val="$5,897.92"/>
        <filter val="$6,287.69"/>
        <filter val="$8,524.74"/>
      </filters>
    </filterColumn>
  </autoFilter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12/30/24,  1/12/25</v>
      </c>
      <c r="F2" cm="1">
        <f t="array" ref="F2:F24">INDEX(PR!B:B,_xlfn.ANCHORARRAY($C2))</f>
        <v>1202</v>
      </c>
      <c r="H2" cm="1">
        <f t="array" ref="H2:H24">INDEX(PR!D:D,_xlfn.ANCHORARRAY($C2))</f>
        <v>42689.015299999999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8359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12/30/24,  1/12/25</v>
      </c>
      <c r="F3">
        <v>3114</v>
      </c>
      <c r="H3">
        <v>35325.849900000001</v>
      </c>
      <c r="I3">
        <v>0</v>
      </c>
      <c r="J3">
        <v>0</v>
      </c>
      <c r="K3">
        <v>0</v>
      </c>
      <c r="L3">
        <v>0</v>
      </c>
      <c r="M3">
        <v>0</v>
      </c>
      <c r="N3">
        <v>4501</v>
      </c>
      <c r="O3">
        <v>0</v>
      </c>
      <c r="P3">
        <v>0</v>
      </c>
    </row>
    <row r="4" spans="1:18" x14ac:dyDescent="0.25">
      <c r="C4">
        <v>8</v>
      </c>
      <c r="D4" t="str">
        <v>DIV12-PA</v>
      </c>
      <c r="E4" t="str">
        <v>12/30/24,  1/12/25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12/30/24,  1/12/25</v>
      </c>
      <c r="F5">
        <v>9066</v>
      </c>
      <c r="H5">
        <v>37780.259999999995</v>
      </c>
      <c r="I5">
        <v>0</v>
      </c>
      <c r="J5">
        <v>0</v>
      </c>
      <c r="K5">
        <v>0</v>
      </c>
      <c r="L5">
        <v>0</v>
      </c>
      <c r="M5">
        <v>0</v>
      </c>
      <c r="N5">
        <v>4501</v>
      </c>
      <c r="O5">
        <v>0</v>
      </c>
      <c r="P5">
        <v>0</v>
      </c>
    </row>
    <row r="6" spans="1:18" x14ac:dyDescent="0.25">
      <c r="C6">
        <v>10</v>
      </c>
      <c r="D6" t="str">
        <v>DIV12-PA</v>
      </c>
      <c r="E6" t="str">
        <v>12/30/24,  1/12/25</v>
      </c>
      <c r="F6">
        <v>12060</v>
      </c>
      <c r="H6">
        <v>1970.5150000000001</v>
      </c>
      <c r="I6">
        <v>0</v>
      </c>
      <c r="J6">
        <v>0</v>
      </c>
      <c r="K6">
        <v>0</v>
      </c>
      <c r="L6">
        <v>0</v>
      </c>
      <c r="M6">
        <v>0</v>
      </c>
      <c r="N6">
        <v>334</v>
      </c>
      <c r="O6">
        <v>0</v>
      </c>
      <c r="P6">
        <v>250</v>
      </c>
    </row>
    <row r="7" spans="1:18" x14ac:dyDescent="0.25">
      <c r="C7">
        <v>11</v>
      </c>
      <c r="D7" t="str">
        <v>DIV12-PA</v>
      </c>
      <c r="E7" t="str">
        <v>12/30/24,  1/12/25</v>
      </c>
      <c r="F7">
        <v>12078</v>
      </c>
      <c r="H7">
        <v>19568.455000000002</v>
      </c>
      <c r="I7">
        <v>0</v>
      </c>
      <c r="J7">
        <v>0</v>
      </c>
      <c r="K7">
        <v>0</v>
      </c>
      <c r="L7">
        <v>0</v>
      </c>
      <c r="M7">
        <v>0</v>
      </c>
      <c r="N7">
        <v>2906</v>
      </c>
      <c r="O7">
        <v>500</v>
      </c>
      <c r="P7">
        <v>0</v>
      </c>
    </row>
    <row r="8" spans="1:18" x14ac:dyDescent="0.25">
      <c r="C8">
        <v>12</v>
      </c>
      <c r="D8" t="str">
        <v>DIV12-PA</v>
      </c>
      <c r="E8" t="str">
        <v>12/30/24,  1/12/25</v>
      </c>
      <c r="F8">
        <v>12081</v>
      </c>
      <c r="H8">
        <v>3492.62</v>
      </c>
      <c r="I8">
        <v>0</v>
      </c>
      <c r="J8">
        <v>0</v>
      </c>
      <c r="K8">
        <v>0</v>
      </c>
      <c r="L8">
        <v>0</v>
      </c>
      <c r="M8">
        <v>0</v>
      </c>
      <c r="N8">
        <v>334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12/30/24,  1/12/25</v>
      </c>
      <c r="F9">
        <v>12088</v>
      </c>
      <c r="H9">
        <v>3159.7174999999997</v>
      </c>
      <c r="I9">
        <v>0</v>
      </c>
      <c r="J9">
        <v>0</v>
      </c>
      <c r="K9">
        <v>0</v>
      </c>
      <c r="L9">
        <v>0</v>
      </c>
      <c r="M9">
        <v>0</v>
      </c>
      <c r="N9">
        <v>334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12/30/24,  1/12/25</v>
      </c>
      <c r="F10">
        <v>12101</v>
      </c>
      <c r="H10">
        <v>6540.9187000000002</v>
      </c>
      <c r="I10">
        <v>0</v>
      </c>
      <c r="J10">
        <v>0</v>
      </c>
      <c r="K10">
        <v>0</v>
      </c>
      <c r="L10">
        <v>0</v>
      </c>
      <c r="M10">
        <v>0</v>
      </c>
      <c r="N10">
        <v>643</v>
      </c>
      <c r="O10">
        <v>0</v>
      </c>
      <c r="P10">
        <v>0</v>
      </c>
    </row>
    <row r="11" spans="1:18" x14ac:dyDescent="0.25">
      <c r="C11">
        <v>15</v>
      </c>
      <c r="D11" t="str">
        <v>DIV12-PA</v>
      </c>
      <c r="E11" t="str">
        <v>12/30/24,  1/12/25</v>
      </c>
      <c r="F11">
        <v>12106</v>
      </c>
      <c r="H11">
        <v>1668</v>
      </c>
      <c r="I11">
        <v>0</v>
      </c>
      <c r="J11">
        <v>0</v>
      </c>
      <c r="K11">
        <v>0</v>
      </c>
      <c r="L11">
        <v>0</v>
      </c>
      <c r="M11">
        <v>0</v>
      </c>
      <c r="N11">
        <v>334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12/30/24,  1/12/25</v>
      </c>
      <c r="F12">
        <v>12114</v>
      </c>
      <c r="H12">
        <v>4246.9250000000002</v>
      </c>
      <c r="I12">
        <v>0</v>
      </c>
      <c r="J12">
        <v>0</v>
      </c>
      <c r="K12">
        <v>0</v>
      </c>
      <c r="L12">
        <v>0</v>
      </c>
      <c r="M12">
        <v>0</v>
      </c>
      <c r="N12">
        <v>334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12/30/24,  1/12/25</v>
      </c>
      <c r="F13">
        <v>12118</v>
      </c>
      <c r="H13">
        <v>634.48</v>
      </c>
      <c r="I13">
        <v>0</v>
      </c>
      <c r="J13">
        <v>0</v>
      </c>
      <c r="K13">
        <v>0</v>
      </c>
      <c r="L13">
        <v>0</v>
      </c>
      <c r="M13">
        <v>0</v>
      </c>
      <c r="N13">
        <v>334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12/30/24,  1/12/25</v>
      </c>
      <c r="F14">
        <v>12119</v>
      </c>
      <c r="H14">
        <v>3037.9562000000001</v>
      </c>
      <c r="I14">
        <v>0</v>
      </c>
      <c r="J14">
        <v>0</v>
      </c>
      <c r="K14">
        <v>0</v>
      </c>
      <c r="L14">
        <v>0</v>
      </c>
      <c r="M14">
        <v>0</v>
      </c>
      <c r="N14">
        <v>334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12/30/24,  1/12/25</v>
      </c>
      <c r="F15">
        <v>12124</v>
      </c>
      <c r="H15">
        <v>3012</v>
      </c>
      <c r="I15">
        <v>0</v>
      </c>
      <c r="J15">
        <v>0</v>
      </c>
      <c r="K15">
        <v>0</v>
      </c>
      <c r="L15">
        <v>0</v>
      </c>
      <c r="M15">
        <v>0</v>
      </c>
      <c r="N15">
        <v>334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12/30/24,  1/12/25</v>
      </c>
      <c r="F16">
        <v>12138</v>
      </c>
      <c r="H16">
        <v>3057.4387999999999</v>
      </c>
      <c r="I16">
        <v>0</v>
      </c>
      <c r="J16">
        <v>0</v>
      </c>
      <c r="K16">
        <v>0</v>
      </c>
      <c r="L16">
        <v>0</v>
      </c>
      <c r="M16">
        <v>0</v>
      </c>
      <c r="N16">
        <v>334</v>
      </c>
      <c r="O16">
        <v>500</v>
      </c>
      <c r="P16">
        <v>0</v>
      </c>
    </row>
    <row r="17" spans="3:16" x14ac:dyDescent="0.25">
      <c r="C17">
        <v>21</v>
      </c>
      <c r="D17" t="str">
        <v>DIV12-PA</v>
      </c>
      <c r="E17" t="str">
        <v>12/30/24,  1/12/25</v>
      </c>
      <c r="F17">
        <v>12141</v>
      </c>
      <c r="H17">
        <v>9501.7425000000003</v>
      </c>
      <c r="I17">
        <v>0</v>
      </c>
      <c r="J17">
        <v>0</v>
      </c>
      <c r="K17">
        <v>0</v>
      </c>
      <c r="L17">
        <v>0</v>
      </c>
      <c r="M17">
        <v>0</v>
      </c>
      <c r="N17">
        <v>977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12/30/24,  1/12/25</v>
      </c>
      <c r="F18">
        <v>12145</v>
      </c>
      <c r="H18">
        <v>6930.6900000000005</v>
      </c>
      <c r="I18">
        <v>0</v>
      </c>
      <c r="J18">
        <v>0</v>
      </c>
      <c r="K18">
        <v>0</v>
      </c>
      <c r="L18">
        <v>0</v>
      </c>
      <c r="M18">
        <v>0</v>
      </c>
      <c r="N18">
        <v>643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12/30/24,  1/12/25</v>
      </c>
      <c r="F19">
        <v>12150</v>
      </c>
      <c r="H19">
        <v>3500.1723999999999</v>
      </c>
      <c r="I19">
        <v>0</v>
      </c>
      <c r="J19">
        <v>0</v>
      </c>
      <c r="K19">
        <v>0</v>
      </c>
      <c r="L19">
        <v>0</v>
      </c>
      <c r="M19">
        <v>0</v>
      </c>
      <c r="N19">
        <v>334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12/30/24,  1/12/25</v>
      </c>
      <c r="F20">
        <v>12154</v>
      </c>
      <c r="H20">
        <v>3134.9</v>
      </c>
      <c r="I20">
        <v>0</v>
      </c>
      <c r="J20">
        <v>0</v>
      </c>
      <c r="K20">
        <v>0</v>
      </c>
      <c r="L20">
        <v>0</v>
      </c>
      <c r="M20">
        <v>0</v>
      </c>
      <c r="N20">
        <v>334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12/30/24,  1/12/25</v>
      </c>
      <c r="F21">
        <v>12155</v>
      </c>
      <c r="H21">
        <v>3498.9775</v>
      </c>
      <c r="I21">
        <v>0</v>
      </c>
      <c r="J21">
        <v>0</v>
      </c>
      <c r="K21">
        <v>0</v>
      </c>
      <c r="L21">
        <v>0</v>
      </c>
      <c r="M21">
        <v>0</v>
      </c>
      <c r="N21">
        <v>334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12/30/24,  1/12/25</v>
      </c>
      <c r="F22">
        <v>12157</v>
      </c>
      <c r="H22">
        <v>1822.9</v>
      </c>
      <c r="I22">
        <v>0</v>
      </c>
      <c r="J22">
        <v>0</v>
      </c>
      <c r="K22">
        <v>0</v>
      </c>
      <c r="L22">
        <v>0</v>
      </c>
      <c r="M22">
        <v>0</v>
      </c>
      <c r="N22">
        <v>334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12/30/24,  1/12/25</v>
      </c>
      <c r="F23">
        <v>12166</v>
      </c>
      <c r="H23">
        <v>3078.0650000000001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334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12/30/24,  1/12/25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90" zoomScaleNormal="90" workbookViewId="0">
      <selection activeCell="D21" sqref="D21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24" t="s">
        <v>1667</v>
      </c>
      <c r="C2" s="124"/>
      <c r="D2" s="124"/>
      <c r="E2" s="124"/>
      <c r="F2" s="124"/>
      <c r="H2" s="23" t="s">
        <v>67</v>
      </c>
      <c r="I2" s="24">
        <f>SUM($T$8,$W$6)-$Z$7</f>
        <v>1386.5150000000001</v>
      </c>
      <c r="M2" s="8"/>
      <c r="V2" s="63" t="s">
        <v>51</v>
      </c>
      <c r="W2" s="63"/>
      <c r="Y2" s="121" t="s">
        <v>47</v>
      </c>
      <c r="Z2" s="121"/>
      <c r="AB2" s="121" t="s">
        <v>127</v>
      </c>
      <c r="AC2" s="121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125" t="s">
        <v>219</v>
      </c>
      <c r="I4" s="126"/>
      <c r="J4" s="127"/>
      <c r="K4" s="128" t="s">
        <v>220</v>
      </c>
      <c r="L4" s="129"/>
      <c r="M4" s="129"/>
      <c r="N4" s="130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334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250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42.01</v>
      </c>
      <c r="D6" s="4">
        <v>42.01</v>
      </c>
      <c r="E6" s="4">
        <v>42.01</v>
      </c>
      <c r="F6" s="58">
        <v>1</v>
      </c>
      <c r="G6" s="66">
        <v>887.46119999999996</v>
      </c>
      <c r="H6" s="8">
        <v>273.065</v>
      </c>
      <c r="I6" s="8">
        <v>0</v>
      </c>
      <c r="J6" s="66">
        <v>0</v>
      </c>
      <c r="K6" s="58">
        <v>1</v>
      </c>
      <c r="L6" s="77">
        <v>0</v>
      </c>
      <c r="M6" s="8">
        <v>136.5325</v>
      </c>
      <c r="N6" s="66">
        <v>0</v>
      </c>
      <c r="O6" s="77">
        <v>0.78362294691740098</v>
      </c>
      <c r="P6" s="8">
        <v>68.266199999999998</v>
      </c>
      <c r="Q6" s="8">
        <v>64</v>
      </c>
      <c r="R6" s="8">
        <v>0</v>
      </c>
      <c r="S6" s="8">
        <v>0</v>
      </c>
      <c r="T6" s="8">
        <v>1429.325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f>IFERROR(SUM(Z3:Z6),0)</f>
        <v>584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92.009999999999991</v>
      </c>
      <c r="D8" s="21">
        <f t="shared" ref="D8:E8" si="0">SUM(D6:D7)</f>
        <v>64.22</v>
      </c>
      <c r="E8" s="21">
        <f t="shared" si="0"/>
        <v>64.22</v>
      </c>
      <c r="F8" s="67"/>
      <c r="G8" s="76">
        <f>SUM(G6:G7)</f>
        <v>887.46119999999996</v>
      </c>
      <c r="H8" s="22">
        <f t="shared" ref="H8:M8" si="1">SUM(H6:H7)</f>
        <v>273.065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136.5325</v>
      </c>
      <c r="N8" s="22">
        <f>SUM(N6:N7)</f>
        <v>0</v>
      </c>
      <c r="O8" s="78"/>
      <c r="P8" s="22">
        <f>SUM(P6:P7)</f>
        <v>68.266199999999998</v>
      </c>
      <c r="Q8" s="22">
        <f>SUM(Q6:Q7)</f>
        <v>110.8</v>
      </c>
      <c r="R8" s="22">
        <f>SUM(R6:R7)</f>
        <v>0</v>
      </c>
      <c r="S8" s="22">
        <f>SUM(S6:S7)</f>
        <v>494.39</v>
      </c>
      <c r="T8" s="22">
        <f>SUM(T6:T7)</f>
        <v>1970.5150000000001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31" t="s">
        <v>56</v>
      </c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3"/>
      <c r="N10" s="6"/>
      <c r="O10" s="6"/>
      <c r="P10" s="6"/>
      <c r="Q10" s="6"/>
      <c r="R10" s="6"/>
      <c r="S10" s="6"/>
      <c r="T10" s="6"/>
      <c r="U10" s="6"/>
      <c r="V10" s="122" t="s">
        <v>119</v>
      </c>
      <c r="W10" s="123"/>
      <c r="X10" s="123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3">_xlfn._xlws.FILTER(VDPMVReport[[Week]:[Tolls]],VDPMVReport[PARTNER NAME]=$B$2,"No Data for the Selected Partner")</f>
        <v>45663</v>
      </c>
      <c r="C12" s="6" t="str">
        <v>MAINE</v>
      </c>
      <c r="D12" s="6" t="str">
        <v>BENNERMAN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 cm="1">
        <f t="array" ref="V12:X12">_xlfn._xlws.FILTER(Deduction_and_other_Revenue[[ Lift Lease Rate]:[LIFT LEASE TOTAL]],Deduction_and_other_Revenue[PARTNER]=$B$2,"No Data for the Selected Partner")</f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45656</v>
      </c>
      <c r="C13" s="6" t="str">
        <v>MAINE</v>
      </c>
      <c r="D13" s="6" t="str">
        <v>BENNERMAN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9:34" x14ac:dyDescent="0.25">
      <c r="I17" s="4"/>
      <c r="M17" s="4"/>
      <c r="V17" s="8"/>
      <c r="W17" s="3"/>
      <c r="X17" s="8"/>
      <c r="AA17" s="6"/>
      <c r="AC17" s="6"/>
      <c r="AH17" s="6"/>
    </row>
    <row r="18" spans="9:34" x14ac:dyDescent="0.25">
      <c r="I18" s="4"/>
      <c r="V18" s="8"/>
      <c r="W18" s="3"/>
      <c r="X18" s="8"/>
      <c r="AA18" s="6"/>
      <c r="AC18" s="6"/>
      <c r="AH18" s="6"/>
    </row>
    <row r="19" spans="9:34" x14ac:dyDescent="0.25">
      <c r="I19" s="4"/>
      <c r="V19" s="8"/>
      <c r="W19" s="3"/>
      <c r="X19" s="8"/>
      <c r="AA19" s="6"/>
      <c r="AC19" s="6"/>
      <c r="AH19" s="6"/>
    </row>
    <row r="20" spans="9:34" x14ac:dyDescent="0.25">
      <c r="I20" s="4"/>
      <c r="V20" s="8"/>
      <c r="W20" s="3"/>
      <c r="X20" s="8"/>
      <c r="AA20" s="6"/>
      <c r="AC20" s="6"/>
      <c r="AH20" s="6"/>
    </row>
    <row r="21" spans="9:34" x14ac:dyDescent="0.25">
      <c r="I21" s="4"/>
      <c r="V21" s="8"/>
      <c r="W21" s="3"/>
      <c r="X21" s="8"/>
      <c r="AA21" s="6"/>
      <c r="AC21" s="6"/>
      <c r="AH21" s="6"/>
    </row>
    <row r="22" spans="9:34" x14ac:dyDescent="0.25">
      <c r="I22" s="4"/>
      <c r="V22" s="8"/>
      <c r="W22" s="3"/>
      <c r="X22" s="8"/>
      <c r="AA22" s="6"/>
      <c r="AC22" s="6"/>
      <c r="AH22" s="6"/>
    </row>
    <row r="23" spans="9:34" x14ac:dyDescent="0.25">
      <c r="I23" s="4"/>
      <c r="V23" s="8"/>
      <c r="W23" s="3"/>
      <c r="X23" s="8"/>
      <c r="AA23" s="6"/>
      <c r="AC23" s="6"/>
      <c r="AH23" s="6"/>
    </row>
    <row r="24" spans="9:34" x14ac:dyDescent="0.25">
      <c r="I24" s="4"/>
      <c r="V24" s="8"/>
      <c r="W24" s="3"/>
      <c r="X24" s="8"/>
      <c r="AA24" s="6"/>
      <c r="AC24" s="6"/>
      <c r="AH24" s="6"/>
    </row>
    <row r="25" spans="9:34" x14ac:dyDescent="0.25">
      <c r="I25" s="4"/>
      <c r="V25" s="8"/>
      <c r="W25" s="3"/>
      <c r="X25" s="8"/>
      <c r="AA25" s="6"/>
      <c r="AC25" s="6"/>
      <c r="AH25" s="6"/>
    </row>
    <row r="26" spans="9:34" x14ac:dyDescent="0.25">
      <c r="I26" s="4"/>
      <c r="V26" s="8"/>
      <c r="W26" s="3"/>
      <c r="X26" s="8"/>
      <c r="AA26" s="6"/>
      <c r="AC26" s="6"/>
      <c r="AH26" s="6"/>
    </row>
    <row r="27" spans="9:34" x14ac:dyDescent="0.25">
      <c r="I27" s="4"/>
      <c r="V27" s="8"/>
      <c r="W27" s="3"/>
      <c r="X27" s="8"/>
      <c r="AA27" s="6"/>
      <c r="AC27" s="6"/>
      <c r="AH27" s="6"/>
    </row>
    <row r="28" spans="9:34" x14ac:dyDescent="0.25">
      <c r="I28" s="4"/>
      <c r="V28" s="8"/>
      <c r="W28" s="3"/>
      <c r="X28" s="8"/>
      <c r="AA28" s="6"/>
      <c r="AC28" s="6"/>
      <c r="AH28" s="6"/>
    </row>
    <row r="29" spans="9:34" x14ac:dyDescent="0.25">
      <c r="I29" s="4"/>
      <c r="V29" s="8"/>
      <c r="W29" s="3"/>
      <c r="X29" s="8"/>
      <c r="AA29" s="6"/>
      <c r="AC29" s="6"/>
      <c r="AH29" s="6"/>
    </row>
    <row r="30" spans="9:34" x14ac:dyDescent="0.25">
      <c r="I30" s="4"/>
      <c r="V30" s="8"/>
      <c r="W30" s="3"/>
      <c r="X30" s="8"/>
      <c r="AA30" s="6"/>
      <c r="AC30" s="6"/>
      <c r="AH30" s="6"/>
    </row>
    <row r="31" spans="9:34" x14ac:dyDescent="0.25">
      <c r="I31" s="4"/>
      <c r="V31" s="8"/>
      <c r="W31" s="3"/>
      <c r="X31" s="8"/>
      <c r="AA31" s="6"/>
      <c r="AC31" s="6"/>
      <c r="AH31" s="6"/>
    </row>
    <row r="32" spans="9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workbookViewId="0"/>
  </sheetViews>
  <sheetFormatPr defaultRowHeight="15" x14ac:dyDescent="0.25"/>
  <cols>
    <col min="1" max="1" width="10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45663</v>
      </c>
      <c r="B2" t="s">
        <v>1828</v>
      </c>
      <c r="C2" t="s">
        <v>1829</v>
      </c>
      <c r="D2">
        <v>30</v>
      </c>
      <c r="E2">
        <v>0.86486486486486491</v>
      </c>
      <c r="F2">
        <v>6.25E-2</v>
      </c>
      <c r="G2">
        <v>18.23</v>
      </c>
      <c r="H2">
        <v>0</v>
      </c>
      <c r="I2">
        <v>18.23</v>
      </c>
      <c r="J2">
        <v>339.8</v>
      </c>
      <c r="K2">
        <v>18</v>
      </c>
      <c r="L2">
        <v>0</v>
      </c>
      <c r="M2" t="s">
        <v>1830</v>
      </c>
      <c r="N2">
        <v>8</v>
      </c>
      <c r="O2">
        <v>22</v>
      </c>
      <c r="P2">
        <v>15.45</v>
      </c>
      <c r="Q2">
        <v>3</v>
      </c>
      <c r="R2">
        <v>2.78</v>
      </c>
      <c r="S2">
        <v>8.67</v>
      </c>
      <c r="T2">
        <v>7.04</v>
      </c>
      <c r="U2">
        <v>1.65</v>
      </c>
      <c r="V2">
        <v>32</v>
      </c>
      <c r="W2">
        <v>2</v>
      </c>
      <c r="X2">
        <v>2</v>
      </c>
      <c r="Y2">
        <v>0</v>
      </c>
      <c r="Z2">
        <v>0</v>
      </c>
      <c r="AA2" t="s">
        <v>115</v>
      </c>
      <c r="AB2">
        <v>18.23</v>
      </c>
      <c r="AC2">
        <v>0.1</v>
      </c>
      <c r="AD2">
        <v>0.05</v>
      </c>
      <c r="AE2">
        <v>0</v>
      </c>
      <c r="AF2" t="s">
        <v>1725</v>
      </c>
      <c r="AG2" t="s">
        <v>1601</v>
      </c>
      <c r="AH2">
        <v>0.7</v>
      </c>
    </row>
    <row r="3" spans="1:34" x14ac:dyDescent="0.25">
      <c r="A3" s="2">
        <v>45663</v>
      </c>
      <c r="B3" t="s">
        <v>1845</v>
      </c>
      <c r="C3" t="s">
        <v>1846</v>
      </c>
      <c r="D3">
        <v>65</v>
      </c>
      <c r="E3">
        <v>0.9859154929577465</v>
      </c>
      <c r="F3">
        <v>0</v>
      </c>
      <c r="G3">
        <v>30.59</v>
      </c>
      <c r="H3">
        <v>0.13</v>
      </c>
      <c r="I3">
        <v>30.46</v>
      </c>
      <c r="J3">
        <v>754.2</v>
      </c>
      <c r="K3">
        <v>44.1</v>
      </c>
      <c r="L3">
        <v>6</v>
      </c>
      <c r="M3" t="s">
        <v>1847</v>
      </c>
      <c r="N3">
        <v>6</v>
      </c>
      <c r="O3">
        <v>59</v>
      </c>
      <c r="P3">
        <v>28.77</v>
      </c>
      <c r="Q3">
        <v>1</v>
      </c>
      <c r="R3">
        <v>1.69</v>
      </c>
      <c r="S3">
        <v>6.66</v>
      </c>
      <c r="T3">
        <v>5.91</v>
      </c>
      <c r="U3">
        <v>2.12</v>
      </c>
      <c r="V3">
        <v>70</v>
      </c>
      <c r="W3">
        <v>0</v>
      </c>
      <c r="X3">
        <v>0</v>
      </c>
      <c r="Y3">
        <v>30.46</v>
      </c>
      <c r="Z3">
        <v>0</v>
      </c>
      <c r="AA3" t="s">
        <v>115</v>
      </c>
      <c r="AB3">
        <v>0</v>
      </c>
      <c r="AC3">
        <v>0.1</v>
      </c>
      <c r="AD3">
        <v>0.05</v>
      </c>
      <c r="AE3">
        <v>30.46</v>
      </c>
      <c r="AF3" t="s">
        <v>1615</v>
      </c>
      <c r="AG3" t="s">
        <v>1599</v>
      </c>
      <c r="AH3">
        <v>0.7</v>
      </c>
    </row>
    <row r="4" spans="1:34" x14ac:dyDescent="0.25">
      <c r="A4" s="2">
        <v>45656</v>
      </c>
      <c r="B4" t="s">
        <v>1828</v>
      </c>
      <c r="C4" t="s">
        <v>1829</v>
      </c>
      <c r="D4">
        <v>41</v>
      </c>
      <c r="E4">
        <v>0.97727272727272729</v>
      </c>
      <c r="F4">
        <v>0</v>
      </c>
      <c r="G4">
        <v>23.52</v>
      </c>
      <c r="H4">
        <v>0.4</v>
      </c>
      <c r="I4">
        <v>23.12</v>
      </c>
      <c r="J4">
        <v>481.25</v>
      </c>
      <c r="K4">
        <v>48.08</v>
      </c>
      <c r="L4">
        <v>0</v>
      </c>
      <c r="M4" t="s">
        <v>1830</v>
      </c>
      <c r="N4">
        <v>9</v>
      </c>
      <c r="O4">
        <v>32</v>
      </c>
      <c r="P4">
        <v>20.49</v>
      </c>
      <c r="Q4">
        <v>0</v>
      </c>
      <c r="R4">
        <v>2.63</v>
      </c>
      <c r="S4">
        <v>10.47</v>
      </c>
      <c r="T4">
        <v>8.23</v>
      </c>
      <c r="U4">
        <v>1.74</v>
      </c>
      <c r="V4">
        <v>43</v>
      </c>
      <c r="W4">
        <v>1</v>
      </c>
      <c r="X4">
        <v>0</v>
      </c>
      <c r="Y4">
        <v>23.12</v>
      </c>
      <c r="Z4">
        <v>0</v>
      </c>
      <c r="AA4" t="s">
        <v>114</v>
      </c>
      <c r="AB4">
        <v>0</v>
      </c>
      <c r="AC4">
        <v>0.1</v>
      </c>
      <c r="AD4">
        <v>0.05</v>
      </c>
      <c r="AE4">
        <v>23.12</v>
      </c>
      <c r="AF4" t="s">
        <v>1725</v>
      </c>
      <c r="AG4" t="s">
        <v>1601</v>
      </c>
      <c r="AH4">
        <v>0.7</v>
      </c>
    </row>
    <row r="5" spans="1:34" x14ac:dyDescent="0.25">
      <c r="A5" s="2">
        <v>45663</v>
      </c>
      <c r="B5" t="s">
        <v>1999</v>
      </c>
      <c r="C5" t="s">
        <v>2000</v>
      </c>
      <c r="D5">
        <v>116</v>
      </c>
      <c r="E5">
        <v>0.98550724637681164</v>
      </c>
      <c r="F5">
        <v>7.3529411764705881E-3</v>
      </c>
      <c r="G5">
        <v>53.9</v>
      </c>
      <c r="H5">
        <v>0.16</v>
      </c>
      <c r="I5">
        <v>53.74</v>
      </c>
      <c r="J5">
        <v>1068.3499999999999</v>
      </c>
      <c r="K5">
        <v>75.349999999999994</v>
      </c>
      <c r="L5">
        <v>0</v>
      </c>
      <c r="M5" t="s">
        <v>1834</v>
      </c>
      <c r="N5">
        <v>3</v>
      </c>
      <c r="O5">
        <v>113</v>
      </c>
      <c r="P5">
        <v>45.54</v>
      </c>
      <c r="Q5">
        <v>0</v>
      </c>
      <c r="R5">
        <v>8.19</v>
      </c>
      <c r="S5">
        <v>8.8800000000000008</v>
      </c>
      <c r="T5">
        <v>7.55</v>
      </c>
      <c r="U5">
        <v>2.15</v>
      </c>
      <c r="V5">
        <v>136</v>
      </c>
      <c r="W5">
        <v>2</v>
      </c>
      <c r="X5">
        <v>1</v>
      </c>
      <c r="Y5">
        <v>53.74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53.74</v>
      </c>
      <c r="AF5" t="s">
        <v>1732</v>
      </c>
      <c r="AG5" t="s">
        <v>1600</v>
      </c>
      <c r="AH5">
        <v>0.7</v>
      </c>
    </row>
    <row r="6" spans="1:34" x14ac:dyDescent="0.25">
      <c r="A6" s="2">
        <v>45663</v>
      </c>
      <c r="B6" t="s">
        <v>1858</v>
      </c>
      <c r="C6" t="s">
        <v>1859</v>
      </c>
      <c r="D6">
        <v>68</v>
      </c>
      <c r="E6">
        <v>0.99038461538461542</v>
      </c>
      <c r="F6">
        <v>1.9417475728155338E-2</v>
      </c>
      <c r="G6">
        <v>39.74</v>
      </c>
      <c r="H6">
        <v>0.64</v>
      </c>
      <c r="I6">
        <v>39.1</v>
      </c>
      <c r="J6">
        <v>671.42</v>
      </c>
      <c r="K6">
        <v>53</v>
      </c>
      <c r="L6">
        <v>7.65</v>
      </c>
      <c r="M6" t="s">
        <v>1860</v>
      </c>
      <c r="N6">
        <v>10</v>
      </c>
      <c r="O6">
        <v>58</v>
      </c>
      <c r="P6">
        <v>36.380000000000003</v>
      </c>
      <c r="Q6">
        <v>1</v>
      </c>
      <c r="R6">
        <v>2.72</v>
      </c>
      <c r="S6">
        <v>8.3699999999999992</v>
      </c>
      <c r="T6">
        <v>7.52</v>
      </c>
      <c r="U6">
        <v>1.71</v>
      </c>
      <c r="V6">
        <v>103</v>
      </c>
      <c r="W6">
        <v>0</v>
      </c>
      <c r="X6">
        <v>2</v>
      </c>
      <c r="Y6">
        <v>39.1</v>
      </c>
      <c r="Z6">
        <v>0</v>
      </c>
      <c r="AA6" t="s">
        <v>115</v>
      </c>
      <c r="AB6">
        <v>0</v>
      </c>
      <c r="AC6">
        <v>0.1</v>
      </c>
      <c r="AD6">
        <v>0.05</v>
      </c>
      <c r="AE6">
        <v>39.1</v>
      </c>
      <c r="AF6" t="s">
        <v>1619</v>
      </c>
      <c r="AG6" t="s">
        <v>1599</v>
      </c>
      <c r="AH6">
        <v>0.7</v>
      </c>
    </row>
    <row r="7" spans="1:34" x14ac:dyDescent="0.25">
      <c r="A7" s="2">
        <v>45656</v>
      </c>
      <c r="B7" t="s">
        <v>1999</v>
      </c>
      <c r="C7" t="s">
        <v>2000</v>
      </c>
      <c r="D7">
        <v>62</v>
      </c>
      <c r="E7">
        <v>0.9850746268656716</v>
      </c>
      <c r="F7">
        <v>0</v>
      </c>
      <c r="G7">
        <v>30.99</v>
      </c>
      <c r="H7">
        <v>0</v>
      </c>
      <c r="I7">
        <v>30.99</v>
      </c>
      <c r="J7">
        <v>621.51</v>
      </c>
      <c r="K7">
        <v>42</v>
      </c>
      <c r="L7">
        <v>0</v>
      </c>
      <c r="M7" t="s">
        <v>1834</v>
      </c>
      <c r="N7">
        <v>5</v>
      </c>
      <c r="O7">
        <v>57</v>
      </c>
      <c r="P7">
        <v>25.36</v>
      </c>
      <c r="Q7">
        <v>0</v>
      </c>
      <c r="R7">
        <v>5.63</v>
      </c>
      <c r="S7">
        <v>3.49</v>
      </c>
      <c r="T7">
        <v>1.91</v>
      </c>
      <c r="U7">
        <v>2</v>
      </c>
      <c r="V7">
        <v>66</v>
      </c>
      <c r="W7">
        <v>1</v>
      </c>
      <c r="X7">
        <v>0</v>
      </c>
      <c r="Y7">
        <v>30.99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30.99</v>
      </c>
      <c r="AF7" t="s">
        <v>1732</v>
      </c>
      <c r="AG7" t="s">
        <v>1600</v>
      </c>
      <c r="AH7">
        <v>0.7</v>
      </c>
    </row>
    <row r="8" spans="1:34" x14ac:dyDescent="0.25">
      <c r="A8" s="2">
        <v>45663</v>
      </c>
      <c r="B8" t="s">
        <v>1838</v>
      </c>
      <c r="C8" t="s">
        <v>1839</v>
      </c>
      <c r="D8">
        <v>16</v>
      </c>
      <c r="E8">
        <v>1</v>
      </c>
      <c r="F8">
        <v>0</v>
      </c>
      <c r="G8">
        <v>8.7200000000000006</v>
      </c>
      <c r="H8">
        <v>7.0000000000000007E-2</v>
      </c>
      <c r="I8">
        <v>8.65</v>
      </c>
      <c r="J8">
        <v>186.34</v>
      </c>
      <c r="K8">
        <v>3</v>
      </c>
      <c r="L8">
        <v>6</v>
      </c>
      <c r="M8" t="s">
        <v>1840</v>
      </c>
      <c r="N8">
        <v>5</v>
      </c>
      <c r="O8">
        <v>11</v>
      </c>
      <c r="P8">
        <v>8.19</v>
      </c>
      <c r="Q8">
        <v>0</v>
      </c>
      <c r="R8">
        <v>0.46</v>
      </c>
      <c r="S8">
        <v>4.6500000000000004</v>
      </c>
      <c r="T8">
        <v>4.4000000000000004</v>
      </c>
      <c r="U8">
        <v>1.83</v>
      </c>
      <c r="V8">
        <v>13</v>
      </c>
      <c r="W8">
        <v>0</v>
      </c>
      <c r="X8">
        <v>0</v>
      </c>
      <c r="Y8">
        <v>8.65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8.65</v>
      </c>
      <c r="AF8" t="s">
        <v>1629</v>
      </c>
      <c r="AG8" t="s">
        <v>1599</v>
      </c>
      <c r="AH8">
        <v>0.7</v>
      </c>
    </row>
    <row r="9" spans="1:34" x14ac:dyDescent="0.25">
      <c r="A9" s="2">
        <v>45663</v>
      </c>
      <c r="B9" t="s">
        <v>2132</v>
      </c>
      <c r="C9" t="s">
        <v>2133</v>
      </c>
      <c r="D9">
        <v>68</v>
      </c>
      <c r="E9">
        <v>0.98648648648648651</v>
      </c>
      <c r="F9">
        <v>0</v>
      </c>
      <c r="G9">
        <v>27.63</v>
      </c>
      <c r="H9">
        <v>0</v>
      </c>
      <c r="I9">
        <v>27.63</v>
      </c>
      <c r="J9">
        <v>557.26</v>
      </c>
      <c r="K9">
        <v>16</v>
      </c>
      <c r="L9">
        <v>0</v>
      </c>
      <c r="M9" t="s">
        <v>2134</v>
      </c>
      <c r="N9">
        <v>10</v>
      </c>
      <c r="O9">
        <v>58</v>
      </c>
      <c r="P9">
        <v>24.57</v>
      </c>
      <c r="Q9">
        <v>0</v>
      </c>
      <c r="R9">
        <v>3.06</v>
      </c>
      <c r="S9">
        <v>13.5</v>
      </c>
      <c r="T9">
        <v>11.07</v>
      </c>
      <c r="U9">
        <v>2.46</v>
      </c>
      <c r="V9">
        <v>73</v>
      </c>
      <c r="W9">
        <v>1</v>
      </c>
      <c r="X9">
        <v>0</v>
      </c>
      <c r="Y9">
        <v>27.63</v>
      </c>
      <c r="Z9">
        <v>0</v>
      </c>
      <c r="AA9" t="s">
        <v>115</v>
      </c>
      <c r="AB9">
        <v>0</v>
      </c>
      <c r="AC9">
        <v>0.1</v>
      </c>
      <c r="AD9">
        <v>0.05</v>
      </c>
      <c r="AE9">
        <v>27.63</v>
      </c>
      <c r="AF9" t="s">
        <v>1688</v>
      </c>
      <c r="AG9" t="s">
        <v>1599</v>
      </c>
      <c r="AH9">
        <v>0.7</v>
      </c>
    </row>
    <row r="10" spans="1:34" x14ac:dyDescent="0.25">
      <c r="A10" s="2">
        <v>45663</v>
      </c>
      <c r="B10" t="s">
        <v>1852</v>
      </c>
      <c r="C10" t="s">
        <v>1853</v>
      </c>
      <c r="D10">
        <v>56</v>
      </c>
      <c r="E10">
        <v>0.91397849462365588</v>
      </c>
      <c r="F10">
        <v>0</v>
      </c>
      <c r="G10">
        <v>36.53</v>
      </c>
      <c r="H10">
        <v>2.71</v>
      </c>
      <c r="I10">
        <v>33.82</v>
      </c>
      <c r="J10">
        <v>594.1</v>
      </c>
      <c r="K10">
        <v>16.46</v>
      </c>
      <c r="L10">
        <v>1.51</v>
      </c>
      <c r="M10" t="s">
        <v>1854</v>
      </c>
      <c r="N10">
        <v>5</v>
      </c>
      <c r="O10">
        <v>51</v>
      </c>
      <c r="P10">
        <v>30.5</v>
      </c>
      <c r="Q10">
        <v>8</v>
      </c>
      <c r="R10">
        <v>3.32</v>
      </c>
      <c r="S10">
        <v>1.39</v>
      </c>
      <c r="T10">
        <v>0.44</v>
      </c>
      <c r="U10">
        <v>1.53</v>
      </c>
      <c r="V10">
        <v>85</v>
      </c>
      <c r="W10">
        <v>0</v>
      </c>
      <c r="X10">
        <v>0</v>
      </c>
      <c r="Y10">
        <v>0</v>
      </c>
      <c r="Z10">
        <v>0</v>
      </c>
      <c r="AA10" t="s">
        <v>115</v>
      </c>
      <c r="AB10">
        <v>33.82</v>
      </c>
      <c r="AC10">
        <v>0.1</v>
      </c>
      <c r="AD10">
        <v>0.05</v>
      </c>
      <c r="AE10">
        <v>0</v>
      </c>
      <c r="AF10" t="s">
        <v>1718</v>
      </c>
      <c r="AG10" t="s">
        <v>1599</v>
      </c>
      <c r="AH10">
        <v>0.7</v>
      </c>
    </row>
    <row r="11" spans="1:34" x14ac:dyDescent="0.25">
      <c r="A11" s="2">
        <v>45656</v>
      </c>
      <c r="B11" t="s">
        <v>2132</v>
      </c>
      <c r="C11" t="s">
        <v>2133</v>
      </c>
      <c r="D11">
        <v>65</v>
      </c>
      <c r="E11">
        <v>1</v>
      </c>
      <c r="F11">
        <v>1.4084507042253521E-2</v>
      </c>
      <c r="G11">
        <v>32.39</v>
      </c>
      <c r="H11">
        <v>0.41</v>
      </c>
      <c r="I11">
        <v>31.98</v>
      </c>
      <c r="J11">
        <v>731.27</v>
      </c>
      <c r="K11">
        <v>90.65</v>
      </c>
      <c r="L11">
        <v>0</v>
      </c>
      <c r="M11" t="s">
        <v>2134</v>
      </c>
      <c r="N11">
        <v>16</v>
      </c>
      <c r="O11">
        <v>49</v>
      </c>
      <c r="P11">
        <v>28.53</v>
      </c>
      <c r="Q11">
        <v>0</v>
      </c>
      <c r="R11">
        <v>3.45</v>
      </c>
      <c r="S11">
        <v>13.83</v>
      </c>
      <c r="T11">
        <v>10.97</v>
      </c>
      <c r="U11">
        <v>2.0099999999999998</v>
      </c>
      <c r="V11">
        <v>71</v>
      </c>
      <c r="W11">
        <v>0</v>
      </c>
      <c r="X11">
        <v>1</v>
      </c>
      <c r="Y11">
        <v>31.98</v>
      </c>
      <c r="Z11">
        <v>0</v>
      </c>
      <c r="AA11" t="s">
        <v>114</v>
      </c>
      <c r="AB11">
        <v>0</v>
      </c>
      <c r="AC11">
        <v>0.1</v>
      </c>
      <c r="AD11">
        <v>0.05</v>
      </c>
      <c r="AE11">
        <v>31.98</v>
      </c>
      <c r="AF11" t="s">
        <v>1688</v>
      </c>
      <c r="AG11" t="s">
        <v>1599</v>
      </c>
      <c r="AH11">
        <v>0.7</v>
      </c>
    </row>
    <row r="12" spans="1:34" x14ac:dyDescent="0.25">
      <c r="A12" s="2">
        <v>45663</v>
      </c>
      <c r="B12" t="s">
        <v>1835</v>
      </c>
      <c r="C12" t="s">
        <v>1836</v>
      </c>
      <c r="D12">
        <v>10</v>
      </c>
      <c r="E12">
        <v>1</v>
      </c>
      <c r="F12">
        <v>6.6666666666666666E-2</v>
      </c>
      <c r="G12">
        <v>4.72</v>
      </c>
      <c r="H12">
        <v>0</v>
      </c>
      <c r="I12">
        <v>4.72</v>
      </c>
      <c r="J12">
        <v>103.09</v>
      </c>
      <c r="K12">
        <v>10</v>
      </c>
      <c r="L12">
        <v>0</v>
      </c>
      <c r="M12" t="s">
        <v>1837</v>
      </c>
      <c r="N12">
        <v>0</v>
      </c>
      <c r="O12">
        <v>10</v>
      </c>
      <c r="P12">
        <v>4.3899999999999997</v>
      </c>
      <c r="Q12">
        <v>0</v>
      </c>
      <c r="R12">
        <v>0.34</v>
      </c>
      <c r="S12">
        <v>2.72</v>
      </c>
      <c r="T12">
        <v>2.5499999999999998</v>
      </c>
      <c r="U12">
        <v>2.12</v>
      </c>
      <c r="V12">
        <v>15</v>
      </c>
      <c r="W12">
        <v>0</v>
      </c>
      <c r="X12">
        <v>1</v>
      </c>
      <c r="Y12">
        <v>0</v>
      </c>
      <c r="Z12">
        <v>0</v>
      </c>
      <c r="AA12" t="s">
        <v>115</v>
      </c>
      <c r="AB12">
        <v>4.72</v>
      </c>
      <c r="AC12">
        <v>0.1</v>
      </c>
      <c r="AD12">
        <v>0.05</v>
      </c>
      <c r="AE12">
        <v>0</v>
      </c>
      <c r="AF12" t="s">
        <v>1662</v>
      </c>
      <c r="AG12" t="s">
        <v>1601</v>
      </c>
      <c r="AH12">
        <v>0.7</v>
      </c>
    </row>
    <row r="13" spans="1:34" x14ac:dyDescent="0.25">
      <c r="A13" s="2">
        <v>45656</v>
      </c>
      <c r="B13" t="s">
        <v>1835</v>
      </c>
      <c r="C13" t="s">
        <v>1836</v>
      </c>
      <c r="D13">
        <v>61</v>
      </c>
      <c r="E13">
        <v>0.98630136986301364</v>
      </c>
      <c r="F13">
        <v>0.15277777777777779</v>
      </c>
      <c r="G13">
        <v>37.17</v>
      </c>
      <c r="H13">
        <v>0</v>
      </c>
      <c r="I13">
        <v>37.17</v>
      </c>
      <c r="J13">
        <v>654.49</v>
      </c>
      <c r="K13">
        <v>58.44</v>
      </c>
      <c r="L13">
        <v>0</v>
      </c>
      <c r="M13" t="s">
        <v>1837</v>
      </c>
      <c r="N13">
        <v>6</v>
      </c>
      <c r="O13">
        <v>55</v>
      </c>
      <c r="P13">
        <v>25</v>
      </c>
      <c r="Q13">
        <v>0</v>
      </c>
      <c r="R13">
        <v>12.17</v>
      </c>
      <c r="S13">
        <v>20.9</v>
      </c>
      <c r="T13">
        <v>18.52</v>
      </c>
      <c r="U13">
        <v>1.64</v>
      </c>
      <c r="V13">
        <v>72</v>
      </c>
      <c r="W13">
        <v>1</v>
      </c>
      <c r="X13">
        <v>11</v>
      </c>
      <c r="Y13">
        <v>0</v>
      </c>
      <c r="Z13">
        <v>0</v>
      </c>
      <c r="AA13" t="s">
        <v>114</v>
      </c>
      <c r="AB13">
        <v>37.17</v>
      </c>
      <c r="AC13">
        <v>0.1</v>
      </c>
      <c r="AD13">
        <v>0.05</v>
      </c>
      <c r="AE13">
        <v>0</v>
      </c>
      <c r="AF13" t="s">
        <v>1662</v>
      </c>
      <c r="AG13" t="s">
        <v>1601</v>
      </c>
      <c r="AH13">
        <v>0.7</v>
      </c>
    </row>
    <row r="14" spans="1:34" x14ac:dyDescent="0.25">
      <c r="A14" s="2">
        <v>45663</v>
      </c>
      <c r="B14" t="s">
        <v>1849</v>
      </c>
      <c r="C14" t="s">
        <v>1850</v>
      </c>
      <c r="D14">
        <v>63</v>
      </c>
      <c r="E14">
        <v>1</v>
      </c>
      <c r="F14">
        <v>1.3888888888888888E-2</v>
      </c>
      <c r="G14">
        <v>39.450000000000003</v>
      </c>
      <c r="H14">
        <v>0</v>
      </c>
      <c r="I14">
        <v>39.450000000000003</v>
      </c>
      <c r="J14">
        <v>748.86</v>
      </c>
      <c r="K14">
        <v>77.2</v>
      </c>
      <c r="L14">
        <v>8.92</v>
      </c>
      <c r="M14" t="s">
        <v>1851</v>
      </c>
      <c r="N14">
        <v>0</v>
      </c>
      <c r="O14">
        <v>63</v>
      </c>
      <c r="P14">
        <v>34.14</v>
      </c>
      <c r="Q14">
        <v>0</v>
      </c>
      <c r="R14">
        <v>5.31</v>
      </c>
      <c r="S14">
        <v>2.25</v>
      </c>
      <c r="T14">
        <v>1.93</v>
      </c>
      <c r="U14">
        <v>1.6</v>
      </c>
      <c r="V14">
        <v>72</v>
      </c>
      <c r="W14">
        <v>0</v>
      </c>
      <c r="X14">
        <v>1</v>
      </c>
      <c r="Y14">
        <v>39.450000000000003</v>
      </c>
      <c r="Z14">
        <v>0</v>
      </c>
      <c r="AA14" t="s">
        <v>115</v>
      </c>
      <c r="AB14">
        <v>0</v>
      </c>
      <c r="AC14">
        <v>0.1</v>
      </c>
      <c r="AD14">
        <v>0.05</v>
      </c>
      <c r="AE14">
        <v>39.450000000000003</v>
      </c>
      <c r="AF14" t="s">
        <v>1722</v>
      </c>
      <c r="AG14" t="s">
        <v>1600</v>
      </c>
      <c r="AH14">
        <v>0.7</v>
      </c>
    </row>
    <row r="15" spans="1:34" x14ac:dyDescent="0.25">
      <c r="A15" s="2">
        <v>45663</v>
      </c>
      <c r="B15" t="s">
        <v>2001</v>
      </c>
      <c r="C15" t="s">
        <v>2002</v>
      </c>
      <c r="D15">
        <v>56</v>
      </c>
      <c r="E15">
        <v>0.98360655737704916</v>
      </c>
      <c r="F15">
        <v>3.3333333333333333E-2</v>
      </c>
      <c r="G15">
        <v>50.21</v>
      </c>
      <c r="H15">
        <v>0</v>
      </c>
      <c r="I15">
        <v>50.21</v>
      </c>
      <c r="J15">
        <v>633.08000000000004</v>
      </c>
      <c r="K15">
        <v>23.4</v>
      </c>
      <c r="L15">
        <v>0</v>
      </c>
      <c r="M15" t="s">
        <v>1841</v>
      </c>
      <c r="N15">
        <v>18</v>
      </c>
      <c r="O15">
        <v>38</v>
      </c>
      <c r="P15">
        <v>34.630000000000003</v>
      </c>
      <c r="Q15">
        <v>0</v>
      </c>
      <c r="R15">
        <v>15.57</v>
      </c>
      <c r="S15">
        <v>20.57</v>
      </c>
      <c r="T15">
        <v>19.489999999999998</v>
      </c>
      <c r="U15">
        <v>1.1200000000000001</v>
      </c>
      <c r="V15">
        <v>60</v>
      </c>
      <c r="W15">
        <v>1</v>
      </c>
      <c r="X15">
        <v>2</v>
      </c>
      <c r="Y15">
        <v>50.21</v>
      </c>
      <c r="Z15">
        <v>0</v>
      </c>
      <c r="AA15" t="s">
        <v>115</v>
      </c>
      <c r="AB15">
        <v>0</v>
      </c>
      <c r="AC15">
        <v>0.1</v>
      </c>
      <c r="AD15">
        <v>0.05</v>
      </c>
      <c r="AE15">
        <v>50.21</v>
      </c>
      <c r="AF15" t="s">
        <v>1694</v>
      </c>
      <c r="AG15" t="s">
        <v>1748</v>
      </c>
      <c r="AH15">
        <v>0.7</v>
      </c>
    </row>
    <row r="16" spans="1:34" x14ac:dyDescent="0.25">
      <c r="A16" s="2">
        <v>45656</v>
      </c>
      <c r="B16" t="s">
        <v>2001</v>
      </c>
      <c r="C16" t="s">
        <v>2002</v>
      </c>
      <c r="D16">
        <v>67</v>
      </c>
      <c r="E16">
        <v>1</v>
      </c>
      <c r="F16">
        <v>0</v>
      </c>
      <c r="G16">
        <v>50.34</v>
      </c>
      <c r="H16">
        <v>0</v>
      </c>
      <c r="I16">
        <v>50.34</v>
      </c>
      <c r="J16">
        <v>759.04</v>
      </c>
      <c r="K16">
        <v>24</v>
      </c>
      <c r="L16">
        <v>0</v>
      </c>
      <c r="M16" t="s">
        <v>1841</v>
      </c>
      <c r="N16">
        <v>10</v>
      </c>
      <c r="O16">
        <v>57</v>
      </c>
      <c r="P16">
        <v>34.049999999999997</v>
      </c>
      <c r="Q16">
        <v>0</v>
      </c>
      <c r="R16">
        <v>16.3</v>
      </c>
      <c r="S16">
        <v>19.940000000000001</v>
      </c>
      <c r="T16">
        <v>9.9600000000000009</v>
      </c>
      <c r="U16">
        <v>1.33</v>
      </c>
      <c r="V16">
        <v>75</v>
      </c>
      <c r="W16">
        <v>0</v>
      </c>
      <c r="X16">
        <v>0</v>
      </c>
      <c r="Y16">
        <v>50.34</v>
      </c>
      <c r="Z16">
        <v>0</v>
      </c>
      <c r="AA16" t="s">
        <v>114</v>
      </c>
      <c r="AB16">
        <v>0</v>
      </c>
      <c r="AC16">
        <v>0.1</v>
      </c>
      <c r="AD16">
        <v>0.05</v>
      </c>
      <c r="AE16">
        <v>50.34</v>
      </c>
      <c r="AF16" t="s">
        <v>1694</v>
      </c>
      <c r="AG16" t="s">
        <v>1748</v>
      </c>
      <c r="AH16">
        <v>0.7</v>
      </c>
    </row>
    <row r="17" spans="1:34" x14ac:dyDescent="0.25">
      <c r="A17" s="2">
        <v>45663</v>
      </c>
      <c r="B17" t="s">
        <v>1842</v>
      </c>
      <c r="C17" t="s">
        <v>1843</v>
      </c>
      <c r="D17">
        <v>54</v>
      </c>
      <c r="E17">
        <v>1</v>
      </c>
      <c r="F17">
        <v>0</v>
      </c>
      <c r="G17">
        <v>35.380000000000003</v>
      </c>
      <c r="H17">
        <v>0.22</v>
      </c>
      <c r="I17">
        <v>35.160000000000004</v>
      </c>
      <c r="J17">
        <v>500.57</v>
      </c>
      <c r="K17">
        <v>20.5</v>
      </c>
      <c r="L17">
        <v>0</v>
      </c>
      <c r="M17" t="s">
        <v>1844</v>
      </c>
      <c r="N17">
        <v>5</v>
      </c>
      <c r="O17">
        <v>49</v>
      </c>
      <c r="P17">
        <v>22.1</v>
      </c>
      <c r="Q17">
        <v>0</v>
      </c>
      <c r="R17">
        <v>13.06</v>
      </c>
      <c r="S17">
        <v>5.69</v>
      </c>
      <c r="T17">
        <v>3.5</v>
      </c>
      <c r="U17">
        <v>1.53</v>
      </c>
      <c r="V17">
        <v>60</v>
      </c>
      <c r="W17">
        <v>0</v>
      </c>
      <c r="X17">
        <v>0</v>
      </c>
      <c r="Y17">
        <v>35.160000000000004</v>
      </c>
      <c r="Z17">
        <v>0</v>
      </c>
      <c r="AA17" t="s">
        <v>115</v>
      </c>
      <c r="AB17">
        <v>0</v>
      </c>
      <c r="AC17">
        <v>0.1</v>
      </c>
      <c r="AD17">
        <v>0.05</v>
      </c>
      <c r="AE17">
        <v>35.160000000000004</v>
      </c>
      <c r="AF17" t="s">
        <v>1798</v>
      </c>
      <c r="AG17" t="s">
        <v>1812</v>
      </c>
      <c r="AH17">
        <v>0.7</v>
      </c>
    </row>
    <row r="18" spans="1:34" x14ac:dyDescent="0.25">
      <c r="A18" s="2">
        <v>45656</v>
      </c>
      <c r="B18" t="s">
        <v>1842</v>
      </c>
      <c r="C18" t="s">
        <v>1843</v>
      </c>
      <c r="D18">
        <v>87</v>
      </c>
      <c r="E18">
        <v>0.9907407407407407</v>
      </c>
      <c r="F18">
        <v>9.3457943925233638E-3</v>
      </c>
      <c r="G18">
        <v>60.45</v>
      </c>
      <c r="H18">
        <v>0.08</v>
      </c>
      <c r="I18">
        <v>60.370000000000005</v>
      </c>
      <c r="J18">
        <v>941.25</v>
      </c>
      <c r="K18">
        <v>22</v>
      </c>
      <c r="L18">
        <v>0</v>
      </c>
      <c r="M18" t="s">
        <v>1844</v>
      </c>
      <c r="N18">
        <v>12</v>
      </c>
      <c r="O18">
        <v>75</v>
      </c>
      <c r="P18">
        <v>42.32</v>
      </c>
      <c r="Q18">
        <v>1</v>
      </c>
      <c r="R18">
        <v>18.04</v>
      </c>
      <c r="S18">
        <v>16.329999999999998</v>
      </c>
      <c r="T18">
        <v>9.77</v>
      </c>
      <c r="U18">
        <v>1.44</v>
      </c>
      <c r="V18">
        <v>107</v>
      </c>
      <c r="W18">
        <v>0</v>
      </c>
      <c r="X18">
        <v>1</v>
      </c>
      <c r="Y18">
        <v>60.370000000000005</v>
      </c>
      <c r="Z18">
        <v>0</v>
      </c>
      <c r="AA18" t="s">
        <v>114</v>
      </c>
      <c r="AB18">
        <v>0</v>
      </c>
      <c r="AC18">
        <v>0.1</v>
      </c>
      <c r="AD18">
        <v>0.05</v>
      </c>
      <c r="AE18">
        <v>60.370000000000005</v>
      </c>
      <c r="AF18" t="s">
        <v>1798</v>
      </c>
      <c r="AG18" t="s">
        <v>1812</v>
      </c>
      <c r="AH18">
        <v>0.7</v>
      </c>
    </row>
    <row r="19" spans="1:34" x14ac:dyDescent="0.25">
      <c r="A19" s="2">
        <v>45656</v>
      </c>
      <c r="B19" t="s">
        <v>1831</v>
      </c>
      <c r="C19" t="s">
        <v>1832</v>
      </c>
      <c r="D19">
        <v>75</v>
      </c>
      <c r="E19">
        <v>0.94318181818181823</v>
      </c>
      <c r="F19">
        <v>1.2048192771084338E-2</v>
      </c>
      <c r="G19">
        <v>38.18</v>
      </c>
      <c r="H19">
        <v>0.11</v>
      </c>
      <c r="I19">
        <v>38.07</v>
      </c>
      <c r="J19">
        <v>796.97</v>
      </c>
      <c r="K19">
        <v>50.46</v>
      </c>
      <c r="L19">
        <v>0</v>
      </c>
      <c r="M19" t="s">
        <v>1833</v>
      </c>
      <c r="N19">
        <v>10</v>
      </c>
      <c r="O19">
        <v>65</v>
      </c>
      <c r="P19">
        <v>32.340000000000003</v>
      </c>
      <c r="Q19">
        <v>0</v>
      </c>
      <c r="R19">
        <v>5.74</v>
      </c>
      <c r="S19">
        <v>9.0399999999999991</v>
      </c>
      <c r="T19">
        <v>8.1999999999999993</v>
      </c>
      <c r="U19">
        <v>1.96</v>
      </c>
      <c r="V19">
        <v>83</v>
      </c>
      <c r="W19">
        <v>5</v>
      </c>
      <c r="X19">
        <v>1</v>
      </c>
      <c r="Y19">
        <v>0</v>
      </c>
      <c r="Z19">
        <v>0</v>
      </c>
      <c r="AA19" t="s">
        <v>114</v>
      </c>
      <c r="AB19">
        <v>38.07</v>
      </c>
      <c r="AC19">
        <v>0.1</v>
      </c>
      <c r="AD19">
        <v>0.05</v>
      </c>
      <c r="AE19">
        <v>0</v>
      </c>
      <c r="AF19" t="s">
        <v>1613</v>
      </c>
      <c r="AG19" t="s">
        <v>1599</v>
      </c>
      <c r="AH19">
        <v>0.7</v>
      </c>
    </row>
    <row r="20" spans="1:34" x14ac:dyDescent="0.25">
      <c r="A20" s="2">
        <v>45663</v>
      </c>
      <c r="B20" t="s">
        <v>2003</v>
      </c>
      <c r="C20" t="s">
        <v>1928</v>
      </c>
      <c r="D20">
        <v>50</v>
      </c>
      <c r="E20">
        <v>0.93506493506493504</v>
      </c>
      <c r="F20">
        <v>1.3888888888888888E-2</v>
      </c>
      <c r="G20">
        <v>50.04</v>
      </c>
      <c r="H20">
        <v>0.05</v>
      </c>
      <c r="I20">
        <v>49.99</v>
      </c>
      <c r="J20">
        <v>603.62</v>
      </c>
      <c r="K20">
        <v>24</v>
      </c>
      <c r="L20">
        <v>0</v>
      </c>
      <c r="M20" t="s">
        <v>1848</v>
      </c>
      <c r="N20">
        <v>23</v>
      </c>
      <c r="O20">
        <v>27</v>
      </c>
      <c r="P20">
        <v>38.4</v>
      </c>
      <c r="Q20">
        <v>4</v>
      </c>
      <c r="R20">
        <v>11.59</v>
      </c>
      <c r="S20">
        <v>40.51</v>
      </c>
      <c r="T20">
        <v>30.46</v>
      </c>
      <c r="U20">
        <v>1</v>
      </c>
      <c r="V20">
        <v>72</v>
      </c>
      <c r="W20">
        <v>1</v>
      </c>
      <c r="X20">
        <v>1</v>
      </c>
      <c r="Y20">
        <v>0</v>
      </c>
      <c r="Z20">
        <v>0</v>
      </c>
      <c r="AA20" t="s">
        <v>115</v>
      </c>
      <c r="AB20">
        <v>49.99</v>
      </c>
      <c r="AC20">
        <v>0.1</v>
      </c>
      <c r="AD20">
        <v>0.05</v>
      </c>
      <c r="AE20">
        <v>0</v>
      </c>
      <c r="AF20" t="s">
        <v>1639</v>
      </c>
      <c r="AG20" t="s">
        <v>1601</v>
      </c>
      <c r="AH20">
        <v>0.7</v>
      </c>
    </row>
    <row r="21" spans="1:34" x14ac:dyDescent="0.25">
      <c r="A21" s="2">
        <v>45663</v>
      </c>
      <c r="B21" t="s">
        <v>2004</v>
      </c>
      <c r="C21" t="s">
        <v>2005</v>
      </c>
      <c r="D21">
        <v>25</v>
      </c>
      <c r="E21">
        <v>1</v>
      </c>
      <c r="F21">
        <v>0</v>
      </c>
      <c r="G21">
        <v>16.3</v>
      </c>
      <c r="H21">
        <v>0.19</v>
      </c>
      <c r="I21">
        <v>16.11</v>
      </c>
      <c r="J21">
        <v>193.96</v>
      </c>
      <c r="K21">
        <v>20</v>
      </c>
      <c r="L21">
        <v>6</v>
      </c>
      <c r="M21" t="s">
        <v>1861</v>
      </c>
      <c r="N21">
        <v>4</v>
      </c>
      <c r="O21">
        <v>21</v>
      </c>
      <c r="P21">
        <v>9.59</v>
      </c>
      <c r="Q21">
        <v>0</v>
      </c>
      <c r="R21">
        <v>6.52</v>
      </c>
      <c r="S21">
        <v>4.99</v>
      </c>
      <c r="T21">
        <v>3.69</v>
      </c>
      <c r="U21">
        <v>1.53</v>
      </c>
      <c r="V21">
        <v>28</v>
      </c>
      <c r="W21">
        <v>0</v>
      </c>
      <c r="X21">
        <v>0</v>
      </c>
      <c r="Y21">
        <v>16.11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16.11</v>
      </c>
      <c r="AF21" t="s">
        <v>1693</v>
      </c>
      <c r="AG21" t="s">
        <v>1745</v>
      </c>
      <c r="AH21">
        <v>0.7</v>
      </c>
    </row>
    <row r="22" spans="1:34" x14ac:dyDescent="0.25">
      <c r="A22" s="2">
        <v>45656</v>
      </c>
      <c r="B22" t="s">
        <v>2003</v>
      </c>
      <c r="C22" t="s">
        <v>1928</v>
      </c>
      <c r="D22">
        <v>68</v>
      </c>
      <c r="E22">
        <v>1</v>
      </c>
      <c r="F22">
        <v>2.6666666666666668E-2</v>
      </c>
      <c r="G22">
        <v>50.04</v>
      </c>
      <c r="H22">
        <v>0.01</v>
      </c>
      <c r="I22">
        <v>50.03</v>
      </c>
      <c r="J22">
        <v>850.34</v>
      </c>
      <c r="K22">
        <v>54.98</v>
      </c>
      <c r="L22">
        <v>0</v>
      </c>
      <c r="M22" t="s">
        <v>1848</v>
      </c>
      <c r="N22">
        <v>21</v>
      </c>
      <c r="O22">
        <v>47</v>
      </c>
      <c r="P22">
        <v>38.86</v>
      </c>
      <c r="Q22">
        <v>0</v>
      </c>
      <c r="R22">
        <v>11.16</v>
      </c>
      <c r="S22">
        <v>38.82</v>
      </c>
      <c r="T22">
        <v>31.27</v>
      </c>
      <c r="U22">
        <v>1.36</v>
      </c>
      <c r="V22">
        <v>75</v>
      </c>
      <c r="W22">
        <v>0</v>
      </c>
      <c r="X22">
        <v>2</v>
      </c>
      <c r="Y22">
        <v>50.03</v>
      </c>
      <c r="Z22">
        <v>0</v>
      </c>
      <c r="AA22" t="s">
        <v>114</v>
      </c>
      <c r="AB22">
        <v>0</v>
      </c>
      <c r="AC22">
        <v>0.1</v>
      </c>
      <c r="AD22">
        <v>0.05</v>
      </c>
      <c r="AE22">
        <v>50.03</v>
      </c>
      <c r="AF22" t="s">
        <v>1639</v>
      </c>
      <c r="AG22" t="s">
        <v>1601</v>
      </c>
      <c r="AH22">
        <v>0.7</v>
      </c>
    </row>
    <row r="23" spans="1:34" x14ac:dyDescent="0.25">
      <c r="A23" s="2">
        <v>45656</v>
      </c>
      <c r="B23" t="s">
        <v>1845</v>
      </c>
      <c r="C23" t="s">
        <v>1846</v>
      </c>
      <c r="D23">
        <v>68</v>
      </c>
      <c r="E23">
        <v>0.98734177215189878</v>
      </c>
      <c r="F23">
        <v>0</v>
      </c>
      <c r="G23">
        <v>28.13</v>
      </c>
      <c r="H23">
        <v>0</v>
      </c>
      <c r="I23">
        <v>28.13</v>
      </c>
      <c r="J23">
        <v>719</v>
      </c>
      <c r="K23">
        <v>39.369999999999997</v>
      </c>
      <c r="L23">
        <v>0</v>
      </c>
      <c r="M23" t="s">
        <v>1847</v>
      </c>
      <c r="N23">
        <v>6</v>
      </c>
      <c r="O23">
        <v>62</v>
      </c>
      <c r="P23">
        <v>26.42</v>
      </c>
      <c r="Q23">
        <v>0</v>
      </c>
      <c r="R23">
        <v>1.7</v>
      </c>
      <c r="S23">
        <v>3.79</v>
      </c>
      <c r="T23">
        <v>3.34</v>
      </c>
      <c r="U23">
        <v>2.42</v>
      </c>
      <c r="V23">
        <v>78</v>
      </c>
      <c r="W23">
        <v>1</v>
      </c>
      <c r="X23">
        <v>0</v>
      </c>
      <c r="Y23">
        <v>28.13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28.13</v>
      </c>
      <c r="AF23" t="s">
        <v>1615</v>
      </c>
      <c r="AG23" t="s">
        <v>1599</v>
      </c>
      <c r="AH23">
        <v>0.7</v>
      </c>
    </row>
    <row r="24" spans="1:34" x14ac:dyDescent="0.25">
      <c r="A24" s="2">
        <v>45663</v>
      </c>
      <c r="B24" t="s">
        <v>1855</v>
      </c>
      <c r="C24" t="s">
        <v>1856</v>
      </c>
      <c r="D24">
        <v>86</v>
      </c>
      <c r="E24">
        <v>0.98958333333333337</v>
      </c>
      <c r="F24">
        <v>1.0526315789473684E-2</v>
      </c>
      <c r="G24">
        <v>39.36</v>
      </c>
      <c r="H24">
        <v>0.78</v>
      </c>
      <c r="I24">
        <v>38.58</v>
      </c>
      <c r="J24">
        <v>789.29</v>
      </c>
      <c r="K24">
        <v>44.23</v>
      </c>
      <c r="L24">
        <v>6</v>
      </c>
      <c r="M24" t="s">
        <v>1857</v>
      </c>
      <c r="N24">
        <v>1</v>
      </c>
      <c r="O24">
        <v>85</v>
      </c>
      <c r="P24">
        <v>32.79</v>
      </c>
      <c r="Q24">
        <v>1</v>
      </c>
      <c r="R24">
        <v>5.79</v>
      </c>
      <c r="S24">
        <v>7.35</v>
      </c>
      <c r="T24">
        <v>4.78</v>
      </c>
      <c r="U24">
        <v>2.1800000000000002</v>
      </c>
      <c r="V24">
        <v>95</v>
      </c>
      <c r="W24">
        <v>0</v>
      </c>
      <c r="X24">
        <v>1</v>
      </c>
      <c r="Y24">
        <v>38.58</v>
      </c>
      <c r="Z24">
        <v>0</v>
      </c>
      <c r="AA24" t="s">
        <v>115</v>
      </c>
      <c r="AB24">
        <v>0</v>
      </c>
      <c r="AC24">
        <v>0.1</v>
      </c>
      <c r="AD24">
        <v>0.05</v>
      </c>
      <c r="AE24">
        <v>38.58</v>
      </c>
      <c r="AF24" t="s">
        <v>1771</v>
      </c>
      <c r="AG24" t="s">
        <v>1601</v>
      </c>
      <c r="AH24">
        <v>0.7</v>
      </c>
    </row>
    <row r="25" spans="1:34" x14ac:dyDescent="0.25">
      <c r="A25" s="2">
        <v>45663</v>
      </c>
      <c r="B25" t="s">
        <v>1863</v>
      </c>
      <c r="C25" t="s">
        <v>1864</v>
      </c>
      <c r="D25">
        <v>67</v>
      </c>
      <c r="E25">
        <v>1</v>
      </c>
      <c r="F25">
        <v>0</v>
      </c>
      <c r="G25">
        <v>42.56</v>
      </c>
      <c r="H25">
        <v>0.25</v>
      </c>
      <c r="I25">
        <v>42.31</v>
      </c>
      <c r="J25">
        <v>697.7</v>
      </c>
      <c r="K25">
        <v>47.5</v>
      </c>
      <c r="L25">
        <v>6</v>
      </c>
      <c r="M25" t="s">
        <v>1865</v>
      </c>
      <c r="N25">
        <v>26</v>
      </c>
      <c r="O25">
        <v>41</v>
      </c>
      <c r="P25">
        <v>37.979999999999997</v>
      </c>
      <c r="Q25">
        <v>0</v>
      </c>
      <c r="R25">
        <v>4.32</v>
      </c>
      <c r="S25">
        <v>33.549999999999997</v>
      </c>
      <c r="T25">
        <v>29.85</v>
      </c>
      <c r="U25">
        <v>1.57</v>
      </c>
      <c r="V25">
        <v>80</v>
      </c>
      <c r="W25">
        <v>0</v>
      </c>
      <c r="X25">
        <v>0</v>
      </c>
      <c r="Y25">
        <v>42.31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42.31</v>
      </c>
      <c r="AF25" t="s">
        <v>1733</v>
      </c>
      <c r="AG25" t="s">
        <v>1600</v>
      </c>
      <c r="AH25">
        <v>0.7</v>
      </c>
    </row>
    <row r="26" spans="1:34" x14ac:dyDescent="0.25">
      <c r="A26" s="2">
        <v>45656</v>
      </c>
      <c r="B26" t="s">
        <v>1852</v>
      </c>
      <c r="C26" t="s">
        <v>1853</v>
      </c>
      <c r="D26">
        <v>17</v>
      </c>
      <c r="E26">
        <v>0.79166666666666663</v>
      </c>
      <c r="F26">
        <v>0</v>
      </c>
      <c r="G26">
        <v>12.09</v>
      </c>
      <c r="H26">
        <v>0</v>
      </c>
      <c r="I26">
        <v>12.09</v>
      </c>
      <c r="J26">
        <v>138.43</v>
      </c>
      <c r="K26">
        <v>5</v>
      </c>
      <c r="L26">
        <v>0</v>
      </c>
      <c r="M26" t="s">
        <v>1854</v>
      </c>
      <c r="N26">
        <v>6</v>
      </c>
      <c r="O26">
        <v>11</v>
      </c>
      <c r="P26">
        <v>11.48</v>
      </c>
      <c r="Q26">
        <v>5</v>
      </c>
      <c r="R26">
        <v>0.6</v>
      </c>
      <c r="S26">
        <v>0</v>
      </c>
      <c r="T26">
        <v>0</v>
      </c>
      <c r="U26">
        <v>1.41</v>
      </c>
      <c r="V26">
        <v>19</v>
      </c>
      <c r="W26">
        <v>0</v>
      </c>
      <c r="X26">
        <v>0</v>
      </c>
      <c r="Y26">
        <v>0</v>
      </c>
      <c r="Z26">
        <v>0</v>
      </c>
      <c r="AA26" t="s">
        <v>114</v>
      </c>
      <c r="AB26">
        <v>12.09</v>
      </c>
      <c r="AC26">
        <v>0.1</v>
      </c>
      <c r="AD26">
        <v>0.05</v>
      </c>
      <c r="AE26">
        <v>0</v>
      </c>
      <c r="AF26" t="s">
        <v>1718</v>
      </c>
      <c r="AG26" t="s">
        <v>1599</v>
      </c>
      <c r="AH26">
        <v>0.7</v>
      </c>
    </row>
    <row r="27" spans="1:34" x14ac:dyDescent="0.25">
      <c r="A27" s="2">
        <v>45663</v>
      </c>
      <c r="B27" t="s">
        <v>1982</v>
      </c>
      <c r="C27" t="s">
        <v>1983</v>
      </c>
      <c r="D27">
        <v>62</v>
      </c>
      <c r="E27">
        <v>0.9882352941176471</v>
      </c>
      <c r="F27">
        <v>3.5714285714285712E-2</v>
      </c>
      <c r="G27">
        <v>50.14</v>
      </c>
      <c r="H27">
        <v>0.04</v>
      </c>
      <c r="I27">
        <v>50.1</v>
      </c>
      <c r="J27">
        <v>698.87</v>
      </c>
      <c r="K27">
        <v>35</v>
      </c>
      <c r="L27">
        <v>0</v>
      </c>
      <c r="M27" t="s">
        <v>1984</v>
      </c>
      <c r="N27">
        <v>23</v>
      </c>
      <c r="O27">
        <v>39</v>
      </c>
      <c r="P27">
        <v>40.770000000000003</v>
      </c>
      <c r="Q27">
        <v>1</v>
      </c>
      <c r="R27">
        <v>9.32</v>
      </c>
      <c r="S27">
        <v>32.880000000000003</v>
      </c>
      <c r="T27">
        <v>28.7</v>
      </c>
      <c r="U27">
        <v>1.24</v>
      </c>
      <c r="V27">
        <v>84</v>
      </c>
      <c r="W27">
        <v>0</v>
      </c>
      <c r="X27">
        <v>3</v>
      </c>
      <c r="Y27">
        <v>50.1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50.1</v>
      </c>
      <c r="AF27" t="s">
        <v>1826</v>
      </c>
      <c r="AG27" t="s">
        <v>1670</v>
      </c>
      <c r="AH27">
        <v>0.7</v>
      </c>
    </row>
    <row r="28" spans="1:34" x14ac:dyDescent="0.25">
      <c r="A28" s="2">
        <v>45656</v>
      </c>
      <c r="B28" t="s">
        <v>1982</v>
      </c>
      <c r="C28" t="s">
        <v>1983</v>
      </c>
      <c r="D28">
        <v>74</v>
      </c>
      <c r="E28">
        <v>1</v>
      </c>
      <c r="F28">
        <v>1.2195121951219513E-2</v>
      </c>
      <c r="G28">
        <v>50.78</v>
      </c>
      <c r="H28">
        <v>0.01</v>
      </c>
      <c r="I28">
        <v>50.77</v>
      </c>
      <c r="J28">
        <v>736.83</v>
      </c>
      <c r="K28">
        <v>33.659999999999997</v>
      </c>
      <c r="L28">
        <v>0</v>
      </c>
      <c r="M28" t="s">
        <v>1984</v>
      </c>
      <c r="N28">
        <v>26</v>
      </c>
      <c r="O28">
        <v>48</v>
      </c>
      <c r="P28">
        <v>43.88</v>
      </c>
      <c r="Q28">
        <v>0</v>
      </c>
      <c r="R28">
        <v>6.89</v>
      </c>
      <c r="S28">
        <v>35.380000000000003</v>
      </c>
      <c r="T28">
        <v>32.43</v>
      </c>
      <c r="U28">
        <v>1.46</v>
      </c>
      <c r="V28">
        <v>82</v>
      </c>
      <c r="W28">
        <v>0</v>
      </c>
      <c r="X28">
        <v>1</v>
      </c>
      <c r="Y28">
        <v>50.77</v>
      </c>
      <c r="Z28">
        <v>0</v>
      </c>
      <c r="AA28" t="s">
        <v>114</v>
      </c>
      <c r="AB28">
        <v>0</v>
      </c>
      <c r="AC28">
        <v>0.1</v>
      </c>
      <c r="AD28">
        <v>0.05</v>
      </c>
      <c r="AE28">
        <v>50.77</v>
      </c>
      <c r="AF28" t="s">
        <v>1826</v>
      </c>
      <c r="AG28" t="s">
        <v>1670</v>
      </c>
      <c r="AH28">
        <v>0.7</v>
      </c>
    </row>
    <row r="29" spans="1:34" x14ac:dyDescent="0.25">
      <c r="A29" s="2">
        <v>45656</v>
      </c>
      <c r="B29" t="s">
        <v>1855</v>
      </c>
      <c r="C29" t="s">
        <v>1856</v>
      </c>
      <c r="D29">
        <v>63</v>
      </c>
      <c r="E29">
        <v>1</v>
      </c>
      <c r="F29">
        <v>2.7777777777777776E-2</v>
      </c>
      <c r="G29">
        <v>33.130000000000003</v>
      </c>
      <c r="H29">
        <v>0.73</v>
      </c>
      <c r="I29">
        <v>32.400000000000006</v>
      </c>
      <c r="J29">
        <v>728.41</v>
      </c>
      <c r="K29">
        <v>51</v>
      </c>
      <c r="L29">
        <v>0</v>
      </c>
      <c r="M29" t="s">
        <v>1857</v>
      </c>
      <c r="N29">
        <v>1</v>
      </c>
      <c r="O29">
        <v>62</v>
      </c>
      <c r="P29">
        <v>26.64</v>
      </c>
      <c r="Q29">
        <v>0</v>
      </c>
      <c r="R29">
        <v>5.75</v>
      </c>
      <c r="S29">
        <v>8.2899999999999991</v>
      </c>
      <c r="T29">
        <v>4.04</v>
      </c>
      <c r="U29">
        <v>1.9</v>
      </c>
      <c r="V29">
        <v>72</v>
      </c>
      <c r="W29">
        <v>0</v>
      </c>
      <c r="X29">
        <v>2</v>
      </c>
      <c r="Y29">
        <v>32.400000000000006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32.400000000000006</v>
      </c>
      <c r="AF29" t="s">
        <v>1771</v>
      </c>
      <c r="AG29" t="s">
        <v>1601</v>
      </c>
      <c r="AH29">
        <v>0.7</v>
      </c>
    </row>
    <row r="30" spans="1:34" x14ac:dyDescent="0.25">
      <c r="A30" s="2">
        <v>45656</v>
      </c>
      <c r="B30" t="s">
        <v>1849</v>
      </c>
      <c r="C30" t="s">
        <v>1850</v>
      </c>
      <c r="D30">
        <v>61</v>
      </c>
      <c r="E30">
        <v>0.98701298701298701</v>
      </c>
      <c r="F30">
        <v>2.6315789473684209E-2</v>
      </c>
      <c r="G30">
        <v>43.87</v>
      </c>
      <c r="H30">
        <v>1.95</v>
      </c>
      <c r="I30">
        <v>41.919999999999995</v>
      </c>
      <c r="J30">
        <v>760.11</v>
      </c>
      <c r="K30">
        <v>42.88</v>
      </c>
      <c r="L30">
        <v>0</v>
      </c>
      <c r="M30" t="s">
        <v>1851</v>
      </c>
      <c r="N30">
        <v>4</v>
      </c>
      <c r="O30">
        <v>57</v>
      </c>
      <c r="P30">
        <v>34.44</v>
      </c>
      <c r="Q30">
        <v>0</v>
      </c>
      <c r="R30">
        <v>7.47</v>
      </c>
      <c r="S30">
        <v>6.03</v>
      </c>
      <c r="T30">
        <v>3.65</v>
      </c>
      <c r="U30">
        <v>1.39</v>
      </c>
      <c r="V30">
        <v>76</v>
      </c>
      <c r="W30">
        <v>1</v>
      </c>
      <c r="X30">
        <v>2</v>
      </c>
      <c r="Y30">
        <v>41.919999999999995</v>
      </c>
      <c r="Z30">
        <v>0</v>
      </c>
      <c r="AA30" t="s">
        <v>114</v>
      </c>
      <c r="AB30">
        <v>0</v>
      </c>
      <c r="AC30">
        <v>0.1</v>
      </c>
      <c r="AD30">
        <v>0.05</v>
      </c>
      <c r="AE30">
        <v>41.919999999999995</v>
      </c>
      <c r="AF30" t="s">
        <v>1722</v>
      </c>
      <c r="AG30" t="s">
        <v>1600</v>
      </c>
      <c r="AH30">
        <v>0.7</v>
      </c>
    </row>
    <row r="31" spans="1:34" x14ac:dyDescent="0.25">
      <c r="A31" s="2">
        <v>45663</v>
      </c>
      <c r="B31" t="s">
        <v>2030</v>
      </c>
      <c r="C31" t="s">
        <v>1881</v>
      </c>
      <c r="D31">
        <v>61</v>
      </c>
      <c r="E31">
        <v>0.98750000000000004</v>
      </c>
      <c r="F31">
        <v>5.0632911392405063E-2</v>
      </c>
      <c r="G31">
        <v>50.31</v>
      </c>
      <c r="H31">
        <v>0.28999999999999998</v>
      </c>
      <c r="I31">
        <v>50.02</v>
      </c>
      <c r="J31">
        <v>626.01</v>
      </c>
      <c r="K31">
        <v>77.63</v>
      </c>
      <c r="L31">
        <v>9</v>
      </c>
      <c r="M31" t="s">
        <v>2031</v>
      </c>
      <c r="N31">
        <v>9</v>
      </c>
      <c r="O31">
        <v>52</v>
      </c>
      <c r="P31">
        <v>30.19</v>
      </c>
      <c r="Q31">
        <v>1</v>
      </c>
      <c r="R31">
        <v>19.829999999999998</v>
      </c>
      <c r="S31">
        <v>5.22</v>
      </c>
      <c r="T31">
        <v>2.14</v>
      </c>
      <c r="U31">
        <v>1.21</v>
      </c>
      <c r="V31">
        <v>79</v>
      </c>
      <c r="W31">
        <v>0</v>
      </c>
      <c r="X31">
        <v>4</v>
      </c>
      <c r="Y31">
        <v>0</v>
      </c>
      <c r="Z31">
        <v>0</v>
      </c>
      <c r="AA31" t="s">
        <v>115</v>
      </c>
      <c r="AB31">
        <v>50.02</v>
      </c>
      <c r="AC31">
        <v>0.1</v>
      </c>
      <c r="AD31">
        <v>0.05</v>
      </c>
      <c r="AE31">
        <v>0</v>
      </c>
      <c r="AF31" t="s">
        <v>1964</v>
      </c>
      <c r="AG31" t="s">
        <v>1814</v>
      </c>
      <c r="AH31">
        <v>0.7</v>
      </c>
    </row>
    <row r="32" spans="1:34" x14ac:dyDescent="0.25">
      <c r="A32" s="2">
        <v>45656</v>
      </c>
      <c r="B32" t="s">
        <v>1858</v>
      </c>
      <c r="C32" t="s">
        <v>1859</v>
      </c>
      <c r="D32">
        <v>60</v>
      </c>
      <c r="E32">
        <v>0.98780487804878048</v>
      </c>
      <c r="F32">
        <v>2.4691358024691357E-2</v>
      </c>
      <c r="G32">
        <v>36.85</v>
      </c>
      <c r="H32">
        <v>0.17</v>
      </c>
      <c r="I32">
        <v>36.68</v>
      </c>
      <c r="J32">
        <v>686.13</v>
      </c>
      <c r="K32">
        <v>38.630000000000003</v>
      </c>
      <c r="L32">
        <v>0</v>
      </c>
      <c r="M32" t="s">
        <v>1860</v>
      </c>
      <c r="N32">
        <v>10</v>
      </c>
      <c r="O32">
        <v>50</v>
      </c>
      <c r="P32">
        <v>30.76</v>
      </c>
      <c r="Q32">
        <v>1</v>
      </c>
      <c r="R32">
        <v>5.92</v>
      </c>
      <c r="S32">
        <v>4.9800000000000004</v>
      </c>
      <c r="T32">
        <v>3.78</v>
      </c>
      <c r="U32">
        <v>1.63</v>
      </c>
      <c r="V32">
        <v>81</v>
      </c>
      <c r="W32">
        <v>0</v>
      </c>
      <c r="X32">
        <v>2</v>
      </c>
      <c r="Y32">
        <v>36.68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36.68</v>
      </c>
      <c r="AF32" t="s">
        <v>1619</v>
      </c>
      <c r="AG32" t="s">
        <v>1599</v>
      </c>
      <c r="AH32">
        <v>0.7</v>
      </c>
    </row>
    <row r="33" spans="1:34" x14ac:dyDescent="0.25">
      <c r="A33" s="2">
        <v>45656</v>
      </c>
      <c r="B33" t="s">
        <v>2004</v>
      </c>
      <c r="C33" t="s">
        <v>2005</v>
      </c>
      <c r="D33">
        <v>68</v>
      </c>
      <c r="E33">
        <v>0.98630136986301364</v>
      </c>
      <c r="F33">
        <v>0</v>
      </c>
      <c r="G33">
        <v>51.88</v>
      </c>
      <c r="H33">
        <v>0.49</v>
      </c>
      <c r="I33">
        <v>51.39</v>
      </c>
      <c r="J33">
        <v>822.63</v>
      </c>
      <c r="K33">
        <v>59.19</v>
      </c>
      <c r="L33">
        <v>0</v>
      </c>
      <c r="M33" t="s">
        <v>1861</v>
      </c>
      <c r="N33">
        <v>12</v>
      </c>
      <c r="O33">
        <v>56</v>
      </c>
      <c r="P33">
        <v>32.35</v>
      </c>
      <c r="Q33">
        <v>1</v>
      </c>
      <c r="R33">
        <v>19.03</v>
      </c>
      <c r="S33">
        <v>18.829999999999998</v>
      </c>
      <c r="T33">
        <v>12.28</v>
      </c>
      <c r="U33">
        <v>1.31</v>
      </c>
      <c r="V33">
        <v>72</v>
      </c>
      <c r="W33">
        <v>0</v>
      </c>
      <c r="X33">
        <v>0</v>
      </c>
      <c r="Y33">
        <v>51.39</v>
      </c>
      <c r="Z33">
        <v>0</v>
      </c>
      <c r="AA33" t="s">
        <v>114</v>
      </c>
      <c r="AB33">
        <v>0</v>
      </c>
      <c r="AC33">
        <v>0.1</v>
      </c>
      <c r="AD33">
        <v>0.05</v>
      </c>
      <c r="AE33">
        <v>51.39</v>
      </c>
      <c r="AF33" t="s">
        <v>1693</v>
      </c>
      <c r="AG33" t="s">
        <v>1745</v>
      </c>
      <c r="AH33">
        <v>0.7</v>
      </c>
    </row>
    <row r="34" spans="1:34" x14ac:dyDescent="0.25">
      <c r="A34" s="2">
        <v>45663</v>
      </c>
      <c r="B34" t="s">
        <v>1973</v>
      </c>
      <c r="C34" t="s">
        <v>1974</v>
      </c>
      <c r="D34">
        <v>9</v>
      </c>
      <c r="E34">
        <v>0.3125</v>
      </c>
      <c r="F34">
        <v>0</v>
      </c>
      <c r="G34">
        <v>6.17</v>
      </c>
      <c r="H34">
        <v>0.15</v>
      </c>
      <c r="I34">
        <v>6.02</v>
      </c>
      <c r="J34">
        <v>119.97</v>
      </c>
      <c r="K34">
        <v>3</v>
      </c>
      <c r="L34">
        <v>0</v>
      </c>
      <c r="M34" t="s">
        <v>1975</v>
      </c>
      <c r="N34">
        <v>0</v>
      </c>
      <c r="O34">
        <v>9</v>
      </c>
      <c r="P34">
        <v>2.8</v>
      </c>
      <c r="Q34">
        <v>22</v>
      </c>
      <c r="R34">
        <v>3.22</v>
      </c>
      <c r="S34">
        <v>3.19</v>
      </c>
      <c r="T34">
        <v>1.2</v>
      </c>
      <c r="U34">
        <v>1.46</v>
      </c>
      <c r="V34">
        <v>10</v>
      </c>
      <c r="W34">
        <v>0</v>
      </c>
      <c r="X34">
        <v>0</v>
      </c>
      <c r="Y34">
        <v>0</v>
      </c>
      <c r="Z34">
        <v>0</v>
      </c>
      <c r="AA34" t="s">
        <v>115</v>
      </c>
      <c r="AB34">
        <v>6.02</v>
      </c>
      <c r="AC34">
        <v>0.1</v>
      </c>
      <c r="AD34">
        <v>0.05</v>
      </c>
      <c r="AE34">
        <v>0</v>
      </c>
      <c r="AF34" t="s">
        <v>1960</v>
      </c>
      <c r="AG34" t="s">
        <v>1670</v>
      </c>
      <c r="AH34">
        <v>0.7</v>
      </c>
    </row>
    <row r="35" spans="1:34" x14ac:dyDescent="0.25">
      <c r="A35" s="2">
        <v>45656</v>
      </c>
      <c r="B35" t="s">
        <v>1973</v>
      </c>
      <c r="C35" t="s">
        <v>1974</v>
      </c>
      <c r="D35">
        <v>50</v>
      </c>
      <c r="E35">
        <v>0.59154929577464788</v>
      </c>
      <c r="F35">
        <v>4.7619047619047616E-2</v>
      </c>
      <c r="G35">
        <v>50.17</v>
      </c>
      <c r="H35">
        <v>0.99</v>
      </c>
      <c r="I35">
        <v>49.18</v>
      </c>
      <c r="J35">
        <v>716.54</v>
      </c>
      <c r="K35">
        <v>86.42</v>
      </c>
      <c r="L35">
        <v>0</v>
      </c>
      <c r="M35" t="s">
        <v>1975</v>
      </c>
      <c r="N35">
        <v>5</v>
      </c>
      <c r="O35">
        <v>45</v>
      </c>
      <c r="P35">
        <v>26.4</v>
      </c>
      <c r="Q35">
        <v>28</v>
      </c>
      <c r="R35">
        <v>22.78</v>
      </c>
      <c r="S35">
        <v>27.36</v>
      </c>
      <c r="T35">
        <v>17.43</v>
      </c>
      <c r="U35">
        <v>1</v>
      </c>
      <c r="V35">
        <v>42</v>
      </c>
      <c r="W35">
        <v>1</v>
      </c>
      <c r="X35">
        <v>2</v>
      </c>
      <c r="Y35">
        <v>0</v>
      </c>
      <c r="Z35">
        <v>0</v>
      </c>
      <c r="AA35" t="s">
        <v>114</v>
      </c>
      <c r="AB35">
        <v>49.18</v>
      </c>
      <c r="AC35">
        <v>0.1</v>
      </c>
      <c r="AD35">
        <v>0.05</v>
      </c>
      <c r="AE35">
        <v>0</v>
      </c>
      <c r="AF35" t="s">
        <v>1960</v>
      </c>
      <c r="AG35" t="s">
        <v>1670</v>
      </c>
      <c r="AH35">
        <v>0.7</v>
      </c>
    </row>
    <row r="36" spans="1:34" x14ac:dyDescent="0.25">
      <c r="A36" s="2">
        <v>45656</v>
      </c>
      <c r="B36" t="s">
        <v>1838</v>
      </c>
      <c r="C36" t="s">
        <v>1839</v>
      </c>
      <c r="D36">
        <v>57</v>
      </c>
      <c r="E36">
        <v>0.97826086956521741</v>
      </c>
      <c r="F36">
        <v>0</v>
      </c>
      <c r="G36">
        <v>28.25</v>
      </c>
      <c r="H36">
        <v>0</v>
      </c>
      <c r="I36">
        <v>28.25</v>
      </c>
      <c r="J36">
        <v>701.65</v>
      </c>
      <c r="K36">
        <v>63.84</v>
      </c>
      <c r="L36">
        <v>0</v>
      </c>
      <c r="M36" t="s">
        <v>1840</v>
      </c>
      <c r="N36">
        <v>6</v>
      </c>
      <c r="O36">
        <v>51</v>
      </c>
      <c r="P36">
        <v>24.34</v>
      </c>
      <c r="Q36">
        <v>1</v>
      </c>
      <c r="R36">
        <v>3.9</v>
      </c>
      <c r="S36">
        <v>7.41</v>
      </c>
      <c r="T36">
        <v>6.48</v>
      </c>
      <c r="U36">
        <v>2.02</v>
      </c>
      <c r="V36">
        <v>45</v>
      </c>
      <c r="W36">
        <v>0</v>
      </c>
      <c r="X36">
        <v>0</v>
      </c>
      <c r="Y36">
        <v>28.25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28.25</v>
      </c>
      <c r="AF36" t="s">
        <v>1629</v>
      </c>
      <c r="AG36" t="s">
        <v>1599</v>
      </c>
      <c r="AH36">
        <v>0.7</v>
      </c>
    </row>
    <row r="37" spans="1:34" x14ac:dyDescent="0.25">
      <c r="A37" s="2">
        <v>45663</v>
      </c>
      <c r="B37" t="s">
        <v>2110</v>
      </c>
      <c r="C37" t="s">
        <v>2111</v>
      </c>
      <c r="D37">
        <v>15</v>
      </c>
      <c r="E37">
        <v>1</v>
      </c>
      <c r="F37">
        <v>0</v>
      </c>
      <c r="G37">
        <v>7.45</v>
      </c>
      <c r="H37">
        <v>0</v>
      </c>
      <c r="I37">
        <v>7.45</v>
      </c>
      <c r="J37">
        <v>134.15</v>
      </c>
      <c r="K37">
        <v>0</v>
      </c>
      <c r="L37">
        <v>0</v>
      </c>
      <c r="M37" t="s">
        <v>2112</v>
      </c>
      <c r="N37">
        <v>1</v>
      </c>
      <c r="O37">
        <v>14</v>
      </c>
      <c r="P37">
        <v>5.32</v>
      </c>
      <c r="Q37">
        <v>0</v>
      </c>
      <c r="R37">
        <v>2.14</v>
      </c>
      <c r="S37">
        <v>0</v>
      </c>
      <c r="T37">
        <v>0</v>
      </c>
      <c r="U37">
        <v>2.0099999999999998</v>
      </c>
      <c r="V37">
        <v>14</v>
      </c>
      <c r="W37">
        <v>0</v>
      </c>
      <c r="X37">
        <v>0</v>
      </c>
      <c r="Y37">
        <v>7.45</v>
      </c>
      <c r="Z37">
        <v>0</v>
      </c>
      <c r="AA37" t="s">
        <v>115</v>
      </c>
      <c r="AB37">
        <v>0</v>
      </c>
      <c r="AC37">
        <v>0.1</v>
      </c>
      <c r="AD37">
        <v>0.05</v>
      </c>
      <c r="AE37">
        <v>7.45</v>
      </c>
      <c r="AF37" t="s">
        <v>1663</v>
      </c>
      <c r="AG37" t="s">
        <v>1601</v>
      </c>
      <c r="AH37">
        <v>0.7</v>
      </c>
    </row>
    <row r="38" spans="1:34" x14ac:dyDescent="0.25">
      <c r="A38" s="2">
        <v>45656</v>
      </c>
      <c r="B38" t="s">
        <v>2110</v>
      </c>
      <c r="C38" t="s">
        <v>2111</v>
      </c>
      <c r="D38">
        <v>17</v>
      </c>
      <c r="E38">
        <v>1</v>
      </c>
      <c r="F38">
        <v>0</v>
      </c>
      <c r="G38">
        <v>8.8800000000000008</v>
      </c>
      <c r="H38">
        <v>0</v>
      </c>
      <c r="I38">
        <v>8.8800000000000008</v>
      </c>
      <c r="J38">
        <v>183.47</v>
      </c>
      <c r="K38">
        <v>4</v>
      </c>
      <c r="L38">
        <v>0</v>
      </c>
      <c r="M38" t="s">
        <v>2112</v>
      </c>
      <c r="N38">
        <v>1</v>
      </c>
      <c r="O38">
        <v>16</v>
      </c>
      <c r="P38">
        <v>6.8</v>
      </c>
      <c r="Q38">
        <v>0</v>
      </c>
      <c r="R38">
        <v>2.0699999999999998</v>
      </c>
      <c r="S38">
        <v>3.71</v>
      </c>
      <c r="T38">
        <v>1.64</v>
      </c>
      <c r="U38">
        <v>1.91</v>
      </c>
      <c r="V38">
        <v>18</v>
      </c>
      <c r="W38">
        <v>0</v>
      </c>
      <c r="X38">
        <v>0</v>
      </c>
      <c r="Y38">
        <v>8.8800000000000008</v>
      </c>
      <c r="Z38">
        <v>0</v>
      </c>
      <c r="AA38" t="s">
        <v>114</v>
      </c>
      <c r="AB38">
        <v>0</v>
      </c>
      <c r="AC38">
        <v>0.1</v>
      </c>
      <c r="AD38">
        <v>0.05</v>
      </c>
      <c r="AE38">
        <v>8.8800000000000008</v>
      </c>
      <c r="AF38" t="s">
        <v>1663</v>
      </c>
      <c r="AG38" t="s">
        <v>1601</v>
      </c>
      <c r="AH38">
        <v>0.7</v>
      </c>
    </row>
    <row r="39" spans="1:34" x14ac:dyDescent="0.25">
      <c r="A39" s="2">
        <v>45656</v>
      </c>
      <c r="B39" t="s">
        <v>1863</v>
      </c>
      <c r="C39" t="s">
        <v>1864</v>
      </c>
      <c r="D39">
        <v>77</v>
      </c>
      <c r="E39">
        <v>1</v>
      </c>
      <c r="F39">
        <v>5.9405940594059403E-2</v>
      </c>
      <c r="G39">
        <v>47.36</v>
      </c>
      <c r="H39">
        <v>0</v>
      </c>
      <c r="I39">
        <v>47.36</v>
      </c>
      <c r="J39">
        <v>880.84</v>
      </c>
      <c r="K39">
        <v>59.05</v>
      </c>
      <c r="L39">
        <v>0</v>
      </c>
      <c r="M39" t="s">
        <v>1865</v>
      </c>
      <c r="N39">
        <v>28</v>
      </c>
      <c r="O39">
        <v>49</v>
      </c>
      <c r="P39">
        <v>41.84</v>
      </c>
      <c r="Q39">
        <v>0</v>
      </c>
      <c r="R39">
        <v>5.51</v>
      </c>
      <c r="S39">
        <v>39.18</v>
      </c>
      <c r="T39">
        <v>34.17</v>
      </c>
      <c r="U39">
        <v>1.63</v>
      </c>
      <c r="V39">
        <v>101</v>
      </c>
      <c r="W39">
        <v>0</v>
      </c>
      <c r="X39">
        <v>6</v>
      </c>
      <c r="Y39">
        <v>0</v>
      </c>
      <c r="Z39">
        <v>0</v>
      </c>
      <c r="AA39" t="s">
        <v>114</v>
      </c>
      <c r="AB39">
        <v>47.36</v>
      </c>
      <c r="AC39">
        <v>0.1</v>
      </c>
      <c r="AD39">
        <v>0.05</v>
      </c>
      <c r="AE39">
        <v>0</v>
      </c>
      <c r="AF39" t="s">
        <v>1733</v>
      </c>
      <c r="AG39" t="s">
        <v>1600</v>
      </c>
      <c r="AH39">
        <v>0.7</v>
      </c>
    </row>
    <row r="40" spans="1:34" x14ac:dyDescent="0.25">
      <c r="A40" s="2">
        <v>45663</v>
      </c>
      <c r="B40" t="s">
        <v>1866</v>
      </c>
      <c r="C40" t="s">
        <v>1867</v>
      </c>
      <c r="D40">
        <v>36</v>
      </c>
      <c r="E40">
        <v>1</v>
      </c>
      <c r="F40">
        <v>0</v>
      </c>
      <c r="G40">
        <v>27.69</v>
      </c>
      <c r="H40">
        <v>5.48</v>
      </c>
      <c r="I40">
        <v>22.21</v>
      </c>
      <c r="J40">
        <v>494.39</v>
      </c>
      <c r="K40">
        <v>46.8</v>
      </c>
      <c r="L40">
        <v>0</v>
      </c>
      <c r="M40" t="s">
        <v>1868</v>
      </c>
      <c r="N40">
        <v>8</v>
      </c>
      <c r="O40">
        <v>28</v>
      </c>
      <c r="P40">
        <v>18.440000000000001</v>
      </c>
      <c r="Q40">
        <v>0</v>
      </c>
      <c r="R40">
        <v>3.77</v>
      </c>
      <c r="S40">
        <v>7.31</v>
      </c>
      <c r="T40">
        <v>3.46</v>
      </c>
      <c r="U40">
        <v>1.3</v>
      </c>
      <c r="V40">
        <v>32</v>
      </c>
      <c r="W40">
        <v>0</v>
      </c>
      <c r="X40">
        <v>0</v>
      </c>
      <c r="Y40">
        <v>22.21</v>
      </c>
      <c r="Z40">
        <v>0</v>
      </c>
      <c r="AA40" t="s">
        <v>115</v>
      </c>
      <c r="AB40">
        <v>0</v>
      </c>
      <c r="AC40">
        <v>0.1</v>
      </c>
      <c r="AD40">
        <v>0.05</v>
      </c>
      <c r="AE40">
        <v>22.21</v>
      </c>
      <c r="AF40" t="s">
        <v>1641</v>
      </c>
      <c r="AG40" t="s">
        <v>1667</v>
      </c>
      <c r="AH40">
        <v>0.7</v>
      </c>
    </row>
    <row r="41" spans="1:34" x14ac:dyDescent="0.25">
      <c r="A41" s="2">
        <v>45656</v>
      </c>
      <c r="B41" t="s">
        <v>1866</v>
      </c>
      <c r="C41" t="s">
        <v>1867</v>
      </c>
      <c r="D41">
        <v>66</v>
      </c>
      <c r="E41">
        <v>1</v>
      </c>
      <c r="F41">
        <v>0</v>
      </c>
      <c r="G41">
        <v>50.01</v>
      </c>
      <c r="H41">
        <v>8</v>
      </c>
      <c r="I41">
        <v>42.01</v>
      </c>
      <c r="J41">
        <v>843.4</v>
      </c>
      <c r="K41">
        <v>64</v>
      </c>
      <c r="L41">
        <v>0</v>
      </c>
      <c r="M41" t="s">
        <v>1868</v>
      </c>
      <c r="N41">
        <v>14</v>
      </c>
      <c r="O41">
        <v>52</v>
      </c>
      <c r="P41">
        <v>32.92</v>
      </c>
      <c r="Q41">
        <v>0</v>
      </c>
      <c r="R41">
        <v>9.1</v>
      </c>
      <c r="S41">
        <v>20.77</v>
      </c>
      <c r="T41">
        <v>12.63</v>
      </c>
      <c r="U41">
        <v>1.32</v>
      </c>
      <c r="V41">
        <v>64</v>
      </c>
      <c r="W41">
        <v>0</v>
      </c>
      <c r="X41">
        <v>0</v>
      </c>
      <c r="Y41">
        <v>42.01</v>
      </c>
      <c r="Z41">
        <v>0</v>
      </c>
      <c r="AA41" t="s">
        <v>114</v>
      </c>
      <c r="AB41">
        <v>0</v>
      </c>
      <c r="AC41">
        <v>0.1</v>
      </c>
      <c r="AD41">
        <v>0.05</v>
      </c>
      <c r="AE41">
        <v>42.01</v>
      </c>
      <c r="AF41" t="s">
        <v>1641</v>
      </c>
      <c r="AG41" t="s">
        <v>1667</v>
      </c>
      <c r="AH41">
        <v>0.7</v>
      </c>
    </row>
    <row r="42" spans="1:34" x14ac:dyDescent="0.25">
      <c r="A42" s="2">
        <v>45663</v>
      </c>
      <c r="B42" t="s">
        <v>1869</v>
      </c>
      <c r="C42" t="s">
        <v>1870</v>
      </c>
      <c r="D42">
        <v>51</v>
      </c>
      <c r="E42">
        <v>1</v>
      </c>
      <c r="F42">
        <v>0</v>
      </c>
      <c r="G42">
        <v>30.21</v>
      </c>
      <c r="H42">
        <v>0</v>
      </c>
      <c r="I42">
        <v>30.21</v>
      </c>
      <c r="J42">
        <v>655.1</v>
      </c>
      <c r="K42">
        <v>42.07</v>
      </c>
      <c r="L42">
        <v>0</v>
      </c>
      <c r="M42" t="s">
        <v>1871</v>
      </c>
      <c r="N42">
        <v>24</v>
      </c>
      <c r="O42">
        <v>27</v>
      </c>
      <c r="P42">
        <v>28.66</v>
      </c>
      <c r="Q42">
        <v>0</v>
      </c>
      <c r="R42">
        <v>1.55</v>
      </c>
      <c r="S42">
        <v>28.5</v>
      </c>
      <c r="T42">
        <v>27.29</v>
      </c>
      <c r="U42">
        <v>1.69</v>
      </c>
      <c r="V42">
        <v>51</v>
      </c>
      <c r="W42">
        <v>0</v>
      </c>
      <c r="X42">
        <v>0</v>
      </c>
      <c r="Y42">
        <v>30.21</v>
      </c>
      <c r="Z42">
        <v>0</v>
      </c>
      <c r="AA42" t="s">
        <v>115</v>
      </c>
      <c r="AB42">
        <v>0</v>
      </c>
      <c r="AC42">
        <v>0.1</v>
      </c>
      <c r="AD42">
        <v>0.05</v>
      </c>
      <c r="AE42">
        <v>30.21</v>
      </c>
      <c r="AF42" t="s">
        <v>1602</v>
      </c>
      <c r="AG42" t="s">
        <v>1601</v>
      </c>
      <c r="AH42">
        <v>0.7</v>
      </c>
    </row>
    <row r="43" spans="1:34" x14ac:dyDescent="0.25">
      <c r="A43" s="2">
        <v>45656</v>
      </c>
      <c r="B43" t="s">
        <v>1869</v>
      </c>
      <c r="C43" t="s">
        <v>1870</v>
      </c>
      <c r="D43">
        <v>43</v>
      </c>
      <c r="E43">
        <v>0.93333333333333335</v>
      </c>
      <c r="F43">
        <v>2.3809523809523808E-2</v>
      </c>
      <c r="G43">
        <v>22.59</v>
      </c>
      <c r="H43">
        <v>0</v>
      </c>
      <c r="I43">
        <v>22.59</v>
      </c>
      <c r="J43">
        <v>431.62</v>
      </c>
      <c r="K43">
        <v>43.4</v>
      </c>
      <c r="L43">
        <v>0</v>
      </c>
      <c r="M43" t="s">
        <v>1871</v>
      </c>
      <c r="N43">
        <v>10</v>
      </c>
      <c r="O43">
        <v>33</v>
      </c>
      <c r="P43">
        <v>19.489999999999998</v>
      </c>
      <c r="Q43">
        <v>2</v>
      </c>
      <c r="R43">
        <v>3.09</v>
      </c>
      <c r="S43">
        <v>16.09</v>
      </c>
      <c r="T43">
        <v>14.26</v>
      </c>
      <c r="U43">
        <v>1.9</v>
      </c>
      <c r="V43">
        <v>42</v>
      </c>
      <c r="W43">
        <v>1</v>
      </c>
      <c r="X43">
        <v>1</v>
      </c>
      <c r="Y43">
        <v>0</v>
      </c>
      <c r="Z43">
        <v>0</v>
      </c>
      <c r="AA43" t="s">
        <v>114</v>
      </c>
      <c r="AB43">
        <v>22.59</v>
      </c>
      <c r="AC43">
        <v>0.1</v>
      </c>
      <c r="AD43">
        <v>0.05</v>
      </c>
      <c r="AE43">
        <v>0</v>
      </c>
      <c r="AF43" t="s">
        <v>1602</v>
      </c>
      <c r="AG43" t="s">
        <v>1601</v>
      </c>
      <c r="AH43">
        <v>0.7</v>
      </c>
    </row>
    <row r="44" spans="1:34" x14ac:dyDescent="0.25">
      <c r="A44" s="2">
        <v>45663</v>
      </c>
      <c r="B44" t="s">
        <v>1875</v>
      </c>
      <c r="C44" t="s">
        <v>1876</v>
      </c>
      <c r="D44">
        <v>89</v>
      </c>
      <c r="E44">
        <v>1</v>
      </c>
      <c r="F44">
        <v>5.6074766355140186E-2</v>
      </c>
      <c r="G44">
        <v>51.14</v>
      </c>
      <c r="H44">
        <v>0.03</v>
      </c>
      <c r="I44">
        <v>51.11</v>
      </c>
      <c r="J44">
        <v>865.49</v>
      </c>
      <c r="K44">
        <v>48</v>
      </c>
      <c r="L44">
        <v>0</v>
      </c>
      <c r="M44" t="s">
        <v>1877</v>
      </c>
      <c r="N44">
        <v>32</v>
      </c>
      <c r="O44">
        <v>57</v>
      </c>
      <c r="P44">
        <v>44.31</v>
      </c>
      <c r="Q44">
        <v>0</v>
      </c>
      <c r="R44">
        <v>6.8</v>
      </c>
      <c r="S44">
        <v>26</v>
      </c>
      <c r="T44">
        <v>25.1</v>
      </c>
      <c r="U44">
        <v>1.74</v>
      </c>
      <c r="V44">
        <v>107</v>
      </c>
      <c r="W44">
        <v>0</v>
      </c>
      <c r="X44">
        <v>6</v>
      </c>
      <c r="Y44">
        <v>0</v>
      </c>
      <c r="Z44">
        <v>0</v>
      </c>
      <c r="AA44" t="s">
        <v>115</v>
      </c>
      <c r="AB44">
        <v>51.11</v>
      </c>
      <c r="AC44">
        <v>0.1</v>
      </c>
      <c r="AD44">
        <v>0.05</v>
      </c>
      <c r="AE44">
        <v>0</v>
      </c>
      <c r="AF44" t="s">
        <v>1653</v>
      </c>
      <c r="AG44" t="s">
        <v>1599</v>
      </c>
      <c r="AH44">
        <v>0.7</v>
      </c>
    </row>
    <row r="45" spans="1:34" x14ac:dyDescent="0.25">
      <c r="A45" s="2">
        <v>45656</v>
      </c>
      <c r="B45" t="s">
        <v>1875</v>
      </c>
      <c r="C45" t="s">
        <v>1876</v>
      </c>
      <c r="D45">
        <v>65</v>
      </c>
      <c r="E45">
        <v>0.97368421052631582</v>
      </c>
      <c r="F45">
        <v>2.7027027027027029E-2</v>
      </c>
      <c r="G45">
        <v>33.49</v>
      </c>
      <c r="H45">
        <v>0.01</v>
      </c>
      <c r="I45">
        <v>33.480000000000004</v>
      </c>
      <c r="J45">
        <v>609.79</v>
      </c>
      <c r="K45">
        <v>45</v>
      </c>
      <c r="L45">
        <v>0</v>
      </c>
      <c r="M45" t="s">
        <v>1877</v>
      </c>
      <c r="N45">
        <v>21</v>
      </c>
      <c r="O45">
        <v>44</v>
      </c>
      <c r="P45">
        <v>28.9</v>
      </c>
      <c r="Q45">
        <v>2</v>
      </c>
      <c r="R45">
        <v>4.59</v>
      </c>
      <c r="S45">
        <v>18.86</v>
      </c>
      <c r="T45">
        <v>18.04</v>
      </c>
      <c r="U45">
        <v>1.94</v>
      </c>
      <c r="V45">
        <v>74</v>
      </c>
      <c r="W45">
        <v>0</v>
      </c>
      <c r="X45">
        <v>2</v>
      </c>
      <c r="Y45">
        <v>33.480000000000004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33.480000000000004</v>
      </c>
      <c r="AF45" t="s">
        <v>1653</v>
      </c>
      <c r="AG45" t="s">
        <v>1599</v>
      </c>
      <c r="AH45">
        <v>0.7</v>
      </c>
    </row>
    <row r="46" spans="1:34" x14ac:dyDescent="0.25">
      <c r="A46" s="2">
        <v>45663</v>
      </c>
      <c r="B46" t="s">
        <v>1872</v>
      </c>
      <c r="C46" t="s">
        <v>1873</v>
      </c>
      <c r="D46">
        <v>32</v>
      </c>
      <c r="E46">
        <v>0.90697674418604646</v>
      </c>
      <c r="F46">
        <v>2.564102564102564E-2</v>
      </c>
      <c r="G46">
        <v>12.12</v>
      </c>
      <c r="H46">
        <v>0</v>
      </c>
      <c r="I46">
        <v>12.12</v>
      </c>
      <c r="J46">
        <v>244.6</v>
      </c>
      <c r="K46">
        <v>15</v>
      </c>
      <c r="L46">
        <v>0</v>
      </c>
      <c r="M46" t="s">
        <v>1874</v>
      </c>
      <c r="N46">
        <v>0</v>
      </c>
      <c r="O46">
        <v>32</v>
      </c>
      <c r="P46">
        <v>10.84</v>
      </c>
      <c r="Q46">
        <v>4</v>
      </c>
      <c r="R46">
        <v>1.28</v>
      </c>
      <c r="S46">
        <v>0</v>
      </c>
      <c r="T46">
        <v>0</v>
      </c>
      <c r="U46">
        <v>2.64</v>
      </c>
      <c r="V46">
        <v>39</v>
      </c>
      <c r="W46">
        <v>0</v>
      </c>
      <c r="X46">
        <v>1</v>
      </c>
      <c r="Y46">
        <v>0</v>
      </c>
      <c r="Z46">
        <v>0</v>
      </c>
      <c r="AA46" t="s">
        <v>115</v>
      </c>
      <c r="AB46">
        <v>12.12</v>
      </c>
      <c r="AC46">
        <v>0.1</v>
      </c>
      <c r="AD46">
        <v>0.05</v>
      </c>
      <c r="AE46">
        <v>0</v>
      </c>
      <c r="AF46" t="s">
        <v>1734</v>
      </c>
      <c r="AG46" t="s">
        <v>1599</v>
      </c>
      <c r="AH46">
        <v>0.7</v>
      </c>
    </row>
    <row r="47" spans="1:34" x14ac:dyDescent="0.25">
      <c r="A47" s="2">
        <v>45656</v>
      </c>
      <c r="B47" t="s">
        <v>1872</v>
      </c>
      <c r="C47" t="s">
        <v>1873</v>
      </c>
      <c r="D47">
        <v>17</v>
      </c>
      <c r="E47">
        <v>1</v>
      </c>
      <c r="F47">
        <v>0.05</v>
      </c>
      <c r="G47">
        <v>8.07</v>
      </c>
      <c r="H47">
        <v>0</v>
      </c>
      <c r="I47">
        <v>8.07</v>
      </c>
      <c r="J47">
        <v>183.85</v>
      </c>
      <c r="K47">
        <v>8</v>
      </c>
      <c r="L47">
        <v>0</v>
      </c>
      <c r="M47" t="s">
        <v>1874</v>
      </c>
      <c r="N47">
        <v>0</v>
      </c>
      <c r="O47">
        <v>17</v>
      </c>
      <c r="P47">
        <v>7.61</v>
      </c>
      <c r="Q47">
        <v>0</v>
      </c>
      <c r="R47">
        <v>0.45</v>
      </c>
      <c r="S47">
        <v>0.28999999999999998</v>
      </c>
      <c r="T47">
        <v>0.23</v>
      </c>
      <c r="U47">
        <v>2.11</v>
      </c>
      <c r="V47">
        <v>20</v>
      </c>
      <c r="W47">
        <v>0</v>
      </c>
      <c r="X47">
        <v>1</v>
      </c>
      <c r="Y47">
        <v>0</v>
      </c>
      <c r="Z47">
        <v>0</v>
      </c>
      <c r="AA47" t="s">
        <v>114</v>
      </c>
      <c r="AB47">
        <v>8.07</v>
      </c>
      <c r="AC47">
        <v>0.1</v>
      </c>
      <c r="AD47">
        <v>0.05</v>
      </c>
      <c r="AE47">
        <v>0</v>
      </c>
      <c r="AF47" t="s">
        <v>1734</v>
      </c>
      <c r="AG47" t="s">
        <v>1599</v>
      </c>
      <c r="AH47">
        <v>0.7</v>
      </c>
    </row>
    <row r="48" spans="1:34" x14ac:dyDescent="0.25">
      <c r="A48" s="2">
        <v>45663</v>
      </c>
      <c r="B48" t="s">
        <v>1878</v>
      </c>
      <c r="C48" t="s">
        <v>1879</v>
      </c>
      <c r="D48">
        <v>46</v>
      </c>
      <c r="E48">
        <v>0.90740740740740744</v>
      </c>
      <c r="F48">
        <v>4.0816326530612242E-2</v>
      </c>
      <c r="G48">
        <v>22.37</v>
      </c>
      <c r="H48">
        <v>0.66</v>
      </c>
      <c r="I48">
        <v>21.71</v>
      </c>
      <c r="J48">
        <v>407.05</v>
      </c>
      <c r="K48">
        <v>33</v>
      </c>
      <c r="L48">
        <v>6</v>
      </c>
      <c r="M48" t="s">
        <v>1880</v>
      </c>
      <c r="N48">
        <v>2</v>
      </c>
      <c r="O48">
        <v>44</v>
      </c>
      <c r="P48">
        <v>15.32</v>
      </c>
      <c r="Q48">
        <v>0</v>
      </c>
      <c r="R48">
        <v>6.39</v>
      </c>
      <c r="S48">
        <v>5.83</v>
      </c>
      <c r="T48">
        <v>3.36</v>
      </c>
      <c r="U48">
        <v>2.06</v>
      </c>
      <c r="V48">
        <v>49</v>
      </c>
      <c r="W48">
        <v>5</v>
      </c>
      <c r="X48">
        <v>2</v>
      </c>
      <c r="Y48">
        <v>0</v>
      </c>
      <c r="Z48">
        <v>0</v>
      </c>
      <c r="AA48" t="s">
        <v>115</v>
      </c>
      <c r="AB48">
        <v>21.71</v>
      </c>
      <c r="AC48">
        <v>0.1</v>
      </c>
      <c r="AD48">
        <v>0.05</v>
      </c>
      <c r="AE48">
        <v>0</v>
      </c>
      <c r="AF48" t="s">
        <v>1735</v>
      </c>
      <c r="AG48" t="s">
        <v>1599</v>
      </c>
      <c r="AH48">
        <v>0.7</v>
      </c>
    </row>
    <row r="49" spans="1:34" x14ac:dyDescent="0.25">
      <c r="A49" s="2">
        <v>45656</v>
      </c>
      <c r="B49" t="s">
        <v>1878</v>
      </c>
      <c r="C49" t="s">
        <v>1879</v>
      </c>
      <c r="D49">
        <v>42</v>
      </c>
      <c r="E49">
        <v>0.91666666666666663</v>
      </c>
      <c r="F49">
        <v>2.2727272727272728E-2</v>
      </c>
      <c r="G49">
        <v>27.12</v>
      </c>
      <c r="H49">
        <v>0</v>
      </c>
      <c r="I49">
        <v>27.12</v>
      </c>
      <c r="J49">
        <v>599.23</v>
      </c>
      <c r="K49">
        <v>58.1</v>
      </c>
      <c r="L49">
        <v>0</v>
      </c>
      <c r="M49" t="s">
        <v>1880</v>
      </c>
      <c r="N49">
        <v>1</v>
      </c>
      <c r="O49">
        <v>41</v>
      </c>
      <c r="P49">
        <v>19.260000000000002</v>
      </c>
      <c r="Q49">
        <v>0</v>
      </c>
      <c r="R49">
        <v>7.85</v>
      </c>
      <c r="S49">
        <v>5.13</v>
      </c>
      <c r="T49">
        <v>2.1800000000000002</v>
      </c>
      <c r="U49">
        <v>1.55</v>
      </c>
      <c r="V49">
        <v>44</v>
      </c>
      <c r="W49">
        <v>4</v>
      </c>
      <c r="X49">
        <v>1</v>
      </c>
      <c r="Y49">
        <v>0</v>
      </c>
      <c r="Z49">
        <v>0</v>
      </c>
      <c r="AA49" t="s">
        <v>114</v>
      </c>
      <c r="AB49">
        <v>27.12</v>
      </c>
      <c r="AC49">
        <v>0.1</v>
      </c>
      <c r="AD49">
        <v>0.05</v>
      </c>
      <c r="AE49">
        <v>0</v>
      </c>
      <c r="AF49" t="s">
        <v>1735</v>
      </c>
      <c r="AG49" t="s">
        <v>1599</v>
      </c>
      <c r="AH49">
        <v>0.7</v>
      </c>
    </row>
    <row r="50" spans="1:34" x14ac:dyDescent="0.25">
      <c r="A50" s="2">
        <v>45663</v>
      </c>
      <c r="B50" t="s">
        <v>1887</v>
      </c>
      <c r="C50" t="s">
        <v>1888</v>
      </c>
      <c r="D50">
        <v>29</v>
      </c>
      <c r="E50">
        <v>0.88235294117647056</v>
      </c>
      <c r="F50">
        <v>8.8888888888888892E-2</v>
      </c>
      <c r="G50">
        <v>19.82</v>
      </c>
      <c r="H50">
        <v>0</v>
      </c>
      <c r="I50">
        <v>19.82</v>
      </c>
      <c r="J50">
        <v>334.02</v>
      </c>
      <c r="K50">
        <v>31</v>
      </c>
      <c r="L50">
        <v>0</v>
      </c>
      <c r="M50" t="s">
        <v>1889</v>
      </c>
      <c r="N50">
        <v>13</v>
      </c>
      <c r="O50">
        <v>16</v>
      </c>
      <c r="P50">
        <v>18.579999999999998</v>
      </c>
      <c r="Q50">
        <v>0</v>
      </c>
      <c r="R50">
        <v>1.23</v>
      </c>
      <c r="S50">
        <v>17.8</v>
      </c>
      <c r="T50">
        <v>16.75</v>
      </c>
      <c r="U50">
        <v>1.46</v>
      </c>
      <c r="V50">
        <v>45</v>
      </c>
      <c r="W50">
        <v>6</v>
      </c>
      <c r="X50">
        <v>4</v>
      </c>
      <c r="Y50">
        <v>0</v>
      </c>
      <c r="Z50">
        <v>0</v>
      </c>
      <c r="AA50" t="s">
        <v>115</v>
      </c>
      <c r="AB50">
        <v>19.82</v>
      </c>
      <c r="AC50">
        <v>0.1</v>
      </c>
      <c r="AD50">
        <v>0.05</v>
      </c>
      <c r="AE50">
        <v>0</v>
      </c>
      <c r="AF50" t="s">
        <v>1655</v>
      </c>
      <c r="AG50" t="s">
        <v>1599</v>
      </c>
      <c r="AH50">
        <v>0.7</v>
      </c>
    </row>
    <row r="51" spans="1:34" x14ac:dyDescent="0.25">
      <c r="A51" s="2">
        <v>45656</v>
      </c>
      <c r="B51" t="s">
        <v>1887</v>
      </c>
      <c r="C51" t="s">
        <v>1888</v>
      </c>
      <c r="D51">
        <v>65</v>
      </c>
      <c r="E51">
        <v>0.95180722891566261</v>
      </c>
      <c r="F51">
        <v>7.5949367088607597E-2</v>
      </c>
      <c r="G51">
        <v>37.82</v>
      </c>
      <c r="H51">
        <v>0</v>
      </c>
      <c r="I51">
        <v>37.82</v>
      </c>
      <c r="J51">
        <v>690.12</v>
      </c>
      <c r="K51">
        <v>28.03</v>
      </c>
      <c r="L51">
        <v>0</v>
      </c>
      <c r="M51" t="s">
        <v>1889</v>
      </c>
      <c r="N51">
        <v>19</v>
      </c>
      <c r="O51">
        <v>46</v>
      </c>
      <c r="P51">
        <v>35</v>
      </c>
      <c r="Q51">
        <v>0</v>
      </c>
      <c r="R51">
        <v>2.81</v>
      </c>
      <c r="S51">
        <v>23.24</v>
      </c>
      <c r="T51">
        <v>22.08</v>
      </c>
      <c r="U51">
        <v>1.72</v>
      </c>
      <c r="V51">
        <v>79</v>
      </c>
      <c r="W51">
        <v>4</v>
      </c>
      <c r="X51">
        <v>6</v>
      </c>
      <c r="Y51">
        <v>0</v>
      </c>
      <c r="Z51">
        <v>0</v>
      </c>
      <c r="AA51" t="s">
        <v>114</v>
      </c>
      <c r="AB51">
        <v>37.82</v>
      </c>
      <c r="AC51">
        <v>0.1</v>
      </c>
      <c r="AD51">
        <v>0.05</v>
      </c>
      <c r="AE51">
        <v>0</v>
      </c>
      <c r="AF51" t="s">
        <v>1655</v>
      </c>
      <c r="AG51" t="s">
        <v>1599</v>
      </c>
      <c r="AH51">
        <v>0.7</v>
      </c>
    </row>
    <row r="52" spans="1:34" x14ac:dyDescent="0.25">
      <c r="A52" s="2">
        <v>45663</v>
      </c>
      <c r="B52" t="s">
        <v>1881</v>
      </c>
      <c r="C52" t="s">
        <v>1882</v>
      </c>
      <c r="D52">
        <v>77</v>
      </c>
      <c r="E52">
        <v>0.98148148148148151</v>
      </c>
      <c r="F52">
        <v>1.8867924528301886E-2</v>
      </c>
      <c r="G52">
        <v>46.47</v>
      </c>
      <c r="H52">
        <v>1.1399999999999999</v>
      </c>
      <c r="I52">
        <v>45.33</v>
      </c>
      <c r="J52">
        <v>757.22</v>
      </c>
      <c r="K52">
        <v>24</v>
      </c>
      <c r="L52">
        <v>18</v>
      </c>
      <c r="M52" t="s">
        <v>1883</v>
      </c>
      <c r="N52">
        <v>6</v>
      </c>
      <c r="O52">
        <v>71</v>
      </c>
      <c r="P52">
        <v>37.549999999999997</v>
      </c>
      <c r="Q52">
        <v>0</v>
      </c>
      <c r="R52">
        <v>7.78</v>
      </c>
      <c r="S52">
        <v>3.84</v>
      </c>
      <c r="T52">
        <v>3.46</v>
      </c>
      <c r="U52">
        <v>1.66</v>
      </c>
      <c r="V52">
        <v>106</v>
      </c>
      <c r="W52">
        <v>2</v>
      </c>
      <c r="X52">
        <v>2</v>
      </c>
      <c r="Y52">
        <v>45.33</v>
      </c>
      <c r="Z52">
        <v>0</v>
      </c>
      <c r="AA52" t="s">
        <v>115</v>
      </c>
      <c r="AB52">
        <v>0</v>
      </c>
      <c r="AC52">
        <v>0.1</v>
      </c>
      <c r="AD52">
        <v>0.05</v>
      </c>
      <c r="AE52">
        <v>45.33</v>
      </c>
      <c r="AF52" t="s">
        <v>1680</v>
      </c>
      <c r="AG52" t="s">
        <v>1600</v>
      </c>
      <c r="AH52">
        <v>0.7</v>
      </c>
    </row>
    <row r="53" spans="1:34" x14ac:dyDescent="0.25">
      <c r="A53" s="2">
        <v>45656</v>
      </c>
      <c r="B53" t="s">
        <v>1881</v>
      </c>
      <c r="C53" t="s">
        <v>1882</v>
      </c>
      <c r="D53">
        <v>67</v>
      </c>
      <c r="E53">
        <v>0.97058823529411764</v>
      </c>
      <c r="F53">
        <v>3.0303030303030304E-2</v>
      </c>
      <c r="G53">
        <v>42.24</v>
      </c>
      <c r="H53">
        <v>0.7</v>
      </c>
      <c r="I53">
        <v>41.54</v>
      </c>
      <c r="J53">
        <v>653.44000000000005</v>
      </c>
      <c r="K53">
        <v>47</v>
      </c>
      <c r="L53">
        <v>0</v>
      </c>
      <c r="M53" t="s">
        <v>1883</v>
      </c>
      <c r="N53">
        <v>8</v>
      </c>
      <c r="O53">
        <v>59</v>
      </c>
      <c r="P53">
        <v>32.01</v>
      </c>
      <c r="Q53">
        <v>1</v>
      </c>
      <c r="R53">
        <v>9.5299999999999994</v>
      </c>
      <c r="S53">
        <v>10.61</v>
      </c>
      <c r="T53">
        <v>5.91</v>
      </c>
      <c r="U53">
        <v>1.59</v>
      </c>
      <c r="V53">
        <v>99</v>
      </c>
      <c r="W53">
        <v>2</v>
      </c>
      <c r="X53">
        <v>3</v>
      </c>
      <c r="Y53">
        <v>41.54</v>
      </c>
      <c r="Z53">
        <v>0</v>
      </c>
      <c r="AA53" t="s">
        <v>114</v>
      </c>
      <c r="AB53">
        <v>0</v>
      </c>
      <c r="AC53">
        <v>0.1</v>
      </c>
      <c r="AD53">
        <v>0.05</v>
      </c>
      <c r="AE53">
        <v>41.54</v>
      </c>
      <c r="AF53" t="s">
        <v>1680</v>
      </c>
      <c r="AG53" t="s">
        <v>1600</v>
      </c>
      <c r="AH53">
        <v>0.7</v>
      </c>
    </row>
    <row r="54" spans="1:34" x14ac:dyDescent="0.25">
      <c r="A54" s="2">
        <v>45663</v>
      </c>
      <c r="B54" t="s">
        <v>1884</v>
      </c>
      <c r="C54" t="s">
        <v>1885</v>
      </c>
      <c r="D54">
        <v>145</v>
      </c>
      <c r="E54">
        <v>0.97619047619047616</v>
      </c>
      <c r="F54">
        <v>0</v>
      </c>
      <c r="G54">
        <v>64.95</v>
      </c>
      <c r="H54">
        <v>0.52</v>
      </c>
      <c r="I54">
        <v>64.430000000000007</v>
      </c>
      <c r="J54">
        <v>1531.27</v>
      </c>
      <c r="K54">
        <v>50.25</v>
      </c>
      <c r="L54">
        <v>13.55</v>
      </c>
      <c r="M54" t="s">
        <v>1886</v>
      </c>
      <c r="N54">
        <v>12</v>
      </c>
      <c r="O54">
        <v>133</v>
      </c>
      <c r="P54">
        <v>62.08</v>
      </c>
      <c r="Q54">
        <v>1</v>
      </c>
      <c r="R54">
        <v>2.35</v>
      </c>
      <c r="S54">
        <v>3.11</v>
      </c>
      <c r="T54">
        <v>2.82</v>
      </c>
      <c r="U54">
        <v>2.23</v>
      </c>
      <c r="V54">
        <v>164</v>
      </c>
      <c r="W54">
        <v>3</v>
      </c>
      <c r="X54">
        <v>0</v>
      </c>
      <c r="Y54">
        <v>64.430000000000007</v>
      </c>
      <c r="Z54">
        <v>0</v>
      </c>
      <c r="AA54" t="s">
        <v>115</v>
      </c>
      <c r="AB54">
        <v>0</v>
      </c>
      <c r="AC54">
        <v>0.1</v>
      </c>
      <c r="AD54">
        <v>0.05</v>
      </c>
      <c r="AE54">
        <v>64.430000000000007</v>
      </c>
      <c r="AF54" t="s">
        <v>1818</v>
      </c>
      <c r="AG54" t="s">
        <v>1600</v>
      </c>
      <c r="AH54">
        <v>0.7</v>
      </c>
    </row>
    <row r="55" spans="1:34" x14ac:dyDescent="0.25">
      <c r="A55" s="2">
        <v>45656</v>
      </c>
      <c r="B55" t="s">
        <v>1884</v>
      </c>
      <c r="C55" t="s">
        <v>1885</v>
      </c>
      <c r="D55">
        <v>94</v>
      </c>
      <c r="E55">
        <v>0.98989898989898994</v>
      </c>
      <c r="F55">
        <v>0</v>
      </c>
      <c r="G55">
        <v>40.39</v>
      </c>
      <c r="H55">
        <v>1</v>
      </c>
      <c r="I55">
        <v>39.39</v>
      </c>
      <c r="J55">
        <v>1051.69</v>
      </c>
      <c r="K55">
        <v>55.6</v>
      </c>
      <c r="L55">
        <v>0</v>
      </c>
      <c r="M55" t="s">
        <v>1886</v>
      </c>
      <c r="N55">
        <v>2</v>
      </c>
      <c r="O55">
        <v>92</v>
      </c>
      <c r="P55">
        <v>37.700000000000003</v>
      </c>
      <c r="Q55">
        <v>0</v>
      </c>
      <c r="R55">
        <v>1.69</v>
      </c>
      <c r="S55">
        <v>1.49</v>
      </c>
      <c r="T55">
        <v>1.39</v>
      </c>
      <c r="U55">
        <v>2.33</v>
      </c>
      <c r="V55">
        <v>98</v>
      </c>
      <c r="W55">
        <v>1</v>
      </c>
      <c r="X55">
        <v>0</v>
      </c>
      <c r="Y55">
        <v>39.39</v>
      </c>
      <c r="Z55">
        <v>0</v>
      </c>
      <c r="AA55" t="s">
        <v>114</v>
      </c>
      <c r="AB55">
        <v>0</v>
      </c>
      <c r="AC55">
        <v>0.1</v>
      </c>
      <c r="AD55">
        <v>0.05</v>
      </c>
      <c r="AE55">
        <v>39.39</v>
      </c>
      <c r="AF55" t="s">
        <v>1818</v>
      </c>
      <c r="AG55" t="s">
        <v>1600</v>
      </c>
      <c r="AH55">
        <v>0.7</v>
      </c>
    </row>
    <row r="56" spans="1:34" x14ac:dyDescent="0.25">
      <c r="A56" s="2">
        <v>45663</v>
      </c>
      <c r="B56" t="s">
        <v>1893</v>
      </c>
      <c r="C56" t="s">
        <v>1894</v>
      </c>
      <c r="D56">
        <v>20</v>
      </c>
      <c r="E56">
        <v>0.96153846153846156</v>
      </c>
      <c r="F56">
        <v>0.04</v>
      </c>
      <c r="G56">
        <v>13.1</v>
      </c>
      <c r="H56">
        <v>0.38</v>
      </c>
      <c r="I56">
        <v>12.719999999999999</v>
      </c>
      <c r="J56">
        <v>240.83</v>
      </c>
      <c r="K56">
        <v>5</v>
      </c>
      <c r="L56">
        <v>3</v>
      </c>
      <c r="M56" t="s">
        <v>1895</v>
      </c>
      <c r="N56">
        <v>3</v>
      </c>
      <c r="O56">
        <v>17</v>
      </c>
      <c r="P56">
        <v>11.28</v>
      </c>
      <c r="Q56">
        <v>0</v>
      </c>
      <c r="R56">
        <v>1.44</v>
      </c>
      <c r="S56">
        <v>5.97</v>
      </c>
      <c r="T56">
        <v>5.63</v>
      </c>
      <c r="U56">
        <v>1.53</v>
      </c>
      <c r="V56">
        <v>25</v>
      </c>
      <c r="W56">
        <v>1</v>
      </c>
      <c r="X56">
        <v>1</v>
      </c>
      <c r="Y56">
        <v>12.719999999999999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12.719999999999999</v>
      </c>
      <c r="AF56" t="s">
        <v>1675</v>
      </c>
      <c r="AG56" t="s">
        <v>1599</v>
      </c>
      <c r="AH56">
        <v>0.7</v>
      </c>
    </row>
    <row r="57" spans="1:34" x14ac:dyDescent="0.25">
      <c r="A57" s="2">
        <v>45656</v>
      </c>
      <c r="B57" t="s">
        <v>1893</v>
      </c>
      <c r="C57" t="s">
        <v>1894</v>
      </c>
      <c r="D57">
        <v>36</v>
      </c>
      <c r="E57">
        <v>0.90697674418604646</v>
      </c>
      <c r="F57">
        <v>5.128205128205128E-2</v>
      </c>
      <c r="G57">
        <v>18.34</v>
      </c>
      <c r="H57">
        <v>0.37</v>
      </c>
      <c r="I57">
        <v>17.97</v>
      </c>
      <c r="J57">
        <v>391.42</v>
      </c>
      <c r="K57">
        <v>23.09</v>
      </c>
      <c r="L57">
        <v>0</v>
      </c>
      <c r="M57" t="s">
        <v>1895</v>
      </c>
      <c r="N57">
        <v>6</v>
      </c>
      <c r="O57">
        <v>30</v>
      </c>
      <c r="P57">
        <v>15.53</v>
      </c>
      <c r="Q57">
        <v>0</v>
      </c>
      <c r="R57">
        <v>2.44</v>
      </c>
      <c r="S57">
        <v>5.88</v>
      </c>
      <c r="T57">
        <v>4.58</v>
      </c>
      <c r="U57">
        <v>1.96</v>
      </c>
      <c r="V57">
        <v>39</v>
      </c>
      <c r="W57">
        <v>4</v>
      </c>
      <c r="X57">
        <v>2</v>
      </c>
      <c r="Y57">
        <v>0</v>
      </c>
      <c r="Z57">
        <v>0</v>
      </c>
      <c r="AA57" t="s">
        <v>114</v>
      </c>
      <c r="AB57">
        <v>17.97</v>
      </c>
      <c r="AC57">
        <v>0.1</v>
      </c>
      <c r="AD57">
        <v>0.05</v>
      </c>
      <c r="AE57">
        <v>0</v>
      </c>
      <c r="AF57" t="s">
        <v>1675</v>
      </c>
      <c r="AG57" t="s">
        <v>1599</v>
      </c>
      <c r="AH57">
        <v>0.7</v>
      </c>
    </row>
    <row r="58" spans="1:34" x14ac:dyDescent="0.25">
      <c r="A58" s="2">
        <v>45663</v>
      </c>
      <c r="B58" t="s">
        <v>1890</v>
      </c>
      <c r="C58" t="s">
        <v>1891</v>
      </c>
      <c r="D58">
        <v>86</v>
      </c>
      <c r="E58">
        <v>1</v>
      </c>
      <c r="F58">
        <v>9.9009900990099011E-3</v>
      </c>
      <c r="G58">
        <v>50.49</v>
      </c>
      <c r="H58">
        <v>0</v>
      </c>
      <c r="I58">
        <v>50.49</v>
      </c>
      <c r="J58">
        <v>789.29</v>
      </c>
      <c r="K58">
        <v>50.12</v>
      </c>
      <c r="L58">
        <v>0</v>
      </c>
      <c r="M58" t="s">
        <v>1892</v>
      </c>
      <c r="N58">
        <v>7</v>
      </c>
      <c r="O58">
        <v>79</v>
      </c>
      <c r="P58">
        <v>36.21</v>
      </c>
      <c r="Q58">
        <v>0</v>
      </c>
      <c r="R58">
        <v>14.28</v>
      </c>
      <c r="S58">
        <v>6.26</v>
      </c>
      <c r="T58">
        <v>3.74</v>
      </c>
      <c r="U58">
        <v>1.7</v>
      </c>
      <c r="V58">
        <v>101</v>
      </c>
      <c r="W58">
        <v>0</v>
      </c>
      <c r="X58">
        <v>1</v>
      </c>
      <c r="Y58">
        <v>50.49</v>
      </c>
      <c r="Z58">
        <v>0</v>
      </c>
      <c r="AA58" t="s">
        <v>115</v>
      </c>
      <c r="AB58">
        <v>0</v>
      </c>
      <c r="AC58">
        <v>0.1</v>
      </c>
      <c r="AD58">
        <v>0.05</v>
      </c>
      <c r="AE58">
        <v>50.49</v>
      </c>
      <c r="AF58" t="s">
        <v>1730</v>
      </c>
      <c r="AG58" t="s">
        <v>1787</v>
      </c>
      <c r="AH58">
        <v>0.7</v>
      </c>
    </row>
    <row r="59" spans="1:34" x14ac:dyDescent="0.25">
      <c r="A59" s="2">
        <v>45656</v>
      </c>
      <c r="B59" t="s">
        <v>1890</v>
      </c>
      <c r="C59" t="s">
        <v>1891</v>
      </c>
      <c r="D59">
        <v>81</v>
      </c>
      <c r="E59">
        <v>1</v>
      </c>
      <c r="F59">
        <v>3.0303030303030304E-2</v>
      </c>
      <c r="G59">
        <v>50.91</v>
      </c>
      <c r="H59">
        <v>0</v>
      </c>
      <c r="I59">
        <v>50.91</v>
      </c>
      <c r="J59">
        <v>886.64</v>
      </c>
      <c r="K59">
        <v>68</v>
      </c>
      <c r="L59">
        <v>0</v>
      </c>
      <c r="M59" t="s">
        <v>1892</v>
      </c>
      <c r="N59">
        <v>10</v>
      </c>
      <c r="O59">
        <v>71</v>
      </c>
      <c r="P59">
        <v>34.71</v>
      </c>
      <c r="Q59">
        <v>0</v>
      </c>
      <c r="R59">
        <v>16.2</v>
      </c>
      <c r="S59">
        <v>18.04</v>
      </c>
      <c r="T59">
        <v>8.94</v>
      </c>
      <c r="U59">
        <v>1.59</v>
      </c>
      <c r="V59">
        <v>99</v>
      </c>
      <c r="W59">
        <v>0</v>
      </c>
      <c r="X59">
        <v>3</v>
      </c>
      <c r="Y59">
        <v>50.91</v>
      </c>
      <c r="Z59">
        <v>0</v>
      </c>
      <c r="AA59" t="s">
        <v>114</v>
      </c>
      <c r="AB59">
        <v>0</v>
      </c>
      <c r="AC59">
        <v>0.1</v>
      </c>
      <c r="AD59">
        <v>0.05</v>
      </c>
      <c r="AE59">
        <v>50.91</v>
      </c>
      <c r="AF59" t="s">
        <v>1730</v>
      </c>
      <c r="AG59" t="s">
        <v>1787</v>
      </c>
      <c r="AH59">
        <v>0.7</v>
      </c>
    </row>
    <row r="60" spans="1:34" x14ac:dyDescent="0.25">
      <c r="A60" s="2">
        <v>45663</v>
      </c>
      <c r="B60" t="s">
        <v>1896</v>
      </c>
      <c r="C60" t="s">
        <v>1897</v>
      </c>
      <c r="D60">
        <v>116</v>
      </c>
      <c r="E60">
        <v>0.99310344827586206</v>
      </c>
      <c r="F60">
        <v>0</v>
      </c>
      <c r="G60">
        <v>67.02</v>
      </c>
      <c r="H60">
        <v>2.52</v>
      </c>
      <c r="I60">
        <v>64.5</v>
      </c>
      <c r="J60">
        <v>1160.0999999999999</v>
      </c>
      <c r="K60">
        <v>49.39</v>
      </c>
      <c r="L60">
        <v>8.8800000000000008</v>
      </c>
      <c r="M60" t="s">
        <v>1898</v>
      </c>
      <c r="N60">
        <v>24</v>
      </c>
      <c r="O60">
        <v>92</v>
      </c>
      <c r="P60">
        <v>55.29</v>
      </c>
      <c r="Q60">
        <v>1</v>
      </c>
      <c r="R60">
        <v>9.1999999999999993</v>
      </c>
      <c r="S60">
        <v>22.33</v>
      </c>
      <c r="T60">
        <v>20.329999999999998</v>
      </c>
      <c r="U60">
        <v>1.73</v>
      </c>
      <c r="V60">
        <v>144</v>
      </c>
      <c r="W60">
        <v>0</v>
      </c>
      <c r="X60">
        <v>0</v>
      </c>
      <c r="Y60">
        <v>64.5</v>
      </c>
      <c r="Z60">
        <v>0</v>
      </c>
      <c r="AA60" t="s">
        <v>115</v>
      </c>
      <c r="AB60">
        <v>0</v>
      </c>
      <c r="AC60">
        <v>0.1</v>
      </c>
      <c r="AD60">
        <v>0.05</v>
      </c>
      <c r="AE60">
        <v>64.5</v>
      </c>
      <c r="AF60" t="s">
        <v>1661</v>
      </c>
      <c r="AG60" t="s">
        <v>1601</v>
      </c>
      <c r="AH60">
        <v>0.7</v>
      </c>
    </row>
    <row r="61" spans="1:34" x14ac:dyDescent="0.25">
      <c r="A61" s="2">
        <v>45656</v>
      </c>
      <c r="B61" t="s">
        <v>1896</v>
      </c>
      <c r="C61" t="s">
        <v>1897</v>
      </c>
      <c r="D61">
        <v>78</v>
      </c>
      <c r="E61">
        <v>0.963963963963964</v>
      </c>
      <c r="F61">
        <v>0</v>
      </c>
      <c r="G61">
        <v>58.13</v>
      </c>
      <c r="H61">
        <v>7.08</v>
      </c>
      <c r="I61">
        <v>51.050000000000004</v>
      </c>
      <c r="J61">
        <v>871.93</v>
      </c>
      <c r="K61">
        <v>65.34</v>
      </c>
      <c r="L61">
        <v>0</v>
      </c>
      <c r="M61" t="s">
        <v>1898</v>
      </c>
      <c r="N61">
        <v>16</v>
      </c>
      <c r="O61">
        <v>62</v>
      </c>
      <c r="P61">
        <v>38.75</v>
      </c>
      <c r="Q61">
        <v>4</v>
      </c>
      <c r="R61">
        <v>12.3</v>
      </c>
      <c r="S61">
        <v>22.23</v>
      </c>
      <c r="T61">
        <v>14.02</v>
      </c>
      <c r="U61">
        <v>1.34</v>
      </c>
      <c r="V61">
        <v>107</v>
      </c>
      <c r="W61">
        <v>0</v>
      </c>
      <c r="X61">
        <v>0</v>
      </c>
      <c r="Y61">
        <v>51.050000000000004</v>
      </c>
      <c r="Z61">
        <v>0</v>
      </c>
      <c r="AA61" t="s">
        <v>114</v>
      </c>
      <c r="AB61">
        <v>0</v>
      </c>
      <c r="AC61">
        <v>0.1</v>
      </c>
      <c r="AD61">
        <v>0.05</v>
      </c>
      <c r="AE61">
        <v>51.050000000000004</v>
      </c>
      <c r="AF61" t="s">
        <v>1661</v>
      </c>
      <c r="AG61" t="s">
        <v>1601</v>
      </c>
      <c r="AH61">
        <v>0.7</v>
      </c>
    </row>
    <row r="62" spans="1:34" x14ac:dyDescent="0.25">
      <c r="A62" s="2">
        <v>45663</v>
      </c>
      <c r="B62" t="s">
        <v>1899</v>
      </c>
      <c r="C62" t="s">
        <v>1900</v>
      </c>
      <c r="D62">
        <v>86</v>
      </c>
      <c r="E62">
        <v>1</v>
      </c>
      <c r="F62">
        <v>2.8846153846153848E-2</v>
      </c>
      <c r="G62">
        <v>51.49</v>
      </c>
      <c r="H62">
        <v>0.4</v>
      </c>
      <c r="I62">
        <v>51.09</v>
      </c>
      <c r="J62">
        <v>929.23</v>
      </c>
      <c r="K62">
        <v>98.28</v>
      </c>
      <c r="L62">
        <v>4.5</v>
      </c>
      <c r="M62" t="s">
        <v>1901</v>
      </c>
      <c r="N62">
        <v>19</v>
      </c>
      <c r="O62">
        <v>67</v>
      </c>
      <c r="P62">
        <v>45.1</v>
      </c>
      <c r="Q62">
        <v>0</v>
      </c>
      <c r="R62">
        <v>5.98</v>
      </c>
      <c r="S62">
        <v>20.04</v>
      </c>
      <c r="T62">
        <v>18.96</v>
      </c>
      <c r="U62">
        <v>1.67</v>
      </c>
      <c r="V62">
        <v>104</v>
      </c>
      <c r="W62">
        <v>0</v>
      </c>
      <c r="X62">
        <v>3</v>
      </c>
      <c r="Y62">
        <v>51.09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51.09</v>
      </c>
      <c r="AF62" t="s">
        <v>1736</v>
      </c>
      <c r="AG62" t="s">
        <v>1670</v>
      </c>
      <c r="AH62">
        <v>0.7</v>
      </c>
    </row>
    <row r="63" spans="1:34" x14ac:dyDescent="0.25">
      <c r="A63" s="2">
        <v>45656</v>
      </c>
      <c r="B63" t="s">
        <v>1899</v>
      </c>
      <c r="C63" t="s">
        <v>1900</v>
      </c>
      <c r="D63">
        <v>77</v>
      </c>
      <c r="E63">
        <v>0.96907216494845361</v>
      </c>
      <c r="F63">
        <v>3.1914893617021274E-2</v>
      </c>
      <c r="G63">
        <v>51.34</v>
      </c>
      <c r="H63">
        <v>1.17</v>
      </c>
      <c r="I63">
        <v>50.17</v>
      </c>
      <c r="J63">
        <v>944.85</v>
      </c>
      <c r="K63">
        <v>64</v>
      </c>
      <c r="L63">
        <v>0</v>
      </c>
      <c r="M63" t="s">
        <v>1901</v>
      </c>
      <c r="N63">
        <v>14</v>
      </c>
      <c r="O63">
        <v>63</v>
      </c>
      <c r="P63">
        <v>42.57</v>
      </c>
      <c r="Q63">
        <v>2</v>
      </c>
      <c r="R63">
        <v>7.6</v>
      </c>
      <c r="S63">
        <v>33.18</v>
      </c>
      <c r="T63">
        <v>27.18</v>
      </c>
      <c r="U63">
        <v>1.5</v>
      </c>
      <c r="V63">
        <v>94</v>
      </c>
      <c r="W63">
        <v>1</v>
      </c>
      <c r="X63">
        <v>3</v>
      </c>
      <c r="Y63">
        <v>50.17</v>
      </c>
      <c r="Z63">
        <v>0</v>
      </c>
      <c r="AA63" t="s">
        <v>114</v>
      </c>
      <c r="AB63">
        <v>0</v>
      </c>
      <c r="AC63">
        <v>0.1</v>
      </c>
      <c r="AD63">
        <v>0.05</v>
      </c>
      <c r="AE63">
        <v>50.17</v>
      </c>
      <c r="AF63" t="s">
        <v>1736</v>
      </c>
      <c r="AG63" t="s">
        <v>1670</v>
      </c>
      <c r="AH63">
        <v>0.7</v>
      </c>
    </row>
    <row r="64" spans="1:34" x14ac:dyDescent="0.25">
      <c r="A64" s="2">
        <v>45663</v>
      </c>
      <c r="B64" t="s">
        <v>1902</v>
      </c>
      <c r="C64" t="s">
        <v>1903</v>
      </c>
      <c r="D64">
        <v>28</v>
      </c>
      <c r="E64">
        <v>1</v>
      </c>
      <c r="F64">
        <v>5.5555555555555552E-2</v>
      </c>
      <c r="G64">
        <v>15.77</v>
      </c>
      <c r="H64">
        <v>0</v>
      </c>
      <c r="I64">
        <v>15.77</v>
      </c>
      <c r="J64">
        <v>251.64</v>
      </c>
      <c r="K64">
        <v>19</v>
      </c>
      <c r="L64">
        <v>0</v>
      </c>
      <c r="M64" t="s">
        <v>1904</v>
      </c>
      <c r="N64">
        <v>9</v>
      </c>
      <c r="O64">
        <v>19</v>
      </c>
      <c r="P64">
        <v>15.43</v>
      </c>
      <c r="Q64">
        <v>0</v>
      </c>
      <c r="R64">
        <v>0.35</v>
      </c>
      <c r="S64">
        <v>0</v>
      </c>
      <c r="T64">
        <v>0</v>
      </c>
      <c r="U64">
        <v>1.78</v>
      </c>
      <c r="V64">
        <v>36</v>
      </c>
      <c r="W64">
        <v>0</v>
      </c>
      <c r="X64">
        <v>2</v>
      </c>
      <c r="Y64">
        <v>0</v>
      </c>
      <c r="Z64">
        <v>0</v>
      </c>
      <c r="AA64" t="s">
        <v>115</v>
      </c>
      <c r="AB64">
        <v>15.77</v>
      </c>
      <c r="AC64">
        <v>0.1</v>
      </c>
      <c r="AD64">
        <v>0.05</v>
      </c>
      <c r="AE64">
        <v>0</v>
      </c>
      <c r="AF64" t="s">
        <v>1685</v>
      </c>
      <c r="AG64" t="s">
        <v>1599</v>
      </c>
      <c r="AH64">
        <v>0.7</v>
      </c>
    </row>
    <row r="65" spans="1:34" x14ac:dyDescent="0.25">
      <c r="A65" s="2">
        <v>45656</v>
      </c>
      <c r="B65" t="s">
        <v>1902</v>
      </c>
      <c r="C65" t="s">
        <v>1903</v>
      </c>
      <c r="D65">
        <v>21</v>
      </c>
      <c r="E65">
        <v>1</v>
      </c>
      <c r="F65">
        <v>0</v>
      </c>
      <c r="G65">
        <v>13.48</v>
      </c>
      <c r="H65">
        <v>0</v>
      </c>
      <c r="I65">
        <v>13.48</v>
      </c>
      <c r="J65">
        <v>257.23</v>
      </c>
      <c r="K65">
        <v>32</v>
      </c>
      <c r="L65">
        <v>0</v>
      </c>
      <c r="M65" t="s">
        <v>1904</v>
      </c>
      <c r="N65">
        <v>3</v>
      </c>
      <c r="O65">
        <v>18</v>
      </c>
      <c r="P65">
        <v>13.01</v>
      </c>
      <c r="Q65">
        <v>0</v>
      </c>
      <c r="R65">
        <v>0.46</v>
      </c>
      <c r="S65">
        <v>6.57</v>
      </c>
      <c r="T65">
        <v>6.47</v>
      </c>
      <c r="U65">
        <v>1.56</v>
      </c>
      <c r="V65">
        <v>23</v>
      </c>
      <c r="W65">
        <v>0</v>
      </c>
      <c r="X65">
        <v>0</v>
      </c>
      <c r="Y65">
        <v>13.48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13.48</v>
      </c>
      <c r="AF65" t="s">
        <v>1685</v>
      </c>
      <c r="AG65" t="s">
        <v>1599</v>
      </c>
      <c r="AH65">
        <v>0.7</v>
      </c>
    </row>
    <row r="66" spans="1:34" x14ac:dyDescent="0.25">
      <c r="A66" s="2">
        <v>45663</v>
      </c>
      <c r="B66" t="s">
        <v>1905</v>
      </c>
      <c r="C66" t="s">
        <v>1906</v>
      </c>
      <c r="D66">
        <v>36</v>
      </c>
      <c r="E66">
        <v>1</v>
      </c>
      <c r="F66">
        <v>0</v>
      </c>
      <c r="G66">
        <v>45.35</v>
      </c>
      <c r="H66">
        <v>9.4499999999999993</v>
      </c>
      <c r="I66">
        <v>35.900000000000006</v>
      </c>
      <c r="J66">
        <v>526.47</v>
      </c>
      <c r="K66">
        <v>21</v>
      </c>
      <c r="L66">
        <v>10.31</v>
      </c>
      <c r="M66" t="s">
        <v>1907</v>
      </c>
      <c r="N66">
        <v>6</v>
      </c>
      <c r="O66">
        <v>30</v>
      </c>
      <c r="P66">
        <v>29.52</v>
      </c>
      <c r="Q66">
        <v>0</v>
      </c>
      <c r="R66">
        <v>6.38</v>
      </c>
      <c r="S66">
        <v>9.7899999999999991</v>
      </c>
      <c r="T66">
        <v>8.8699999999999992</v>
      </c>
      <c r="U66">
        <v>0.79</v>
      </c>
      <c r="V66">
        <v>44</v>
      </c>
      <c r="W66">
        <v>0</v>
      </c>
      <c r="X66">
        <v>0</v>
      </c>
      <c r="Y66">
        <v>35.900000000000006</v>
      </c>
      <c r="Z66">
        <v>0</v>
      </c>
      <c r="AA66" t="s">
        <v>115</v>
      </c>
      <c r="AB66">
        <v>0</v>
      </c>
      <c r="AC66">
        <v>0.1</v>
      </c>
      <c r="AD66">
        <v>0.05</v>
      </c>
      <c r="AE66">
        <v>35.900000000000006</v>
      </c>
      <c r="AF66" t="s">
        <v>1709</v>
      </c>
      <c r="AG66" t="s">
        <v>1601</v>
      </c>
      <c r="AH66">
        <v>0.7</v>
      </c>
    </row>
    <row r="67" spans="1:34" x14ac:dyDescent="0.25">
      <c r="A67" s="2">
        <v>45656</v>
      </c>
      <c r="B67" t="s">
        <v>1905</v>
      </c>
      <c r="C67" t="s">
        <v>1906</v>
      </c>
      <c r="D67">
        <v>45</v>
      </c>
      <c r="E67">
        <v>1</v>
      </c>
      <c r="F67">
        <v>0.02</v>
      </c>
      <c r="G67">
        <v>41.53</v>
      </c>
      <c r="H67">
        <v>0.01</v>
      </c>
      <c r="I67">
        <v>41.52</v>
      </c>
      <c r="J67">
        <v>597.16999999999996</v>
      </c>
      <c r="K67">
        <v>59.93</v>
      </c>
      <c r="L67">
        <v>0</v>
      </c>
      <c r="M67" t="s">
        <v>1907</v>
      </c>
      <c r="N67">
        <v>6</v>
      </c>
      <c r="O67">
        <v>39</v>
      </c>
      <c r="P67">
        <v>31.58</v>
      </c>
      <c r="Q67">
        <v>0</v>
      </c>
      <c r="R67">
        <v>9.94</v>
      </c>
      <c r="S67">
        <v>11.29</v>
      </c>
      <c r="T67">
        <v>5.6</v>
      </c>
      <c r="U67">
        <v>1.08</v>
      </c>
      <c r="V67">
        <v>50</v>
      </c>
      <c r="W67">
        <v>0</v>
      </c>
      <c r="X67">
        <v>1</v>
      </c>
      <c r="Y67">
        <v>41.52</v>
      </c>
      <c r="Z67">
        <v>0</v>
      </c>
      <c r="AA67" t="s">
        <v>114</v>
      </c>
      <c r="AB67">
        <v>0</v>
      </c>
      <c r="AC67">
        <v>0.1</v>
      </c>
      <c r="AD67">
        <v>0.05</v>
      </c>
      <c r="AE67">
        <v>41.52</v>
      </c>
      <c r="AF67" t="s">
        <v>1709</v>
      </c>
      <c r="AG67" t="s">
        <v>1601</v>
      </c>
      <c r="AH67">
        <v>0.7</v>
      </c>
    </row>
    <row r="68" spans="1:34" x14ac:dyDescent="0.25">
      <c r="A68" s="2">
        <v>45663</v>
      </c>
      <c r="B68" t="s">
        <v>1908</v>
      </c>
      <c r="C68" t="s">
        <v>1909</v>
      </c>
      <c r="D68">
        <v>43</v>
      </c>
      <c r="E68">
        <v>0.97826086956521741</v>
      </c>
      <c r="F68">
        <v>0</v>
      </c>
      <c r="G68">
        <v>20.76</v>
      </c>
      <c r="H68">
        <v>0</v>
      </c>
      <c r="I68">
        <v>20.76</v>
      </c>
      <c r="J68">
        <v>402.07</v>
      </c>
      <c r="K68">
        <v>24</v>
      </c>
      <c r="L68">
        <v>0</v>
      </c>
      <c r="M68" t="s">
        <v>1910</v>
      </c>
      <c r="N68">
        <v>0</v>
      </c>
      <c r="O68">
        <v>43</v>
      </c>
      <c r="P68">
        <v>16.88</v>
      </c>
      <c r="Q68">
        <v>0</v>
      </c>
      <c r="R68">
        <v>3.88</v>
      </c>
      <c r="S68">
        <v>0.61</v>
      </c>
      <c r="T68">
        <v>0.33</v>
      </c>
      <c r="U68">
        <v>2.0699999999999998</v>
      </c>
      <c r="V68">
        <v>45</v>
      </c>
      <c r="W68">
        <v>1</v>
      </c>
      <c r="X68">
        <v>0</v>
      </c>
      <c r="Y68">
        <v>20.76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20.76</v>
      </c>
      <c r="AF68" t="s">
        <v>1686</v>
      </c>
      <c r="AG68" t="s">
        <v>1599</v>
      </c>
      <c r="AH68">
        <v>0.7</v>
      </c>
    </row>
    <row r="69" spans="1:34" x14ac:dyDescent="0.25">
      <c r="A69" s="2">
        <v>45656</v>
      </c>
      <c r="B69" t="s">
        <v>1908</v>
      </c>
      <c r="C69" t="s">
        <v>1909</v>
      </c>
      <c r="D69">
        <v>44</v>
      </c>
      <c r="E69">
        <v>0.90909090909090906</v>
      </c>
      <c r="F69">
        <v>0.02</v>
      </c>
      <c r="G69">
        <v>21.27</v>
      </c>
      <c r="H69">
        <v>0</v>
      </c>
      <c r="I69">
        <v>21.27</v>
      </c>
      <c r="J69">
        <v>455.27</v>
      </c>
      <c r="K69">
        <v>27.99</v>
      </c>
      <c r="L69">
        <v>0</v>
      </c>
      <c r="M69" t="s">
        <v>1910</v>
      </c>
      <c r="N69">
        <v>3</v>
      </c>
      <c r="O69">
        <v>41</v>
      </c>
      <c r="P69">
        <v>17.93</v>
      </c>
      <c r="Q69">
        <v>2</v>
      </c>
      <c r="R69">
        <v>3.34</v>
      </c>
      <c r="S69">
        <v>0.3</v>
      </c>
      <c r="T69">
        <v>0.2</v>
      </c>
      <c r="U69">
        <v>2.0699999999999998</v>
      </c>
      <c r="V69">
        <v>50</v>
      </c>
      <c r="W69">
        <v>3</v>
      </c>
      <c r="X69">
        <v>1</v>
      </c>
      <c r="Y69">
        <v>0</v>
      </c>
      <c r="Z69">
        <v>0</v>
      </c>
      <c r="AA69" t="s">
        <v>114</v>
      </c>
      <c r="AB69">
        <v>21.27</v>
      </c>
      <c r="AC69">
        <v>0.1</v>
      </c>
      <c r="AD69">
        <v>0.05</v>
      </c>
      <c r="AE69">
        <v>0</v>
      </c>
      <c r="AF69" t="s">
        <v>1686</v>
      </c>
      <c r="AG69" t="s">
        <v>1599</v>
      </c>
      <c r="AH69">
        <v>0.7</v>
      </c>
    </row>
    <row r="70" spans="1:34" x14ac:dyDescent="0.25">
      <c r="A70" s="2">
        <v>45663</v>
      </c>
      <c r="B70" t="s">
        <v>1985</v>
      </c>
      <c r="C70" t="s">
        <v>1986</v>
      </c>
      <c r="D70">
        <v>92</v>
      </c>
      <c r="E70">
        <v>0.96226415094339623</v>
      </c>
      <c r="F70">
        <v>1.9607843137254902E-2</v>
      </c>
      <c r="G70">
        <v>60.3</v>
      </c>
      <c r="H70">
        <v>1.55</v>
      </c>
      <c r="I70">
        <v>58.75</v>
      </c>
      <c r="J70">
        <v>1525.42</v>
      </c>
      <c r="K70">
        <v>122.8</v>
      </c>
      <c r="L70">
        <v>15</v>
      </c>
      <c r="M70" t="s">
        <v>1987</v>
      </c>
      <c r="N70">
        <v>10</v>
      </c>
      <c r="O70">
        <v>82</v>
      </c>
      <c r="P70">
        <v>51.34</v>
      </c>
      <c r="Q70">
        <v>0</v>
      </c>
      <c r="R70">
        <v>7.41</v>
      </c>
      <c r="S70">
        <v>21.21</v>
      </c>
      <c r="T70">
        <v>19.98</v>
      </c>
      <c r="U70">
        <v>1.53</v>
      </c>
      <c r="V70">
        <v>51</v>
      </c>
      <c r="W70">
        <v>2</v>
      </c>
      <c r="X70">
        <v>1</v>
      </c>
      <c r="Y70">
        <v>58.75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58.75</v>
      </c>
      <c r="AF70" t="s">
        <v>1966</v>
      </c>
      <c r="AG70" t="s">
        <v>1599</v>
      </c>
      <c r="AH70">
        <v>0.7</v>
      </c>
    </row>
    <row r="71" spans="1:34" x14ac:dyDescent="0.25">
      <c r="A71" s="2">
        <v>45656</v>
      </c>
      <c r="B71" t="s">
        <v>1985</v>
      </c>
      <c r="C71" t="s">
        <v>1986</v>
      </c>
      <c r="D71">
        <v>92</v>
      </c>
      <c r="E71">
        <v>0.67901234567901236</v>
      </c>
      <c r="F71">
        <v>3.6363636363636362E-2</v>
      </c>
      <c r="G71">
        <v>54.88</v>
      </c>
      <c r="H71">
        <v>0.99</v>
      </c>
      <c r="I71">
        <v>53.89</v>
      </c>
      <c r="J71">
        <v>1299.6300000000001</v>
      </c>
      <c r="K71">
        <v>135.71</v>
      </c>
      <c r="L71">
        <v>0</v>
      </c>
      <c r="M71" t="s">
        <v>1987</v>
      </c>
      <c r="N71">
        <v>20</v>
      </c>
      <c r="O71">
        <v>72</v>
      </c>
      <c r="P71">
        <v>45.36</v>
      </c>
      <c r="Q71">
        <v>1</v>
      </c>
      <c r="R71">
        <v>8.5299999999999994</v>
      </c>
      <c r="S71">
        <v>25.18</v>
      </c>
      <c r="T71">
        <v>21.2</v>
      </c>
      <c r="U71">
        <v>1.68</v>
      </c>
      <c r="V71">
        <v>55</v>
      </c>
      <c r="W71">
        <v>25</v>
      </c>
      <c r="X71">
        <v>2</v>
      </c>
      <c r="Y71">
        <v>0</v>
      </c>
      <c r="Z71">
        <v>0</v>
      </c>
      <c r="AA71" t="s">
        <v>114</v>
      </c>
      <c r="AB71">
        <v>53.89</v>
      </c>
      <c r="AC71">
        <v>0.1</v>
      </c>
      <c r="AD71">
        <v>0.05</v>
      </c>
      <c r="AE71">
        <v>0</v>
      </c>
      <c r="AF71" t="s">
        <v>1966</v>
      </c>
      <c r="AG71" t="s">
        <v>1599</v>
      </c>
      <c r="AH71">
        <v>0.7</v>
      </c>
    </row>
    <row r="72" spans="1:34" x14ac:dyDescent="0.25">
      <c r="A72" s="2">
        <v>45663</v>
      </c>
      <c r="B72" t="s">
        <v>1911</v>
      </c>
      <c r="C72" t="s">
        <v>2113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2114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0</v>
      </c>
      <c r="AF72" t="s">
        <v>1702</v>
      </c>
      <c r="AG72" t="s">
        <v>1814</v>
      </c>
      <c r="AH72">
        <v>0.7</v>
      </c>
    </row>
    <row r="73" spans="1:34" x14ac:dyDescent="0.25">
      <c r="A73" s="2">
        <v>45656</v>
      </c>
      <c r="B73" t="s">
        <v>1911</v>
      </c>
      <c r="C73" t="s">
        <v>2113</v>
      </c>
      <c r="D73">
        <v>52</v>
      </c>
      <c r="E73">
        <v>1</v>
      </c>
      <c r="F73">
        <v>0</v>
      </c>
      <c r="G73">
        <v>50.38</v>
      </c>
      <c r="H73">
        <v>0</v>
      </c>
      <c r="I73">
        <v>50.38</v>
      </c>
      <c r="J73">
        <v>637.64</v>
      </c>
      <c r="K73">
        <v>54.78</v>
      </c>
      <c r="L73">
        <v>0</v>
      </c>
      <c r="M73" t="s">
        <v>2114</v>
      </c>
      <c r="N73">
        <v>4</v>
      </c>
      <c r="O73">
        <v>48</v>
      </c>
      <c r="P73">
        <v>25.62</v>
      </c>
      <c r="Q73">
        <v>0</v>
      </c>
      <c r="R73">
        <v>24.76</v>
      </c>
      <c r="S73">
        <v>12.15</v>
      </c>
      <c r="T73">
        <v>5.31</v>
      </c>
      <c r="U73">
        <v>1.03</v>
      </c>
      <c r="V73">
        <v>58</v>
      </c>
      <c r="W73">
        <v>0</v>
      </c>
      <c r="X73">
        <v>0</v>
      </c>
      <c r="Y73">
        <v>50.38</v>
      </c>
      <c r="Z73">
        <v>0</v>
      </c>
      <c r="AA73" t="s">
        <v>114</v>
      </c>
      <c r="AB73">
        <v>0</v>
      </c>
      <c r="AC73">
        <v>0.1</v>
      </c>
      <c r="AD73">
        <v>0.05</v>
      </c>
      <c r="AE73">
        <v>50.38</v>
      </c>
      <c r="AF73" t="s">
        <v>1702</v>
      </c>
      <c r="AG73" t="s">
        <v>1814</v>
      </c>
      <c r="AH73">
        <v>0.7</v>
      </c>
    </row>
    <row r="74" spans="1:34" x14ac:dyDescent="0.25">
      <c r="A74" s="2">
        <v>45663</v>
      </c>
      <c r="B74" t="s">
        <v>2006</v>
      </c>
      <c r="C74" t="s">
        <v>2007</v>
      </c>
      <c r="D74">
        <v>71</v>
      </c>
      <c r="E74">
        <v>1</v>
      </c>
      <c r="F74">
        <v>0.05</v>
      </c>
      <c r="G74">
        <v>42.58</v>
      </c>
      <c r="H74">
        <v>0.3</v>
      </c>
      <c r="I74">
        <v>42.28</v>
      </c>
      <c r="J74">
        <v>769.33</v>
      </c>
      <c r="K74">
        <v>67.25</v>
      </c>
      <c r="L74">
        <v>9.02</v>
      </c>
      <c r="M74" t="s">
        <v>1912</v>
      </c>
      <c r="N74">
        <v>11</v>
      </c>
      <c r="O74">
        <v>60</v>
      </c>
      <c r="P74">
        <v>33.06</v>
      </c>
      <c r="Q74">
        <v>0</v>
      </c>
      <c r="R74">
        <v>9.2200000000000006</v>
      </c>
      <c r="S74">
        <v>12.76</v>
      </c>
      <c r="T74">
        <v>10.31</v>
      </c>
      <c r="U74">
        <v>1.67</v>
      </c>
      <c r="V74">
        <v>80</v>
      </c>
      <c r="W74">
        <v>0</v>
      </c>
      <c r="X74">
        <v>4</v>
      </c>
      <c r="Y74">
        <v>0</v>
      </c>
      <c r="Z74">
        <v>0</v>
      </c>
      <c r="AA74" t="s">
        <v>115</v>
      </c>
      <c r="AB74">
        <v>42.28</v>
      </c>
      <c r="AC74">
        <v>0.1</v>
      </c>
      <c r="AD74">
        <v>0.05</v>
      </c>
      <c r="AE74">
        <v>0</v>
      </c>
      <c r="AF74" t="s">
        <v>1706</v>
      </c>
      <c r="AG74" t="s">
        <v>1716</v>
      </c>
      <c r="AH74">
        <v>0.7</v>
      </c>
    </row>
    <row r="75" spans="1:34" x14ac:dyDescent="0.25">
      <c r="A75" s="2">
        <v>45656</v>
      </c>
      <c r="B75" t="s">
        <v>2006</v>
      </c>
      <c r="C75" t="s">
        <v>2007</v>
      </c>
      <c r="D75">
        <v>148</v>
      </c>
      <c r="E75">
        <v>0.97972972972972971</v>
      </c>
      <c r="F75">
        <v>0</v>
      </c>
      <c r="G75">
        <v>85.75</v>
      </c>
      <c r="H75">
        <v>0.12</v>
      </c>
      <c r="I75">
        <v>85.63</v>
      </c>
      <c r="J75">
        <v>1749.36</v>
      </c>
      <c r="K75">
        <v>102.76</v>
      </c>
      <c r="L75">
        <v>0</v>
      </c>
      <c r="M75" t="s">
        <v>1912</v>
      </c>
      <c r="N75">
        <v>14</v>
      </c>
      <c r="O75">
        <v>134</v>
      </c>
      <c r="P75">
        <v>66.53</v>
      </c>
      <c r="Q75">
        <v>3</v>
      </c>
      <c r="R75">
        <v>19.09</v>
      </c>
      <c r="S75">
        <v>13.81</v>
      </c>
      <c r="T75">
        <v>8.59</v>
      </c>
      <c r="U75">
        <v>1.73</v>
      </c>
      <c r="V75">
        <v>145</v>
      </c>
      <c r="W75">
        <v>0</v>
      </c>
      <c r="X75">
        <v>0</v>
      </c>
      <c r="Y75">
        <v>85.63</v>
      </c>
      <c r="Z75">
        <v>0</v>
      </c>
      <c r="AA75" t="s">
        <v>114</v>
      </c>
      <c r="AB75">
        <v>0</v>
      </c>
      <c r="AC75">
        <v>0.1</v>
      </c>
      <c r="AD75">
        <v>0.05</v>
      </c>
      <c r="AE75">
        <v>85.63</v>
      </c>
      <c r="AF75" t="s">
        <v>1706</v>
      </c>
      <c r="AG75" t="s">
        <v>1716</v>
      </c>
      <c r="AH75">
        <v>0.7</v>
      </c>
    </row>
    <row r="76" spans="1:34" x14ac:dyDescent="0.25">
      <c r="A76" s="2">
        <v>45663</v>
      </c>
      <c r="B76" t="s">
        <v>1890</v>
      </c>
      <c r="C76" t="s">
        <v>2005</v>
      </c>
      <c r="D76">
        <v>60</v>
      </c>
      <c r="E76">
        <v>0.98571428571428577</v>
      </c>
      <c r="F76">
        <v>5.7971014492753624E-2</v>
      </c>
      <c r="G76">
        <v>50.18</v>
      </c>
      <c r="H76">
        <v>0.11</v>
      </c>
      <c r="I76">
        <v>50.07</v>
      </c>
      <c r="J76">
        <v>617.22</v>
      </c>
      <c r="K76">
        <v>68.5</v>
      </c>
      <c r="L76">
        <v>0</v>
      </c>
      <c r="M76" t="s">
        <v>1916</v>
      </c>
      <c r="N76">
        <v>11</v>
      </c>
      <c r="O76">
        <v>49</v>
      </c>
      <c r="P76">
        <v>28.15</v>
      </c>
      <c r="Q76">
        <v>1</v>
      </c>
      <c r="R76">
        <v>21.92</v>
      </c>
      <c r="S76">
        <v>10.85</v>
      </c>
      <c r="T76">
        <v>7.44</v>
      </c>
      <c r="U76">
        <v>1.2</v>
      </c>
      <c r="V76">
        <v>69</v>
      </c>
      <c r="W76">
        <v>0</v>
      </c>
      <c r="X76">
        <v>4</v>
      </c>
      <c r="Y76">
        <v>0</v>
      </c>
      <c r="Z76">
        <v>0</v>
      </c>
      <c r="AA76" t="s">
        <v>115</v>
      </c>
      <c r="AB76">
        <v>50.07</v>
      </c>
      <c r="AC76">
        <v>0.1</v>
      </c>
      <c r="AD76">
        <v>0.05</v>
      </c>
      <c r="AE76">
        <v>0</v>
      </c>
      <c r="AF76" t="s">
        <v>1712</v>
      </c>
      <c r="AG76" t="s">
        <v>1699</v>
      </c>
      <c r="AH76">
        <v>0.7</v>
      </c>
    </row>
    <row r="77" spans="1:34" x14ac:dyDescent="0.25">
      <c r="A77" s="2">
        <v>45656</v>
      </c>
      <c r="B77" t="s">
        <v>1890</v>
      </c>
      <c r="C77" t="s">
        <v>2005</v>
      </c>
      <c r="D77">
        <v>63</v>
      </c>
      <c r="E77">
        <v>1</v>
      </c>
      <c r="F77">
        <v>0</v>
      </c>
      <c r="G77">
        <v>50</v>
      </c>
      <c r="H77">
        <v>0.05</v>
      </c>
      <c r="I77">
        <v>49.95</v>
      </c>
      <c r="J77">
        <v>700.1</v>
      </c>
      <c r="K77">
        <v>46</v>
      </c>
      <c r="L77">
        <v>0</v>
      </c>
      <c r="M77" t="s">
        <v>1916</v>
      </c>
      <c r="N77">
        <v>9</v>
      </c>
      <c r="O77">
        <v>54</v>
      </c>
      <c r="P77">
        <v>30.68</v>
      </c>
      <c r="Q77">
        <v>0</v>
      </c>
      <c r="R77">
        <v>19.28</v>
      </c>
      <c r="S77">
        <v>15.85</v>
      </c>
      <c r="T77">
        <v>7.91</v>
      </c>
      <c r="U77">
        <v>1.26</v>
      </c>
      <c r="V77">
        <v>70</v>
      </c>
      <c r="W77">
        <v>0</v>
      </c>
      <c r="X77">
        <v>0</v>
      </c>
      <c r="Y77">
        <v>49.95</v>
      </c>
      <c r="Z77">
        <v>0</v>
      </c>
      <c r="AA77" t="s">
        <v>114</v>
      </c>
      <c r="AB77">
        <v>0</v>
      </c>
      <c r="AC77">
        <v>0.1</v>
      </c>
      <c r="AD77">
        <v>0.05</v>
      </c>
      <c r="AE77">
        <v>49.95</v>
      </c>
      <c r="AF77" t="s">
        <v>1712</v>
      </c>
      <c r="AG77" t="s">
        <v>1699</v>
      </c>
      <c r="AH77">
        <v>0.7</v>
      </c>
    </row>
    <row r="78" spans="1:34" x14ac:dyDescent="0.25">
      <c r="A78" s="2">
        <v>45663</v>
      </c>
      <c r="B78" t="s">
        <v>2040</v>
      </c>
      <c r="C78" t="s">
        <v>2041</v>
      </c>
      <c r="D78">
        <v>75</v>
      </c>
      <c r="E78">
        <v>0.73333333333333328</v>
      </c>
      <c r="F78">
        <v>1.1363636363636364E-2</v>
      </c>
      <c r="G78">
        <v>50.17</v>
      </c>
      <c r="H78">
        <v>0.17</v>
      </c>
      <c r="I78">
        <v>50</v>
      </c>
      <c r="J78">
        <v>804.43</v>
      </c>
      <c r="K78">
        <v>16</v>
      </c>
      <c r="L78">
        <v>0</v>
      </c>
      <c r="M78" t="s">
        <v>2042</v>
      </c>
      <c r="N78">
        <v>28</v>
      </c>
      <c r="O78">
        <v>47</v>
      </c>
      <c r="P78">
        <v>41.13</v>
      </c>
      <c r="Q78">
        <v>31</v>
      </c>
      <c r="R78">
        <v>8.8699999999999992</v>
      </c>
      <c r="S78">
        <v>30.19</v>
      </c>
      <c r="T78">
        <v>27.03</v>
      </c>
      <c r="U78">
        <v>1.49</v>
      </c>
      <c r="V78">
        <v>88</v>
      </c>
      <c r="W78">
        <v>1</v>
      </c>
      <c r="X78">
        <v>1</v>
      </c>
      <c r="Y78">
        <v>0</v>
      </c>
      <c r="Z78">
        <v>0</v>
      </c>
      <c r="AA78" t="s">
        <v>115</v>
      </c>
      <c r="AB78">
        <v>50</v>
      </c>
      <c r="AC78">
        <v>0.1</v>
      </c>
      <c r="AD78">
        <v>0.05</v>
      </c>
      <c r="AE78">
        <v>0</v>
      </c>
      <c r="AF78" t="s">
        <v>2026</v>
      </c>
      <c r="AG78" t="s">
        <v>1747</v>
      </c>
      <c r="AH78">
        <v>0.7</v>
      </c>
    </row>
    <row r="79" spans="1:34" x14ac:dyDescent="0.25">
      <c r="A79" s="2">
        <v>45656</v>
      </c>
      <c r="B79" t="s">
        <v>2040</v>
      </c>
      <c r="C79" t="s">
        <v>2041</v>
      </c>
      <c r="D79">
        <v>71</v>
      </c>
      <c r="E79">
        <v>0.73873873873873874</v>
      </c>
      <c r="F79">
        <v>1.2195121951219513E-2</v>
      </c>
      <c r="G79">
        <v>54.17</v>
      </c>
      <c r="H79">
        <v>0.27</v>
      </c>
      <c r="I79">
        <v>53.9</v>
      </c>
      <c r="J79">
        <v>916.69</v>
      </c>
      <c r="K79">
        <v>32.630000000000003</v>
      </c>
      <c r="L79">
        <v>0</v>
      </c>
      <c r="M79" t="s">
        <v>2042</v>
      </c>
      <c r="N79">
        <v>33</v>
      </c>
      <c r="O79">
        <v>38</v>
      </c>
      <c r="P79">
        <v>44.28</v>
      </c>
      <c r="Q79">
        <v>28</v>
      </c>
      <c r="R79">
        <v>9.6199999999999992</v>
      </c>
      <c r="S79">
        <v>48.2</v>
      </c>
      <c r="T79">
        <v>40.07</v>
      </c>
      <c r="U79">
        <v>1.31</v>
      </c>
      <c r="V79">
        <v>82</v>
      </c>
      <c r="W79">
        <v>1</v>
      </c>
      <c r="X79">
        <v>1</v>
      </c>
      <c r="Y79">
        <v>0</v>
      </c>
      <c r="Z79">
        <v>0</v>
      </c>
      <c r="AA79" t="s">
        <v>114</v>
      </c>
      <c r="AB79">
        <v>53.9</v>
      </c>
      <c r="AC79">
        <v>0.1</v>
      </c>
      <c r="AD79">
        <v>0.05</v>
      </c>
      <c r="AE79">
        <v>0</v>
      </c>
      <c r="AF79" t="s">
        <v>2026</v>
      </c>
      <c r="AG79" t="s">
        <v>1747</v>
      </c>
      <c r="AH79">
        <v>0.7</v>
      </c>
    </row>
    <row r="80" spans="1:34" x14ac:dyDescent="0.25">
      <c r="A80" s="2">
        <v>45663</v>
      </c>
      <c r="B80" t="s">
        <v>2008</v>
      </c>
      <c r="C80" t="s">
        <v>2009</v>
      </c>
      <c r="D80">
        <v>42</v>
      </c>
      <c r="E80">
        <v>0.89090909090909087</v>
      </c>
      <c r="F80">
        <v>0</v>
      </c>
      <c r="G80">
        <v>20.059999999999999</v>
      </c>
      <c r="H80">
        <v>0</v>
      </c>
      <c r="I80">
        <v>20.059999999999999</v>
      </c>
      <c r="J80">
        <v>436.97</v>
      </c>
      <c r="K80">
        <v>36.630000000000003</v>
      </c>
      <c r="L80">
        <v>0</v>
      </c>
      <c r="M80" t="s">
        <v>1917</v>
      </c>
      <c r="N80">
        <v>1</v>
      </c>
      <c r="O80">
        <v>41</v>
      </c>
      <c r="P80">
        <v>17.52</v>
      </c>
      <c r="Q80">
        <v>1</v>
      </c>
      <c r="R80">
        <v>2.5499999999999998</v>
      </c>
      <c r="S80">
        <v>0</v>
      </c>
      <c r="T80">
        <v>0</v>
      </c>
      <c r="U80">
        <v>2.09</v>
      </c>
      <c r="V80">
        <v>49</v>
      </c>
      <c r="W80">
        <v>5</v>
      </c>
      <c r="X80">
        <v>0</v>
      </c>
      <c r="Y80">
        <v>0</v>
      </c>
      <c r="Z80">
        <v>0</v>
      </c>
      <c r="AA80" t="s">
        <v>115</v>
      </c>
      <c r="AB80">
        <v>20.059999999999999</v>
      </c>
      <c r="AC80">
        <v>0.1</v>
      </c>
      <c r="AD80">
        <v>0.05</v>
      </c>
      <c r="AE80">
        <v>0</v>
      </c>
      <c r="AF80" t="s">
        <v>1802</v>
      </c>
      <c r="AG80" t="s">
        <v>1599</v>
      </c>
      <c r="AH80">
        <v>0.7</v>
      </c>
    </row>
    <row r="81" spans="1:34" x14ac:dyDescent="0.25">
      <c r="A81" s="2">
        <v>45656</v>
      </c>
      <c r="B81" t="s">
        <v>2008</v>
      </c>
      <c r="C81" t="s">
        <v>2009</v>
      </c>
      <c r="D81">
        <v>39</v>
      </c>
      <c r="E81">
        <v>0.81632653061224492</v>
      </c>
      <c r="F81">
        <v>0</v>
      </c>
      <c r="G81">
        <v>17.38</v>
      </c>
      <c r="H81">
        <v>0</v>
      </c>
      <c r="I81">
        <v>17.38</v>
      </c>
      <c r="J81">
        <v>380.17</v>
      </c>
      <c r="K81">
        <v>5.34</v>
      </c>
      <c r="L81">
        <v>0</v>
      </c>
      <c r="M81" t="s">
        <v>1917</v>
      </c>
      <c r="N81">
        <v>0</v>
      </c>
      <c r="O81">
        <v>39</v>
      </c>
      <c r="P81">
        <v>13.95</v>
      </c>
      <c r="Q81">
        <v>3</v>
      </c>
      <c r="R81">
        <v>3.44</v>
      </c>
      <c r="S81">
        <v>0</v>
      </c>
      <c r="T81">
        <v>0</v>
      </c>
      <c r="U81">
        <v>2.2400000000000002</v>
      </c>
      <c r="V81">
        <v>40</v>
      </c>
      <c r="W81">
        <v>6</v>
      </c>
      <c r="X81">
        <v>0</v>
      </c>
      <c r="Y81">
        <v>0</v>
      </c>
      <c r="Z81">
        <v>0</v>
      </c>
      <c r="AA81" t="s">
        <v>114</v>
      </c>
      <c r="AB81">
        <v>17.38</v>
      </c>
      <c r="AC81">
        <v>0.1</v>
      </c>
      <c r="AD81">
        <v>0.05</v>
      </c>
      <c r="AE81">
        <v>0</v>
      </c>
      <c r="AF81" t="s">
        <v>1802</v>
      </c>
      <c r="AG81" t="s">
        <v>1599</v>
      </c>
      <c r="AH81">
        <v>0.7</v>
      </c>
    </row>
    <row r="82" spans="1:34" x14ac:dyDescent="0.25">
      <c r="A82" s="2">
        <v>45656</v>
      </c>
      <c r="B82" t="s">
        <v>1913</v>
      </c>
      <c r="C82" t="s">
        <v>1914</v>
      </c>
      <c r="D82">
        <v>0</v>
      </c>
      <c r="E82">
        <v>1</v>
      </c>
      <c r="F82">
        <v>0</v>
      </c>
      <c r="G82">
        <v>10.47</v>
      </c>
      <c r="H82">
        <v>0</v>
      </c>
      <c r="I82">
        <v>10.47</v>
      </c>
      <c r="J82">
        <v>0</v>
      </c>
      <c r="K82">
        <v>0</v>
      </c>
      <c r="L82">
        <v>0</v>
      </c>
      <c r="M82" t="s">
        <v>1915</v>
      </c>
      <c r="N82">
        <v>0</v>
      </c>
      <c r="O82">
        <v>0</v>
      </c>
      <c r="P82">
        <v>1.1100000000000001</v>
      </c>
      <c r="Q82">
        <v>0</v>
      </c>
      <c r="R82">
        <v>9.36</v>
      </c>
      <c r="S82">
        <v>0</v>
      </c>
      <c r="T82">
        <v>0</v>
      </c>
      <c r="U82">
        <v>0</v>
      </c>
      <c r="V82">
        <v>4</v>
      </c>
      <c r="W82">
        <v>0</v>
      </c>
      <c r="X82">
        <v>0</v>
      </c>
      <c r="Y82">
        <v>10.47</v>
      </c>
      <c r="Z82">
        <v>0</v>
      </c>
      <c r="AA82" t="s">
        <v>114</v>
      </c>
      <c r="AB82">
        <v>0</v>
      </c>
      <c r="AC82">
        <v>0.1</v>
      </c>
      <c r="AD82">
        <v>0.05</v>
      </c>
      <c r="AE82">
        <v>10.47</v>
      </c>
      <c r="AF82" t="s">
        <v>1719</v>
      </c>
      <c r="AG82" t="s">
        <v>1599</v>
      </c>
      <c r="AH82">
        <v>0.7</v>
      </c>
    </row>
    <row r="83" spans="1:34" x14ac:dyDescent="0.25">
      <c r="A83" s="2">
        <v>45663</v>
      </c>
      <c r="B83" t="s">
        <v>1988</v>
      </c>
      <c r="C83" t="s">
        <v>1989</v>
      </c>
      <c r="D83">
        <v>58</v>
      </c>
      <c r="E83">
        <v>0.74712643678160917</v>
      </c>
      <c r="F83">
        <v>6.1538461538461542E-2</v>
      </c>
      <c r="G83">
        <v>30.01</v>
      </c>
      <c r="H83">
        <v>0.28000000000000003</v>
      </c>
      <c r="I83">
        <v>29.73</v>
      </c>
      <c r="J83">
        <v>506.36</v>
      </c>
      <c r="K83">
        <v>23</v>
      </c>
      <c r="L83">
        <v>0</v>
      </c>
      <c r="M83" t="s">
        <v>1990</v>
      </c>
      <c r="N83">
        <v>2</v>
      </c>
      <c r="O83">
        <v>56</v>
      </c>
      <c r="P83">
        <v>25.81</v>
      </c>
      <c r="Q83">
        <v>13</v>
      </c>
      <c r="R83">
        <v>3.92</v>
      </c>
      <c r="S83">
        <v>8.2799999999999994</v>
      </c>
      <c r="T83">
        <v>6.71</v>
      </c>
      <c r="U83">
        <v>1.93</v>
      </c>
      <c r="V83">
        <v>65</v>
      </c>
      <c r="W83">
        <v>9</v>
      </c>
      <c r="X83">
        <v>4</v>
      </c>
      <c r="Y83">
        <v>0</v>
      </c>
      <c r="Z83">
        <v>0</v>
      </c>
      <c r="AA83" t="s">
        <v>115</v>
      </c>
      <c r="AB83">
        <v>29.73</v>
      </c>
      <c r="AC83">
        <v>0.1</v>
      </c>
      <c r="AD83">
        <v>0.05</v>
      </c>
      <c r="AE83">
        <v>0</v>
      </c>
      <c r="AF83" t="s">
        <v>1968</v>
      </c>
      <c r="AG83" t="s">
        <v>1599</v>
      </c>
      <c r="AH83">
        <v>0.7</v>
      </c>
    </row>
    <row r="84" spans="1:34" x14ac:dyDescent="0.25">
      <c r="A84" s="2">
        <v>45656</v>
      </c>
      <c r="B84" t="s">
        <v>1988</v>
      </c>
      <c r="C84" t="s">
        <v>1989</v>
      </c>
      <c r="D84">
        <v>12</v>
      </c>
      <c r="E84">
        <v>0.82352941176470584</v>
      </c>
      <c r="F84">
        <v>0.14285714285714285</v>
      </c>
      <c r="G84">
        <v>7.2</v>
      </c>
      <c r="H84">
        <v>0.59</v>
      </c>
      <c r="I84">
        <v>6.61</v>
      </c>
      <c r="J84">
        <v>118.96</v>
      </c>
      <c r="K84">
        <v>1</v>
      </c>
      <c r="L84">
        <v>0</v>
      </c>
      <c r="M84" t="s">
        <v>1990</v>
      </c>
      <c r="N84">
        <v>2</v>
      </c>
      <c r="O84">
        <v>10</v>
      </c>
      <c r="P84">
        <v>6.03</v>
      </c>
      <c r="Q84">
        <v>1</v>
      </c>
      <c r="R84">
        <v>0.56999999999999995</v>
      </c>
      <c r="S84">
        <v>0</v>
      </c>
      <c r="T84">
        <v>0</v>
      </c>
      <c r="U84">
        <v>1.67</v>
      </c>
      <c r="V84">
        <v>14</v>
      </c>
      <c r="W84">
        <v>2</v>
      </c>
      <c r="X84">
        <v>2</v>
      </c>
      <c r="Y84">
        <v>0</v>
      </c>
      <c r="Z84">
        <v>0</v>
      </c>
      <c r="AA84" t="s">
        <v>114</v>
      </c>
      <c r="AB84">
        <v>6.61</v>
      </c>
      <c r="AC84">
        <v>0.1</v>
      </c>
      <c r="AD84">
        <v>0.05</v>
      </c>
      <c r="AE84">
        <v>0</v>
      </c>
      <c r="AF84" t="s">
        <v>1968</v>
      </c>
      <c r="AG84" t="s">
        <v>1599</v>
      </c>
      <c r="AH84">
        <v>0.7</v>
      </c>
    </row>
    <row r="85" spans="1:34" x14ac:dyDescent="0.25">
      <c r="A85" s="2">
        <v>45663</v>
      </c>
      <c r="B85" t="s">
        <v>2010</v>
      </c>
      <c r="C85" t="s">
        <v>1928</v>
      </c>
      <c r="D85">
        <v>66</v>
      </c>
      <c r="E85">
        <v>0.78723404255319152</v>
      </c>
      <c r="F85">
        <v>0</v>
      </c>
      <c r="G85">
        <v>50.05</v>
      </c>
      <c r="H85">
        <v>0.23</v>
      </c>
      <c r="I85">
        <v>49.82</v>
      </c>
      <c r="J85">
        <v>788.92</v>
      </c>
      <c r="K85">
        <v>22.07</v>
      </c>
      <c r="L85">
        <v>6</v>
      </c>
      <c r="M85" t="s">
        <v>1918</v>
      </c>
      <c r="N85">
        <v>29</v>
      </c>
      <c r="O85">
        <v>37</v>
      </c>
      <c r="P85">
        <v>42.96</v>
      </c>
      <c r="Q85">
        <v>20</v>
      </c>
      <c r="R85">
        <v>6.86</v>
      </c>
      <c r="S85">
        <v>36.79</v>
      </c>
      <c r="T85">
        <v>32.549999999999997</v>
      </c>
      <c r="U85">
        <v>1.32</v>
      </c>
      <c r="V85">
        <v>74</v>
      </c>
      <c r="W85">
        <v>0</v>
      </c>
      <c r="X85">
        <v>0</v>
      </c>
      <c r="Y85">
        <v>0</v>
      </c>
      <c r="Z85">
        <v>0</v>
      </c>
      <c r="AA85" t="s">
        <v>115</v>
      </c>
      <c r="AB85">
        <v>49.82</v>
      </c>
      <c r="AC85">
        <v>0.1</v>
      </c>
      <c r="AD85">
        <v>0.05</v>
      </c>
      <c r="AE85">
        <v>0</v>
      </c>
      <c r="AF85" t="s">
        <v>1640</v>
      </c>
      <c r="AG85" t="s">
        <v>1749</v>
      </c>
      <c r="AH85">
        <v>0.7</v>
      </c>
    </row>
    <row r="86" spans="1:34" x14ac:dyDescent="0.25">
      <c r="A86" s="2">
        <v>45656</v>
      </c>
      <c r="B86" t="s">
        <v>2010</v>
      </c>
      <c r="C86" t="s">
        <v>1928</v>
      </c>
      <c r="D86">
        <v>74</v>
      </c>
      <c r="E86">
        <v>0.98795180722891562</v>
      </c>
      <c r="F86">
        <v>2.4390243902439025E-2</v>
      </c>
      <c r="G86">
        <v>50.59</v>
      </c>
      <c r="H86">
        <v>0</v>
      </c>
      <c r="I86">
        <v>50.59</v>
      </c>
      <c r="J86">
        <v>845.9</v>
      </c>
      <c r="K86">
        <v>49.12</v>
      </c>
      <c r="L86">
        <v>0</v>
      </c>
      <c r="M86" t="s">
        <v>1918</v>
      </c>
      <c r="N86">
        <v>23</v>
      </c>
      <c r="O86">
        <v>51</v>
      </c>
      <c r="P86">
        <v>39.880000000000003</v>
      </c>
      <c r="Q86">
        <v>1</v>
      </c>
      <c r="R86">
        <v>10.71</v>
      </c>
      <c r="S86">
        <v>40.590000000000003</v>
      </c>
      <c r="T86">
        <v>32.53</v>
      </c>
      <c r="U86">
        <v>1.46</v>
      </c>
      <c r="V86">
        <v>82</v>
      </c>
      <c r="W86">
        <v>0</v>
      </c>
      <c r="X86">
        <v>2</v>
      </c>
      <c r="Y86">
        <v>50.59</v>
      </c>
      <c r="Z86">
        <v>0</v>
      </c>
      <c r="AA86" t="s">
        <v>114</v>
      </c>
      <c r="AB86">
        <v>0</v>
      </c>
      <c r="AC86">
        <v>0.1</v>
      </c>
      <c r="AD86">
        <v>0.05</v>
      </c>
      <c r="AE86">
        <v>50.59</v>
      </c>
      <c r="AF86" t="s">
        <v>1640</v>
      </c>
      <c r="AG86" t="s">
        <v>1749</v>
      </c>
      <c r="AH86">
        <v>0.7</v>
      </c>
    </row>
    <row r="87" spans="1:34" x14ac:dyDescent="0.25">
      <c r="A87" s="2">
        <v>45663</v>
      </c>
      <c r="B87" t="s">
        <v>2011</v>
      </c>
      <c r="C87" t="s">
        <v>2012</v>
      </c>
      <c r="D87">
        <v>81</v>
      </c>
      <c r="E87">
        <v>0.98130841121495327</v>
      </c>
      <c r="F87">
        <v>5.7142857142857141E-2</v>
      </c>
      <c r="G87">
        <v>56.47</v>
      </c>
      <c r="H87">
        <v>1.8</v>
      </c>
      <c r="I87">
        <v>54.67</v>
      </c>
      <c r="J87">
        <v>1001.14</v>
      </c>
      <c r="K87">
        <v>80</v>
      </c>
      <c r="L87">
        <v>10.46</v>
      </c>
      <c r="M87" t="s">
        <v>1919</v>
      </c>
      <c r="N87">
        <v>30</v>
      </c>
      <c r="O87">
        <v>51</v>
      </c>
      <c r="P87">
        <v>49.91</v>
      </c>
      <c r="Q87">
        <v>2</v>
      </c>
      <c r="R87">
        <v>4.76</v>
      </c>
      <c r="S87">
        <v>28.44</v>
      </c>
      <c r="T87">
        <v>27.9</v>
      </c>
      <c r="U87">
        <v>1.43</v>
      </c>
      <c r="V87">
        <v>105</v>
      </c>
      <c r="W87">
        <v>0</v>
      </c>
      <c r="X87">
        <v>6</v>
      </c>
      <c r="Y87">
        <v>0</v>
      </c>
      <c r="Z87">
        <v>0</v>
      </c>
      <c r="AA87" t="s">
        <v>115</v>
      </c>
      <c r="AB87">
        <v>54.67</v>
      </c>
      <c r="AC87">
        <v>0.1</v>
      </c>
      <c r="AD87">
        <v>0.05</v>
      </c>
      <c r="AE87">
        <v>0</v>
      </c>
      <c r="AF87" t="s">
        <v>1711</v>
      </c>
      <c r="AG87" t="s">
        <v>1601</v>
      </c>
      <c r="AH87">
        <v>0.7</v>
      </c>
    </row>
    <row r="88" spans="1:34" x14ac:dyDescent="0.25">
      <c r="A88" s="2">
        <v>45656</v>
      </c>
      <c r="B88" t="s">
        <v>2011</v>
      </c>
      <c r="C88" t="s">
        <v>2012</v>
      </c>
      <c r="D88">
        <v>83</v>
      </c>
      <c r="E88">
        <v>0.96808510638297873</v>
      </c>
      <c r="F88">
        <v>2.197802197802198E-2</v>
      </c>
      <c r="G88">
        <v>49.55</v>
      </c>
      <c r="H88">
        <v>1.21</v>
      </c>
      <c r="I88">
        <v>48.339999999999996</v>
      </c>
      <c r="J88">
        <v>984.84</v>
      </c>
      <c r="K88">
        <v>42.35</v>
      </c>
      <c r="L88">
        <v>0</v>
      </c>
      <c r="M88" t="s">
        <v>1919</v>
      </c>
      <c r="N88">
        <v>14</v>
      </c>
      <c r="O88">
        <v>69</v>
      </c>
      <c r="P88">
        <v>41.41</v>
      </c>
      <c r="Q88">
        <v>3</v>
      </c>
      <c r="R88">
        <v>6.93</v>
      </c>
      <c r="S88">
        <v>28.26</v>
      </c>
      <c r="T88">
        <v>23.7</v>
      </c>
      <c r="U88">
        <v>1.68</v>
      </c>
      <c r="V88">
        <v>91</v>
      </c>
      <c r="W88">
        <v>0</v>
      </c>
      <c r="X88">
        <v>2</v>
      </c>
      <c r="Y88">
        <v>48.339999999999996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48.339999999999996</v>
      </c>
      <c r="AF88" t="s">
        <v>1711</v>
      </c>
      <c r="AG88" t="s">
        <v>1601</v>
      </c>
      <c r="AH88">
        <v>0.7</v>
      </c>
    </row>
    <row r="89" spans="1:34" x14ac:dyDescent="0.25">
      <c r="A89" s="2">
        <v>45663</v>
      </c>
      <c r="B89" t="s">
        <v>1890</v>
      </c>
      <c r="C89" t="s">
        <v>1890</v>
      </c>
      <c r="D89">
        <v>72</v>
      </c>
      <c r="E89">
        <v>1</v>
      </c>
      <c r="F89">
        <v>0</v>
      </c>
      <c r="G89">
        <v>50.02</v>
      </c>
      <c r="H89">
        <v>0</v>
      </c>
      <c r="I89">
        <v>50.02</v>
      </c>
      <c r="J89">
        <v>712.47</v>
      </c>
      <c r="K89">
        <v>43</v>
      </c>
      <c r="L89">
        <v>0</v>
      </c>
      <c r="M89" t="s">
        <v>1920</v>
      </c>
      <c r="N89">
        <v>17</v>
      </c>
      <c r="O89">
        <v>55</v>
      </c>
      <c r="P89">
        <v>36.46</v>
      </c>
      <c r="Q89">
        <v>0</v>
      </c>
      <c r="R89">
        <v>13.56</v>
      </c>
      <c r="S89">
        <v>16.09</v>
      </c>
      <c r="T89">
        <v>15</v>
      </c>
      <c r="U89">
        <v>1.44</v>
      </c>
      <c r="V89">
        <v>76</v>
      </c>
      <c r="W89">
        <v>0</v>
      </c>
      <c r="X89">
        <v>0</v>
      </c>
      <c r="Y89">
        <v>50.02</v>
      </c>
      <c r="Z89">
        <v>0</v>
      </c>
      <c r="AA89" t="s">
        <v>115</v>
      </c>
      <c r="AB89">
        <v>0</v>
      </c>
      <c r="AC89">
        <v>0.1</v>
      </c>
      <c r="AD89">
        <v>0.05</v>
      </c>
      <c r="AE89">
        <v>50.02</v>
      </c>
      <c r="AF89" t="s">
        <v>1651</v>
      </c>
      <c r="AG89" t="s">
        <v>1750</v>
      </c>
      <c r="AH89">
        <v>0.7</v>
      </c>
    </row>
    <row r="90" spans="1:34" x14ac:dyDescent="0.25">
      <c r="A90" s="2">
        <v>45663</v>
      </c>
      <c r="B90" t="s">
        <v>1921</v>
      </c>
      <c r="C90" t="s">
        <v>1922</v>
      </c>
      <c r="D90">
        <v>102</v>
      </c>
      <c r="E90">
        <v>0.99152542372881358</v>
      </c>
      <c r="F90">
        <v>0</v>
      </c>
      <c r="G90">
        <v>60.55</v>
      </c>
      <c r="H90">
        <v>0</v>
      </c>
      <c r="I90">
        <v>60.55</v>
      </c>
      <c r="J90">
        <v>1157.94</v>
      </c>
      <c r="K90">
        <v>70.03</v>
      </c>
      <c r="L90">
        <v>1.5</v>
      </c>
      <c r="M90" t="s">
        <v>1923</v>
      </c>
      <c r="N90">
        <v>43</v>
      </c>
      <c r="O90">
        <v>59</v>
      </c>
      <c r="P90">
        <v>58.4</v>
      </c>
      <c r="Q90">
        <v>1</v>
      </c>
      <c r="R90">
        <v>2.15</v>
      </c>
      <c r="S90">
        <v>43.23</v>
      </c>
      <c r="T90">
        <v>41.98</v>
      </c>
      <c r="U90">
        <v>1.68</v>
      </c>
      <c r="V90">
        <v>117</v>
      </c>
      <c r="W90">
        <v>0</v>
      </c>
      <c r="X90">
        <v>0</v>
      </c>
      <c r="Y90">
        <v>60.55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60.55</v>
      </c>
      <c r="AF90" t="s">
        <v>1621</v>
      </c>
      <c r="AG90" t="s">
        <v>1600</v>
      </c>
      <c r="AH90">
        <v>0.7</v>
      </c>
    </row>
    <row r="91" spans="1:34" x14ac:dyDescent="0.25">
      <c r="A91" s="2">
        <v>45656</v>
      </c>
      <c r="B91" t="s">
        <v>1921</v>
      </c>
      <c r="C91" t="s">
        <v>1922</v>
      </c>
      <c r="D91">
        <v>101</v>
      </c>
      <c r="E91">
        <v>1</v>
      </c>
      <c r="F91">
        <v>2.5210084033613446E-2</v>
      </c>
      <c r="G91">
        <v>59.79</v>
      </c>
      <c r="H91">
        <v>0.01</v>
      </c>
      <c r="I91">
        <v>59.78</v>
      </c>
      <c r="J91">
        <v>1242.6199999999999</v>
      </c>
      <c r="K91">
        <v>92</v>
      </c>
      <c r="L91">
        <v>0</v>
      </c>
      <c r="M91" t="s">
        <v>1923</v>
      </c>
      <c r="N91">
        <v>43</v>
      </c>
      <c r="O91">
        <v>58</v>
      </c>
      <c r="P91">
        <v>54.56</v>
      </c>
      <c r="Q91">
        <v>0</v>
      </c>
      <c r="R91">
        <v>5.22</v>
      </c>
      <c r="S91">
        <v>49.11</v>
      </c>
      <c r="T91">
        <v>44.16</v>
      </c>
      <c r="U91">
        <v>1.69</v>
      </c>
      <c r="V91">
        <v>119</v>
      </c>
      <c r="W91">
        <v>0</v>
      </c>
      <c r="X91">
        <v>3</v>
      </c>
      <c r="Y91">
        <v>59.78</v>
      </c>
      <c r="Z91">
        <v>0</v>
      </c>
      <c r="AA91" t="s">
        <v>114</v>
      </c>
      <c r="AB91">
        <v>0</v>
      </c>
      <c r="AC91">
        <v>0.1</v>
      </c>
      <c r="AD91">
        <v>0.05</v>
      </c>
      <c r="AE91">
        <v>59.78</v>
      </c>
      <c r="AF91" t="s">
        <v>1621</v>
      </c>
      <c r="AG91" t="s">
        <v>1600</v>
      </c>
      <c r="AH91">
        <v>0.7</v>
      </c>
    </row>
    <row r="92" spans="1:34" x14ac:dyDescent="0.25">
      <c r="A92" s="2">
        <v>45663</v>
      </c>
      <c r="B92" t="s">
        <v>1976</v>
      </c>
      <c r="C92" t="s">
        <v>1977</v>
      </c>
      <c r="D92">
        <v>73</v>
      </c>
      <c r="E92">
        <v>1</v>
      </c>
      <c r="F92">
        <v>3.3707865168539325E-2</v>
      </c>
      <c r="G92">
        <v>50.17</v>
      </c>
      <c r="H92">
        <v>0.01</v>
      </c>
      <c r="I92">
        <v>50.160000000000004</v>
      </c>
      <c r="J92">
        <v>787.72</v>
      </c>
      <c r="K92">
        <v>41.39</v>
      </c>
      <c r="L92">
        <v>0</v>
      </c>
      <c r="M92" t="s">
        <v>1978</v>
      </c>
      <c r="N92">
        <v>45</v>
      </c>
      <c r="O92">
        <v>28</v>
      </c>
      <c r="P92">
        <v>46.3</v>
      </c>
      <c r="Q92">
        <v>0</v>
      </c>
      <c r="R92">
        <v>3.86</v>
      </c>
      <c r="S92">
        <v>48.94</v>
      </c>
      <c r="T92">
        <v>45.08</v>
      </c>
      <c r="U92">
        <v>1.46</v>
      </c>
      <c r="V92">
        <v>89</v>
      </c>
      <c r="W92">
        <v>0</v>
      </c>
      <c r="X92">
        <v>3</v>
      </c>
      <c r="Y92">
        <v>50.160000000000004</v>
      </c>
      <c r="Z92">
        <v>0</v>
      </c>
      <c r="AA92" t="s">
        <v>115</v>
      </c>
      <c r="AB92">
        <v>0</v>
      </c>
      <c r="AC92">
        <v>0.1</v>
      </c>
      <c r="AD92">
        <v>0.05</v>
      </c>
      <c r="AE92">
        <v>50.160000000000004</v>
      </c>
      <c r="AF92" t="s">
        <v>1825</v>
      </c>
      <c r="AG92" t="s">
        <v>1600</v>
      </c>
      <c r="AH92">
        <v>0.7</v>
      </c>
    </row>
    <row r="93" spans="1:34" x14ac:dyDescent="0.25">
      <c r="A93" s="2">
        <v>45656</v>
      </c>
      <c r="B93" t="s">
        <v>1976</v>
      </c>
      <c r="C93" t="s">
        <v>1977</v>
      </c>
      <c r="D93">
        <v>57</v>
      </c>
      <c r="E93">
        <v>1</v>
      </c>
      <c r="F93">
        <v>0</v>
      </c>
      <c r="G93">
        <v>38.33</v>
      </c>
      <c r="H93">
        <v>0.5</v>
      </c>
      <c r="I93">
        <v>37.83</v>
      </c>
      <c r="J93">
        <v>671.46</v>
      </c>
      <c r="K93">
        <v>43.87</v>
      </c>
      <c r="L93">
        <v>0</v>
      </c>
      <c r="M93" t="s">
        <v>1978</v>
      </c>
      <c r="N93">
        <v>26</v>
      </c>
      <c r="O93">
        <v>31</v>
      </c>
      <c r="P93">
        <v>34.369999999999997</v>
      </c>
      <c r="Q93">
        <v>0</v>
      </c>
      <c r="R93">
        <v>3.45</v>
      </c>
      <c r="S93">
        <v>29.32</v>
      </c>
      <c r="T93">
        <v>26.38</v>
      </c>
      <c r="U93">
        <v>1.49</v>
      </c>
      <c r="V93">
        <v>67</v>
      </c>
      <c r="W93">
        <v>0</v>
      </c>
      <c r="X93">
        <v>0</v>
      </c>
      <c r="Y93">
        <v>37.83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37.83</v>
      </c>
      <c r="AF93" t="s">
        <v>1825</v>
      </c>
      <c r="AG93" t="s">
        <v>1600</v>
      </c>
      <c r="AH93">
        <v>0.7</v>
      </c>
    </row>
    <row r="94" spans="1:34" x14ac:dyDescent="0.25">
      <c r="A94" s="2">
        <v>45663</v>
      </c>
      <c r="B94" t="s">
        <v>1924</v>
      </c>
      <c r="C94" t="s">
        <v>1925</v>
      </c>
      <c r="D94">
        <v>54</v>
      </c>
      <c r="E94">
        <v>0.9178082191780822</v>
      </c>
      <c r="F94">
        <v>2.9850746268656716E-2</v>
      </c>
      <c r="G94">
        <v>41.71</v>
      </c>
      <c r="H94">
        <v>0</v>
      </c>
      <c r="I94">
        <v>41.71</v>
      </c>
      <c r="J94">
        <v>638.44000000000005</v>
      </c>
      <c r="K94">
        <v>9</v>
      </c>
      <c r="L94">
        <v>0</v>
      </c>
      <c r="M94" t="s">
        <v>1926</v>
      </c>
      <c r="N94">
        <v>34</v>
      </c>
      <c r="O94">
        <v>20</v>
      </c>
      <c r="P94">
        <v>38.49</v>
      </c>
      <c r="Q94">
        <v>5</v>
      </c>
      <c r="R94">
        <v>3.22</v>
      </c>
      <c r="S94">
        <v>41.71</v>
      </c>
      <c r="T94">
        <v>38.49</v>
      </c>
      <c r="U94">
        <v>1.29</v>
      </c>
      <c r="V94">
        <v>67</v>
      </c>
      <c r="W94">
        <v>1</v>
      </c>
      <c r="X94">
        <v>2</v>
      </c>
      <c r="Y94">
        <v>0</v>
      </c>
      <c r="Z94">
        <v>0</v>
      </c>
      <c r="AA94" t="s">
        <v>115</v>
      </c>
      <c r="AB94">
        <v>41.71</v>
      </c>
      <c r="AC94">
        <v>0.1</v>
      </c>
      <c r="AD94">
        <v>0.05</v>
      </c>
      <c r="AE94">
        <v>0</v>
      </c>
      <c r="AF94" t="s">
        <v>1637</v>
      </c>
      <c r="AG94" t="s">
        <v>1601</v>
      </c>
      <c r="AH94">
        <v>0.7</v>
      </c>
    </row>
    <row r="95" spans="1:34" x14ac:dyDescent="0.25">
      <c r="A95" s="2">
        <v>45656</v>
      </c>
      <c r="B95" t="s">
        <v>1924</v>
      </c>
      <c r="C95" t="s">
        <v>1925</v>
      </c>
      <c r="D95">
        <v>38</v>
      </c>
      <c r="E95">
        <v>0.95744680851063835</v>
      </c>
      <c r="F95">
        <v>0</v>
      </c>
      <c r="G95">
        <v>32.020000000000003</v>
      </c>
      <c r="H95">
        <v>0</v>
      </c>
      <c r="I95">
        <v>32.020000000000003</v>
      </c>
      <c r="J95">
        <v>428.87</v>
      </c>
      <c r="K95">
        <v>23</v>
      </c>
      <c r="L95">
        <v>0</v>
      </c>
      <c r="M95" t="s">
        <v>1926</v>
      </c>
      <c r="N95">
        <v>17</v>
      </c>
      <c r="O95">
        <v>21</v>
      </c>
      <c r="P95">
        <v>26.02</v>
      </c>
      <c r="Q95">
        <v>1</v>
      </c>
      <c r="R95">
        <v>6</v>
      </c>
      <c r="S95">
        <v>31.71</v>
      </c>
      <c r="T95">
        <v>25.79</v>
      </c>
      <c r="U95">
        <v>1.19</v>
      </c>
      <c r="V95">
        <v>45</v>
      </c>
      <c r="W95">
        <v>1</v>
      </c>
      <c r="X95">
        <v>0</v>
      </c>
      <c r="Y95">
        <v>32.020000000000003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32.020000000000003</v>
      </c>
      <c r="AF95" t="s">
        <v>1637</v>
      </c>
      <c r="AG95" t="s">
        <v>1601</v>
      </c>
      <c r="AH95">
        <v>0.7</v>
      </c>
    </row>
    <row r="96" spans="1:34" x14ac:dyDescent="0.25">
      <c r="A96" s="2">
        <v>45663</v>
      </c>
      <c r="B96" t="s">
        <v>2013</v>
      </c>
      <c r="C96" t="s">
        <v>1862</v>
      </c>
      <c r="D96">
        <v>139</v>
      </c>
      <c r="E96">
        <v>0.95731707317073167</v>
      </c>
      <c r="F96">
        <v>1.9108280254777069E-2</v>
      </c>
      <c r="G96">
        <v>59.15</v>
      </c>
      <c r="H96">
        <v>0.67</v>
      </c>
      <c r="I96">
        <v>58.48</v>
      </c>
      <c r="J96">
        <v>1439.24</v>
      </c>
      <c r="K96">
        <v>83.78</v>
      </c>
      <c r="L96">
        <v>13.5</v>
      </c>
      <c r="M96" t="s">
        <v>1927</v>
      </c>
      <c r="N96">
        <v>4</v>
      </c>
      <c r="O96">
        <v>135</v>
      </c>
      <c r="P96">
        <v>55.13</v>
      </c>
      <c r="Q96">
        <v>2</v>
      </c>
      <c r="R96">
        <v>3.35</v>
      </c>
      <c r="S96">
        <v>1.61</v>
      </c>
      <c r="T96">
        <v>1.54</v>
      </c>
      <c r="U96">
        <v>2.35</v>
      </c>
      <c r="V96">
        <v>157</v>
      </c>
      <c r="W96">
        <v>5</v>
      </c>
      <c r="X96">
        <v>3</v>
      </c>
      <c r="Y96">
        <v>58.48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58.48</v>
      </c>
      <c r="AF96" t="s">
        <v>1774</v>
      </c>
      <c r="AG96" t="s">
        <v>1600</v>
      </c>
      <c r="AH96">
        <v>0.7</v>
      </c>
    </row>
    <row r="97" spans="1:34" x14ac:dyDescent="0.25">
      <c r="A97" s="2">
        <v>45656</v>
      </c>
      <c r="B97" t="s">
        <v>2013</v>
      </c>
      <c r="C97" t="s">
        <v>1862</v>
      </c>
      <c r="D97">
        <v>117</v>
      </c>
      <c r="E97">
        <v>0.98518518518518516</v>
      </c>
      <c r="F97">
        <v>1.5037593984962405E-2</v>
      </c>
      <c r="G97">
        <v>50.06</v>
      </c>
      <c r="H97">
        <v>0.35</v>
      </c>
      <c r="I97">
        <v>49.71</v>
      </c>
      <c r="J97">
        <v>1343.52</v>
      </c>
      <c r="K97">
        <v>61.94</v>
      </c>
      <c r="L97">
        <v>0</v>
      </c>
      <c r="M97" t="s">
        <v>1927</v>
      </c>
      <c r="N97">
        <v>5</v>
      </c>
      <c r="O97">
        <v>112</v>
      </c>
      <c r="P97">
        <v>46.12</v>
      </c>
      <c r="Q97">
        <v>0</v>
      </c>
      <c r="R97">
        <v>3.59</v>
      </c>
      <c r="S97">
        <v>3.87</v>
      </c>
      <c r="T97">
        <v>3.04</v>
      </c>
      <c r="U97">
        <v>2.34</v>
      </c>
      <c r="V97">
        <v>133</v>
      </c>
      <c r="W97">
        <v>2</v>
      </c>
      <c r="X97">
        <v>2</v>
      </c>
      <c r="Y97">
        <v>49.71</v>
      </c>
      <c r="Z97">
        <v>0</v>
      </c>
      <c r="AA97" t="s">
        <v>114</v>
      </c>
      <c r="AB97">
        <v>0</v>
      </c>
      <c r="AC97">
        <v>0.1</v>
      </c>
      <c r="AD97">
        <v>0.05</v>
      </c>
      <c r="AE97">
        <v>49.71</v>
      </c>
      <c r="AF97" t="s">
        <v>1774</v>
      </c>
      <c r="AG97" t="s">
        <v>1600</v>
      </c>
      <c r="AH97">
        <v>0.7</v>
      </c>
    </row>
    <row r="98" spans="1:34" x14ac:dyDescent="0.25">
      <c r="A98" s="2">
        <v>45663</v>
      </c>
      <c r="B98" t="s">
        <v>2049</v>
      </c>
      <c r="C98" t="s">
        <v>2050</v>
      </c>
      <c r="D98">
        <v>96</v>
      </c>
      <c r="E98">
        <v>1</v>
      </c>
      <c r="F98">
        <v>9.8039215686274508E-3</v>
      </c>
      <c r="G98">
        <v>50</v>
      </c>
      <c r="H98">
        <v>0</v>
      </c>
      <c r="I98">
        <v>50</v>
      </c>
      <c r="J98">
        <v>1033.31</v>
      </c>
      <c r="K98">
        <v>91.69</v>
      </c>
      <c r="L98">
        <v>2.88</v>
      </c>
      <c r="M98" t="s">
        <v>2051</v>
      </c>
      <c r="N98">
        <v>5</v>
      </c>
      <c r="O98">
        <v>91</v>
      </c>
      <c r="P98">
        <v>42.13</v>
      </c>
      <c r="Q98">
        <v>0</v>
      </c>
      <c r="R98">
        <v>7.87</v>
      </c>
      <c r="S98">
        <v>5.94</v>
      </c>
      <c r="T98">
        <v>3.18</v>
      </c>
      <c r="U98">
        <v>1.92</v>
      </c>
      <c r="V98">
        <v>102</v>
      </c>
      <c r="W98">
        <v>0</v>
      </c>
      <c r="X98">
        <v>1</v>
      </c>
      <c r="Y98">
        <v>50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50</v>
      </c>
      <c r="AF98" t="s">
        <v>1969</v>
      </c>
      <c r="AG98" t="s">
        <v>1747</v>
      </c>
      <c r="AH98">
        <v>0.7</v>
      </c>
    </row>
    <row r="99" spans="1:34" x14ac:dyDescent="0.25">
      <c r="A99" s="2">
        <v>45656</v>
      </c>
      <c r="B99" t="s">
        <v>2049</v>
      </c>
      <c r="C99" t="s">
        <v>2050</v>
      </c>
      <c r="D99">
        <v>92</v>
      </c>
      <c r="E99">
        <v>0.99038461538461542</v>
      </c>
      <c r="F99">
        <v>9.7087378640776691E-3</v>
      </c>
      <c r="G99">
        <v>50.08</v>
      </c>
      <c r="H99">
        <v>0</v>
      </c>
      <c r="I99">
        <v>50.08</v>
      </c>
      <c r="J99">
        <v>1037.97</v>
      </c>
      <c r="K99">
        <v>72.77</v>
      </c>
      <c r="L99">
        <v>0</v>
      </c>
      <c r="M99" t="s">
        <v>2051</v>
      </c>
      <c r="N99">
        <v>8</v>
      </c>
      <c r="O99">
        <v>84</v>
      </c>
      <c r="P99">
        <v>39.130000000000003</v>
      </c>
      <c r="Q99">
        <v>0</v>
      </c>
      <c r="R99">
        <v>10.95</v>
      </c>
      <c r="S99">
        <v>8.73</v>
      </c>
      <c r="T99">
        <v>4.32</v>
      </c>
      <c r="U99">
        <v>1.84</v>
      </c>
      <c r="V99">
        <v>103</v>
      </c>
      <c r="W99">
        <v>1</v>
      </c>
      <c r="X99">
        <v>1</v>
      </c>
      <c r="Y99">
        <v>50.08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50.08</v>
      </c>
      <c r="AF99" t="s">
        <v>1969</v>
      </c>
      <c r="AG99" t="s">
        <v>1747</v>
      </c>
      <c r="AH99">
        <v>0.7</v>
      </c>
    </row>
    <row r="100" spans="1:34" x14ac:dyDescent="0.25">
      <c r="A100" s="2">
        <v>45663</v>
      </c>
      <c r="B100" t="s">
        <v>1979</v>
      </c>
      <c r="C100" t="s">
        <v>1980</v>
      </c>
      <c r="D100">
        <v>113</v>
      </c>
      <c r="E100">
        <v>0.97599999999999998</v>
      </c>
      <c r="F100">
        <v>0</v>
      </c>
      <c r="G100">
        <v>50.64</v>
      </c>
      <c r="H100">
        <v>0.15</v>
      </c>
      <c r="I100">
        <v>50.49</v>
      </c>
      <c r="J100">
        <v>1035.07</v>
      </c>
      <c r="K100">
        <v>57.47</v>
      </c>
      <c r="L100">
        <v>10.43</v>
      </c>
      <c r="M100" t="s">
        <v>1981</v>
      </c>
      <c r="N100">
        <v>8</v>
      </c>
      <c r="O100">
        <v>105</v>
      </c>
      <c r="P100">
        <v>44.94</v>
      </c>
      <c r="Q100">
        <v>0</v>
      </c>
      <c r="R100">
        <v>5.55</v>
      </c>
      <c r="S100">
        <v>13.88</v>
      </c>
      <c r="T100">
        <v>10.050000000000001</v>
      </c>
      <c r="U100">
        <v>2.23</v>
      </c>
      <c r="V100">
        <v>122</v>
      </c>
      <c r="W100">
        <v>3</v>
      </c>
      <c r="X100">
        <v>0</v>
      </c>
      <c r="Y100">
        <v>50.49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50.49</v>
      </c>
      <c r="AF100" t="s">
        <v>1963</v>
      </c>
      <c r="AG100" t="s">
        <v>1601</v>
      </c>
      <c r="AH100">
        <v>0.7</v>
      </c>
    </row>
    <row r="101" spans="1:34" x14ac:dyDescent="0.25">
      <c r="A101" s="2">
        <v>45656</v>
      </c>
      <c r="B101" t="s">
        <v>1979</v>
      </c>
      <c r="C101" t="s">
        <v>1980</v>
      </c>
      <c r="D101">
        <v>75</v>
      </c>
      <c r="E101">
        <v>0.89</v>
      </c>
      <c r="F101">
        <v>0</v>
      </c>
      <c r="G101">
        <v>42.75</v>
      </c>
      <c r="H101">
        <v>0.55000000000000004</v>
      </c>
      <c r="I101">
        <v>42.2</v>
      </c>
      <c r="J101">
        <v>898.09</v>
      </c>
      <c r="K101">
        <v>124.99</v>
      </c>
      <c r="L101">
        <v>0</v>
      </c>
      <c r="M101" t="s">
        <v>1981</v>
      </c>
      <c r="N101">
        <v>8</v>
      </c>
      <c r="O101">
        <v>67</v>
      </c>
      <c r="P101">
        <v>34.81</v>
      </c>
      <c r="Q101">
        <v>1</v>
      </c>
      <c r="R101">
        <v>7.39</v>
      </c>
      <c r="S101">
        <v>13.37</v>
      </c>
      <c r="T101">
        <v>7.63</v>
      </c>
      <c r="U101">
        <v>1.75</v>
      </c>
      <c r="V101">
        <v>89</v>
      </c>
      <c r="W101">
        <v>10</v>
      </c>
      <c r="X101">
        <v>0</v>
      </c>
      <c r="Y101">
        <v>0</v>
      </c>
      <c r="Z101">
        <v>0</v>
      </c>
      <c r="AA101" t="s">
        <v>114</v>
      </c>
      <c r="AB101">
        <v>42.2</v>
      </c>
      <c r="AC101">
        <v>0.1</v>
      </c>
      <c r="AD101">
        <v>0.05</v>
      </c>
      <c r="AE101">
        <v>0</v>
      </c>
      <c r="AF101" t="s">
        <v>1963</v>
      </c>
      <c r="AG101" t="s">
        <v>1601</v>
      </c>
      <c r="AH101">
        <v>0.7</v>
      </c>
    </row>
    <row r="102" spans="1:34" x14ac:dyDescent="0.25">
      <c r="A102" s="2">
        <v>45663</v>
      </c>
      <c r="B102" t="s">
        <v>2032</v>
      </c>
      <c r="C102" t="s">
        <v>1929</v>
      </c>
      <c r="D102">
        <v>57</v>
      </c>
      <c r="E102">
        <v>0.9821428571428571</v>
      </c>
      <c r="F102">
        <v>0</v>
      </c>
      <c r="G102">
        <v>50.04</v>
      </c>
      <c r="H102">
        <v>0</v>
      </c>
      <c r="I102">
        <v>50.04</v>
      </c>
      <c r="J102">
        <v>646.04999999999995</v>
      </c>
      <c r="K102">
        <v>45.4</v>
      </c>
      <c r="L102">
        <v>0</v>
      </c>
      <c r="M102" t="s">
        <v>2020</v>
      </c>
      <c r="N102">
        <v>11</v>
      </c>
      <c r="O102">
        <v>46</v>
      </c>
      <c r="P102">
        <v>28.6</v>
      </c>
      <c r="Q102">
        <v>1</v>
      </c>
      <c r="R102">
        <v>21.44</v>
      </c>
      <c r="S102">
        <v>13.99</v>
      </c>
      <c r="T102">
        <v>10.64</v>
      </c>
      <c r="U102">
        <v>1.1399999999999999</v>
      </c>
      <c r="V102">
        <v>55</v>
      </c>
      <c r="W102">
        <v>0</v>
      </c>
      <c r="X102">
        <v>0</v>
      </c>
      <c r="Y102">
        <v>50.04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50.04</v>
      </c>
      <c r="AF102" t="s">
        <v>2016</v>
      </c>
      <c r="AG102" t="s">
        <v>1670</v>
      </c>
      <c r="AH102">
        <v>0.7</v>
      </c>
    </row>
    <row r="103" spans="1:34" x14ac:dyDescent="0.25">
      <c r="A103" s="2">
        <v>45656</v>
      </c>
      <c r="B103" t="s">
        <v>2032</v>
      </c>
      <c r="C103" t="s">
        <v>1929</v>
      </c>
      <c r="D103">
        <v>54</v>
      </c>
      <c r="E103">
        <v>1</v>
      </c>
      <c r="F103">
        <v>0</v>
      </c>
      <c r="G103">
        <v>51.74</v>
      </c>
      <c r="H103">
        <v>0</v>
      </c>
      <c r="I103">
        <v>51.74</v>
      </c>
      <c r="J103">
        <v>671.93</v>
      </c>
      <c r="K103">
        <v>69.63</v>
      </c>
      <c r="L103">
        <v>0</v>
      </c>
      <c r="M103" t="s">
        <v>2020</v>
      </c>
      <c r="N103">
        <v>12</v>
      </c>
      <c r="O103">
        <v>42</v>
      </c>
      <c r="P103">
        <v>27.18</v>
      </c>
      <c r="Q103">
        <v>0</v>
      </c>
      <c r="R103">
        <v>24.56</v>
      </c>
      <c r="S103">
        <v>19.97</v>
      </c>
      <c r="T103">
        <v>13.68</v>
      </c>
      <c r="U103">
        <v>1.04</v>
      </c>
      <c r="V103">
        <v>52</v>
      </c>
      <c r="W103">
        <v>0</v>
      </c>
      <c r="X103">
        <v>0</v>
      </c>
      <c r="Y103">
        <v>51.74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51.74</v>
      </c>
      <c r="AF103" t="s">
        <v>2016</v>
      </c>
      <c r="AG103" t="s">
        <v>1670</v>
      </c>
      <c r="AH103">
        <v>0.7</v>
      </c>
    </row>
    <row r="104" spans="1:34" x14ac:dyDescent="0.25">
      <c r="A104" s="2">
        <v>45663</v>
      </c>
      <c r="B104" t="s">
        <v>1931</v>
      </c>
      <c r="C104" t="s">
        <v>1929</v>
      </c>
      <c r="D104">
        <v>70</v>
      </c>
      <c r="E104">
        <v>0.9642857142857143</v>
      </c>
      <c r="F104">
        <v>2.4691358024691357E-2</v>
      </c>
      <c r="G104">
        <v>50.03</v>
      </c>
      <c r="H104">
        <v>0.02</v>
      </c>
      <c r="I104">
        <v>50.01</v>
      </c>
      <c r="J104">
        <v>643.85</v>
      </c>
      <c r="K104">
        <v>43.41</v>
      </c>
      <c r="L104">
        <v>0</v>
      </c>
      <c r="M104" t="s">
        <v>1932</v>
      </c>
      <c r="N104">
        <v>17</v>
      </c>
      <c r="O104">
        <v>53</v>
      </c>
      <c r="P104">
        <v>34.340000000000003</v>
      </c>
      <c r="Q104">
        <v>3</v>
      </c>
      <c r="R104">
        <v>15.68</v>
      </c>
      <c r="S104">
        <v>12.23</v>
      </c>
      <c r="T104">
        <v>11.97</v>
      </c>
      <c r="U104">
        <v>1.4</v>
      </c>
      <c r="V104">
        <v>81</v>
      </c>
      <c r="W104">
        <v>0</v>
      </c>
      <c r="X104">
        <v>2</v>
      </c>
      <c r="Y104">
        <v>50.01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50.01</v>
      </c>
      <c r="AF104" t="s">
        <v>1697</v>
      </c>
      <c r="AG104" t="s">
        <v>1747</v>
      </c>
      <c r="AH104">
        <v>0.7</v>
      </c>
    </row>
    <row r="105" spans="1:34" x14ac:dyDescent="0.25">
      <c r="A105" s="2">
        <v>45656</v>
      </c>
      <c r="B105" t="s">
        <v>1931</v>
      </c>
      <c r="C105" t="s">
        <v>1929</v>
      </c>
      <c r="D105">
        <v>67</v>
      </c>
      <c r="E105">
        <v>0.98750000000000004</v>
      </c>
      <c r="F105">
        <v>1.2658227848101266E-2</v>
      </c>
      <c r="G105">
        <v>50.21</v>
      </c>
      <c r="H105">
        <v>0.04</v>
      </c>
      <c r="I105">
        <v>50.17</v>
      </c>
      <c r="J105">
        <v>732.98</v>
      </c>
      <c r="K105">
        <v>30.66</v>
      </c>
      <c r="L105">
        <v>0</v>
      </c>
      <c r="M105" t="s">
        <v>1932</v>
      </c>
      <c r="N105">
        <v>15</v>
      </c>
      <c r="O105">
        <v>52</v>
      </c>
      <c r="P105">
        <v>33.47</v>
      </c>
      <c r="Q105">
        <v>1</v>
      </c>
      <c r="R105">
        <v>16.7</v>
      </c>
      <c r="S105">
        <v>22.29</v>
      </c>
      <c r="T105">
        <v>16.43</v>
      </c>
      <c r="U105">
        <v>1.33</v>
      </c>
      <c r="V105">
        <v>79</v>
      </c>
      <c r="W105">
        <v>0</v>
      </c>
      <c r="X105">
        <v>1</v>
      </c>
      <c r="Y105">
        <v>50.17</v>
      </c>
      <c r="Z105">
        <v>0</v>
      </c>
      <c r="AA105" t="s">
        <v>114</v>
      </c>
      <c r="AB105">
        <v>0</v>
      </c>
      <c r="AC105">
        <v>0.1</v>
      </c>
      <c r="AD105">
        <v>0.05</v>
      </c>
      <c r="AE105">
        <v>50.17</v>
      </c>
      <c r="AF105" t="s">
        <v>1697</v>
      </c>
      <c r="AG105" t="s">
        <v>1747</v>
      </c>
      <c r="AH105">
        <v>0.7</v>
      </c>
    </row>
    <row r="106" spans="1:34" x14ac:dyDescent="0.25">
      <c r="A106" s="2">
        <v>45663</v>
      </c>
      <c r="B106" t="s">
        <v>1928</v>
      </c>
      <c r="C106" t="s">
        <v>1929</v>
      </c>
      <c r="D106">
        <v>67</v>
      </c>
      <c r="E106">
        <v>0.9882352941176471</v>
      </c>
      <c r="F106">
        <v>2.3809523809523808E-2</v>
      </c>
      <c r="G106">
        <v>47.04</v>
      </c>
      <c r="H106">
        <v>0</v>
      </c>
      <c r="I106">
        <v>47.04</v>
      </c>
      <c r="J106">
        <v>807.94</v>
      </c>
      <c r="K106">
        <v>105.25</v>
      </c>
      <c r="L106">
        <v>13.34</v>
      </c>
      <c r="M106" t="s">
        <v>1930</v>
      </c>
      <c r="N106">
        <v>17</v>
      </c>
      <c r="O106">
        <v>50</v>
      </c>
      <c r="P106">
        <v>39.479999999999997</v>
      </c>
      <c r="Q106">
        <v>0</v>
      </c>
      <c r="R106">
        <v>7.56</v>
      </c>
      <c r="S106">
        <v>19.46</v>
      </c>
      <c r="T106">
        <v>16.8</v>
      </c>
      <c r="U106">
        <v>1.42</v>
      </c>
      <c r="V106">
        <v>84</v>
      </c>
      <c r="W106">
        <v>1</v>
      </c>
      <c r="X106">
        <v>2</v>
      </c>
      <c r="Y106">
        <v>47.04</v>
      </c>
      <c r="Z106">
        <v>0</v>
      </c>
      <c r="AA106" t="s">
        <v>115</v>
      </c>
      <c r="AB106">
        <v>0</v>
      </c>
      <c r="AC106">
        <v>0.1</v>
      </c>
      <c r="AD106">
        <v>0.05</v>
      </c>
      <c r="AE106">
        <v>47.04</v>
      </c>
      <c r="AF106" t="s">
        <v>1777</v>
      </c>
      <c r="AG106" t="s">
        <v>1670</v>
      </c>
      <c r="AH106">
        <v>0.7</v>
      </c>
    </row>
    <row r="107" spans="1:34" x14ac:dyDescent="0.25">
      <c r="A107" s="2">
        <v>45656</v>
      </c>
      <c r="B107" t="s">
        <v>1928</v>
      </c>
      <c r="C107" t="s">
        <v>1929</v>
      </c>
      <c r="D107">
        <v>87</v>
      </c>
      <c r="E107">
        <v>0.96039603960396036</v>
      </c>
      <c r="F107">
        <v>4.1237113402061855E-2</v>
      </c>
      <c r="G107">
        <v>52.45</v>
      </c>
      <c r="H107">
        <v>0.23</v>
      </c>
      <c r="I107">
        <v>52.220000000000006</v>
      </c>
      <c r="J107">
        <v>1005.55</v>
      </c>
      <c r="K107">
        <v>70.790000000000006</v>
      </c>
      <c r="L107">
        <v>0</v>
      </c>
      <c r="M107" t="s">
        <v>1930</v>
      </c>
      <c r="N107">
        <v>15</v>
      </c>
      <c r="O107">
        <v>72</v>
      </c>
      <c r="P107">
        <v>41.37</v>
      </c>
      <c r="Q107">
        <v>0</v>
      </c>
      <c r="R107">
        <v>10.85</v>
      </c>
      <c r="S107">
        <v>29.69</v>
      </c>
      <c r="T107">
        <v>23.84</v>
      </c>
      <c r="U107">
        <v>1.66</v>
      </c>
      <c r="V107">
        <v>97</v>
      </c>
      <c r="W107">
        <v>4</v>
      </c>
      <c r="X107">
        <v>4</v>
      </c>
      <c r="Y107">
        <v>0</v>
      </c>
      <c r="Z107">
        <v>0</v>
      </c>
      <c r="AA107" t="s">
        <v>114</v>
      </c>
      <c r="AB107">
        <v>52.220000000000006</v>
      </c>
      <c r="AC107">
        <v>0.1</v>
      </c>
      <c r="AD107">
        <v>0.05</v>
      </c>
      <c r="AE107">
        <v>0</v>
      </c>
      <c r="AF107" t="s">
        <v>1777</v>
      </c>
      <c r="AG107" t="s">
        <v>1670</v>
      </c>
      <c r="AH107">
        <v>0.7</v>
      </c>
    </row>
    <row r="108" spans="1:34" x14ac:dyDescent="0.25">
      <c r="A108" s="2">
        <v>45663</v>
      </c>
      <c r="B108" t="s">
        <v>1933</v>
      </c>
      <c r="C108" t="s">
        <v>1934</v>
      </c>
      <c r="D108">
        <v>52</v>
      </c>
      <c r="E108">
        <v>0.93548387096774188</v>
      </c>
      <c r="F108">
        <v>1.7241379310344827E-2</v>
      </c>
      <c r="G108">
        <v>49.41</v>
      </c>
      <c r="H108">
        <v>0.1</v>
      </c>
      <c r="I108">
        <v>49.309999999999995</v>
      </c>
      <c r="J108">
        <v>527.72</v>
      </c>
      <c r="K108">
        <v>46</v>
      </c>
      <c r="L108">
        <v>0</v>
      </c>
      <c r="M108" t="s">
        <v>1935</v>
      </c>
      <c r="N108">
        <v>5</v>
      </c>
      <c r="O108">
        <v>47</v>
      </c>
      <c r="P108">
        <v>26.51</v>
      </c>
      <c r="Q108">
        <v>1</v>
      </c>
      <c r="R108">
        <v>22.8</v>
      </c>
      <c r="S108">
        <v>7.52</v>
      </c>
      <c r="T108">
        <v>6.86</v>
      </c>
      <c r="U108">
        <v>1.05</v>
      </c>
      <c r="V108">
        <v>58</v>
      </c>
      <c r="W108">
        <v>3</v>
      </c>
      <c r="X108">
        <v>1</v>
      </c>
      <c r="Y108">
        <v>0</v>
      </c>
      <c r="Z108">
        <v>0</v>
      </c>
      <c r="AA108" t="s">
        <v>115</v>
      </c>
      <c r="AB108">
        <v>49.309999999999995</v>
      </c>
      <c r="AC108">
        <v>0.1</v>
      </c>
      <c r="AD108">
        <v>0.05</v>
      </c>
      <c r="AE108">
        <v>0</v>
      </c>
      <c r="AF108" t="s">
        <v>1778</v>
      </c>
      <c r="AG108" t="s">
        <v>1816</v>
      </c>
      <c r="AH108">
        <v>0.7</v>
      </c>
    </row>
    <row r="109" spans="1:34" x14ac:dyDescent="0.25">
      <c r="A109" s="2">
        <v>45656</v>
      </c>
      <c r="B109" t="s">
        <v>1933</v>
      </c>
      <c r="C109" t="s">
        <v>1934</v>
      </c>
      <c r="D109">
        <v>52</v>
      </c>
      <c r="E109">
        <v>1</v>
      </c>
      <c r="F109">
        <v>1.8181818181818181E-2</v>
      </c>
      <c r="G109">
        <v>49.51</v>
      </c>
      <c r="H109">
        <v>0</v>
      </c>
      <c r="I109">
        <v>49.51</v>
      </c>
      <c r="J109">
        <v>640.42999999999995</v>
      </c>
      <c r="K109">
        <v>40.5</v>
      </c>
      <c r="L109">
        <v>0</v>
      </c>
      <c r="M109" t="s">
        <v>1935</v>
      </c>
      <c r="N109">
        <v>3</v>
      </c>
      <c r="O109">
        <v>49</v>
      </c>
      <c r="P109">
        <v>27.44</v>
      </c>
      <c r="Q109">
        <v>0</v>
      </c>
      <c r="R109">
        <v>22.07</v>
      </c>
      <c r="S109">
        <v>6.21</v>
      </c>
      <c r="T109">
        <v>3.43</v>
      </c>
      <c r="U109">
        <v>1.05</v>
      </c>
      <c r="V109">
        <v>55</v>
      </c>
      <c r="W109">
        <v>0</v>
      </c>
      <c r="X109">
        <v>1</v>
      </c>
      <c r="Y109">
        <v>49.51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49.51</v>
      </c>
      <c r="AF109" t="s">
        <v>1778</v>
      </c>
      <c r="AG109" t="s">
        <v>1816</v>
      </c>
      <c r="AH109">
        <v>0.7</v>
      </c>
    </row>
    <row r="110" spans="1:34" x14ac:dyDescent="0.25">
      <c r="A110" s="2">
        <v>45663</v>
      </c>
      <c r="B110" t="s">
        <v>1994</v>
      </c>
      <c r="C110" t="s">
        <v>1995</v>
      </c>
      <c r="D110">
        <v>81</v>
      </c>
      <c r="E110">
        <v>0.95959595959595956</v>
      </c>
      <c r="F110">
        <v>1.0526315789473684E-2</v>
      </c>
      <c r="G110">
        <v>51.34</v>
      </c>
      <c r="H110">
        <v>0.06</v>
      </c>
      <c r="I110">
        <v>51.28</v>
      </c>
      <c r="J110">
        <v>980.6</v>
      </c>
      <c r="K110">
        <v>35.28</v>
      </c>
      <c r="L110">
        <v>6.05</v>
      </c>
      <c r="M110" t="s">
        <v>1996</v>
      </c>
      <c r="N110">
        <v>25</v>
      </c>
      <c r="O110">
        <v>56</v>
      </c>
      <c r="P110">
        <v>49.18</v>
      </c>
      <c r="Q110">
        <v>4</v>
      </c>
      <c r="R110">
        <v>2.09</v>
      </c>
      <c r="S110">
        <v>36.25</v>
      </c>
      <c r="T110">
        <v>35.200000000000003</v>
      </c>
      <c r="U110">
        <v>1.58</v>
      </c>
      <c r="V110">
        <v>95</v>
      </c>
      <c r="W110">
        <v>0</v>
      </c>
      <c r="X110">
        <v>1</v>
      </c>
      <c r="Y110">
        <v>51.28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51.28</v>
      </c>
      <c r="AF110" t="s">
        <v>1824</v>
      </c>
      <c r="AG110" t="s">
        <v>1599</v>
      </c>
      <c r="AH110">
        <v>0.7</v>
      </c>
    </row>
    <row r="111" spans="1:34" x14ac:dyDescent="0.25">
      <c r="A111" s="2">
        <v>45656</v>
      </c>
      <c r="B111" t="s">
        <v>1994</v>
      </c>
      <c r="C111" t="s">
        <v>1995</v>
      </c>
      <c r="D111">
        <v>83</v>
      </c>
      <c r="E111">
        <v>0.93939393939393945</v>
      </c>
      <c r="F111">
        <v>0</v>
      </c>
      <c r="G111">
        <v>48.71</v>
      </c>
      <c r="H111">
        <v>0.37</v>
      </c>
      <c r="I111">
        <v>48.34</v>
      </c>
      <c r="J111">
        <v>952.61</v>
      </c>
      <c r="K111">
        <v>44</v>
      </c>
      <c r="L111">
        <v>0</v>
      </c>
      <c r="M111" t="s">
        <v>1996</v>
      </c>
      <c r="N111">
        <v>19</v>
      </c>
      <c r="O111">
        <v>64</v>
      </c>
      <c r="P111">
        <v>45.1</v>
      </c>
      <c r="Q111">
        <v>6</v>
      </c>
      <c r="R111">
        <v>3.24</v>
      </c>
      <c r="S111">
        <v>27.94</v>
      </c>
      <c r="T111">
        <v>25.76</v>
      </c>
      <c r="U111">
        <v>1.7</v>
      </c>
      <c r="V111">
        <v>93</v>
      </c>
      <c r="W111">
        <v>0</v>
      </c>
      <c r="X111">
        <v>0</v>
      </c>
      <c r="Y111">
        <v>0</v>
      </c>
      <c r="Z111">
        <v>0</v>
      </c>
      <c r="AA111" t="s">
        <v>114</v>
      </c>
      <c r="AB111">
        <v>48.34</v>
      </c>
      <c r="AC111">
        <v>0.1</v>
      </c>
      <c r="AD111">
        <v>0.05</v>
      </c>
      <c r="AE111">
        <v>0</v>
      </c>
      <c r="AF111" t="s">
        <v>1824</v>
      </c>
      <c r="AG111" t="s">
        <v>1599</v>
      </c>
      <c r="AH111">
        <v>0.7</v>
      </c>
    </row>
    <row r="112" spans="1:34" x14ac:dyDescent="0.25">
      <c r="A112" s="2">
        <v>45663</v>
      </c>
      <c r="B112" t="s">
        <v>1936</v>
      </c>
      <c r="C112" t="s">
        <v>1937</v>
      </c>
      <c r="D112">
        <v>40</v>
      </c>
      <c r="E112">
        <v>0.91379310344827591</v>
      </c>
      <c r="F112">
        <v>9.4339622641509441E-2</v>
      </c>
      <c r="G112">
        <v>24.89</v>
      </c>
      <c r="H112">
        <v>0.01</v>
      </c>
      <c r="I112">
        <v>24.88</v>
      </c>
      <c r="J112">
        <v>434.16</v>
      </c>
      <c r="K112">
        <v>31</v>
      </c>
      <c r="L112">
        <v>4.53</v>
      </c>
      <c r="M112" t="s">
        <v>1938</v>
      </c>
      <c r="N112">
        <v>4</v>
      </c>
      <c r="O112">
        <v>36</v>
      </c>
      <c r="P112">
        <v>19.52</v>
      </c>
      <c r="Q112">
        <v>1</v>
      </c>
      <c r="R112">
        <v>5.36</v>
      </c>
      <c r="S112">
        <v>13.9</v>
      </c>
      <c r="T112">
        <v>11.11</v>
      </c>
      <c r="U112">
        <v>1.61</v>
      </c>
      <c r="V112">
        <v>53</v>
      </c>
      <c r="W112">
        <v>4</v>
      </c>
      <c r="X112">
        <v>5</v>
      </c>
      <c r="Y112">
        <v>0</v>
      </c>
      <c r="Z112">
        <v>0</v>
      </c>
      <c r="AA112" t="s">
        <v>115</v>
      </c>
      <c r="AB112">
        <v>24.88</v>
      </c>
      <c r="AC112">
        <v>0.1</v>
      </c>
      <c r="AD112">
        <v>0.05</v>
      </c>
      <c r="AE112">
        <v>0</v>
      </c>
      <c r="AF112" t="s">
        <v>1817</v>
      </c>
      <c r="AG112" t="s">
        <v>1599</v>
      </c>
      <c r="AH112">
        <v>0.7</v>
      </c>
    </row>
    <row r="113" spans="1:34" x14ac:dyDescent="0.25">
      <c r="A113" s="2">
        <v>45656</v>
      </c>
      <c r="B113" t="s">
        <v>1936</v>
      </c>
      <c r="C113" t="s">
        <v>1937</v>
      </c>
      <c r="D113">
        <v>11</v>
      </c>
      <c r="E113">
        <v>0.66666666666666663</v>
      </c>
      <c r="F113">
        <v>0.125</v>
      </c>
      <c r="G113">
        <v>7.96</v>
      </c>
      <c r="H113">
        <v>0</v>
      </c>
      <c r="I113">
        <v>7.96</v>
      </c>
      <c r="J113">
        <v>122.1</v>
      </c>
      <c r="K113">
        <v>4</v>
      </c>
      <c r="L113">
        <v>0</v>
      </c>
      <c r="M113" t="s">
        <v>1938</v>
      </c>
      <c r="N113">
        <v>3</v>
      </c>
      <c r="O113">
        <v>8</v>
      </c>
      <c r="P113">
        <v>6.75</v>
      </c>
      <c r="Q113">
        <v>0</v>
      </c>
      <c r="R113">
        <v>1.21</v>
      </c>
      <c r="S113">
        <v>5.6</v>
      </c>
      <c r="T113">
        <v>4.87</v>
      </c>
      <c r="U113">
        <v>1.38</v>
      </c>
      <c r="V113">
        <v>16</v>
      </c>
      <c r="W113">
        <v>8</v>
      </c>
      <c r="X113">
        <v>2</v>
      </c>
      <c r="Y113">
        <v>0</v>
      </c>
      <c r="Z113">
        <v>0</v>
      </c>
      <c r="AA113" t="s">
        <v>114</v>
      </c>
      <c r="AB113">
        <v>7.96</v>
      </c>
      <c r="AC113">
        <v>0.1</v>
      </c>
      <c r="AD113">
        <v>0.05</v>
      </c>
      <c r="AE113">
        <v>0</v>
      </c>
      <c r="AF113" t="s">
        <v>1817</v>
      </c>
      <c r="AG113" t="s">
        <v>1599</v>
      </c>
      <c r="AH113">
        <v>0.7</v>
      </c>
    </row>
    <row r="114" spans="1:34" x14ac:dyDescent="0.25">
      <c r="A114" s="2">
        <v>45663</v>
      </c>
      <c r="B114" t="s">
        <v>1939</v>
      </c>
      <c r="C114" t="s">
        <v>1940</v>
      </c>
      <c r="D114">
        <v>82</v>
      </c>
      <c r="E114">
        <v>1</v>
      </c>
      <c r="F114">
        <v>0</v>
      </c>
      <c r="G114">
        <v>46.63</v>
      </c>
      <c r="H114">
        <v>0.24</v>
      </c>
      <c r="I114">
        <v>46.39</v>
      </c>
      <c r="J114">
        <v>884.29</v>
      </c>
      <c r="K114">
        <v>81.63</v>
      </c>
      <c r="L114">
        <v>0</v>
      </c>
      <c r="M114" t="s">
        <v>1941</v>
      </c>
      <c r="N114">
        <v>24</v>
      </c>
      <c r="O114">
        <v>58</v>
      </c>
      <c r="P114">
        <v>44.73</v>
      </c>
      <c r="Q114">
        <v>0</v>
      </c>
      <c r="R114">
        <v>1.65</v>
      </c>
      <c r="S114">
        <v>21</v>
      </c>
      <c r="T114">
        <v>20.27</v>
      </c>
      <c r="U114">
        <v>1.76</v>
      </c>
      <c r="V114">
        <v>90</v>
      </c>
      <c r="W114">
        <v>0</v>
      </c>
      <c r="X114">
        <v>0</v>
      </c>
      <c r="Y114">
        <v>46.39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46.39</v>
      </c>
      <c r="AF114" t="s">
        <v>1737</v>
      </c>
      <c r="AG114" t="s">
        <v>1600</v>
      </c>
      <c r="AH114">
        <v>0.7</v>
      </c>
    </row>
    <row r="115" spans="1:34" x14ac:dyDescent="0.25">
      <c r="A115" s="2">
        <v>45656</v>
      </c>
      <c r="B115" t="s">
        <v>1939</v>
      </c>
      <c r="C115" t="s">
        <v>1940</v>
      </c>
      <c r="D115">
        <v>76</v>
      </c>
      <c r="E115">
        <v>0.98809523809523814</v>
      </c>
      <c r="F115">
        <v>0</v>
      </c>
      <c r="G115">
        <v>45.87</v>
      </c>
      <c r="H115">
        <v>0.38</v>
      </c>
      <c r="I115">
        <v>45.489999999999995</v>
      </c>
      <c r="J115">
        <v>952.52</v>
      </c>
      <c r="K115">
        <v>59.5</v>
      </c>
      <c r="L115">
        <v>0</v>
      </c>
      <c r="M115" t="s">
        <v>1941</v>
      </c>
      <c r="N115">
        <v>24</v>
      </c>
      <c r="O115">
        <v>52</v>
      </c>
      <c r="P115">
        <v>44.02</v>
      </c>
      <c r="Q115">
        <v>1</v>
      </c>
      <c r="R115">
        <v>1.47</v>
      </c>
      <c r="S115">
        <v>32.96</v>
      </c>
      <c r="T115">
        <v>31.6</v>
      </c>
      <c r="U115">
        <v>1.66</v>
      </c>
      <c r="V115">
        <v>83</v>
      </c>
      <c r="W115">
        <v>0</v>
      </c>
      <c r="X115">
        <v>0</v>
      </c>
      <c r="Y115">
        <v>45.489999999999995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45.489999999999995</v>
      </c>
      <c r="AF115" t="s">
        <v>1737</v>
      </c>
      <c r="AG115" t="s">
        <v>1600</v>
      </c>
      <c r="AH115">
        <v>0.7</v>
      </c>
    </row>
    <row r="116" spans="1:34" x14ac:dyDescent="0.25">
      <c r="A116" s="2">
        <v>45663</v>
      </c>
      <c r="B116" t="s">
        <v>1956</v>
      </c>
      <c r="C116" t="s">
        <v>1957</v>
      </c>
      <c r="D116">
        <v>88</v>
      </c>
      <c r="E116">
        <v>1</v>
      </c>
      <c r="F116">
        <v>0</v>
      </c>
      <c r="G116">
        <v>51</v>
      </c>
      <c r="H116">
        <v>0.72</v>
      </c>
      <c r="I116">
        <v>50.28</v>
      </c>
      <c r="J116">
        <v>1100.3900000000001</v>
      </c>
      <c r="K116">
        <v>60</v>
      </c>
      <c r="L116">
        <v>10.53</v>
      </c>
      <c r="M116" t="s">
        <v>1958</v>
      </c>
      <c r="N116">
        <v>48</v>
      </c>
      <c r="O116">
        <v>40</v>
      </c>
      <c r="P116">
        <v>49.35</v>
      </c>
      <c r="Q116">
        <v>0</v>
      </c>
      <c r="R116">
        <v>0.93</v>
      </c>
      <c r="S116">
        <v>44.29</v>
      </c>
      <c r="T116">
        <v>42.76</v>
      </c>
      <c r="U116">
        <v>1.73</v>
      </c>
      <c r="V116">
        <v>91</v>
      </c>
      <c r="W116">
        <v>0</v>
      </c>
      <c r="X116">
        <v>0</v>
      </c>
      <c r="Y116">
        <v>50.28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50.28</v>
      </c>
      <c r="AF116" t="s">
        <v>1724</v>
      </c>
      <c r="AG116" t="s">
        <v>1600</v>
      </c>
      <c r="AH116">
        <v>0.7</v>
      </c>
    </row>
    <row r="117" spans="1:34" x14ac:dyDescent="0.25">
      <c r="A117" s="2">
        <v>45656</v>
      </c>
      <c r="B117" t="s">
        <v>1956</v>
      </c>
      <c r="C117" t="s">
        <v>1957</v>
      </c>
      <c r="D117">
        <v>87</v>
      </c>
      <c r="E117">
        <v>0.97872340425531912</v>
      </c>
      <c r="F117">
        <v>0</v>
      </c>
      <c r="G117">
        <v>46.78</v>
      </c>
      <c r="H117">
        <v>3.48</v>
      </c>
      <c r="I117">
        <v>43.300000000000004</v>
      </c>
      <c r="J117">
        <v>950.86</v>
      </c>
      <c r="K117">
        <v>47.01</v>
      </c>
      <c r="L117">
        <v>0</v>
      </c>
      <c r="M117" t="s">
        <v>1958</v>
      </c>
      <c r="N117">
        <v>38</v>
      </c>
      <c r="O117">
        <v>49</v>
      </c>
      <c r="P117">
        <v>40.71</v>
      </c>
      <c r="Q117">
        <v>0</v>
      </c>
      <c r="R117">
        <v>2.6</v>
      </c>
      <c r="S117">
        <v>32.06</v>
      </c>
      <c r="T117">
        <v>30.14</v>
      </c>
      <c r="U117">
        <v>1.86</v>
      </c>
      <c r="V117">
        <v>92</v>
      </c>
      <c r="W117">
        <v>2</v>
      </c>
      <c r="X117">
        <v>0</v>
      </c>
      <c r="Y117">
        <v>43.300000000000004</v>
      </c>
      <c r="Z117">
        <v>0</v>
      </c>
      <c r="AA117" t="s">
        <v>114</v>
      </c>
      <c r="AB117">
        <v>0</v>
      </c>
      <c r="AC117">
        <v>0.1</v>
      </c>
      <c r="AD117">
        <v>0.05</v>
      </c>
      <c r="AE117">
        <v>43.300000000000004</v>
      </c>
      <c r="AF117" t="s">
        <v>1724</v>
      </c>
      <c r="AG117" t="s">
        <v>1600</v>
      </c>
      <c r="AH117">
        <v>0.7</v>
      </c>
    </row>
    <row r="118" spans="1:34" x14ac:dyDescent="0.25">
      <c r="A118" s="2">
        <v>45663</v>
      </c>
      <c r="B118" t="s">
        <v>1942</v>
      </c>
      <c r="C118" t="s">
        <v>1943</v>
      </c>
      <c r="D118">
        <v>67</v>
      </c>
      <c r="E118">
        <v>0.93150684931506844</v>
      </c>
      <c r="F118">
        <v>2.9411764705882353E-2</v>
      </c>
      <c r="G118">
        <v>53.02</v>
      </c>
      <c r="H118">
        <v>0.05</v>
      </c>
      <c r="I118">
        <v>52.970000000000006</v>
      </c>
      <c r="J118">
        <v>706.08</v>
      </c>
      <c r="K118">
        <v>78.23</v>
      </c>
      <c r="L118">
        <v>0</v>
      </c>
      <c r="M118" t="s">
        <v>1944</v>
      </c>
      <c r="N118">
        <v>13</v>
      </c>
      <c r="O118">
        <v>54</v>
      </c>
      <c r="P118">
        <v>33.700000000000003</v>
      </c>
      <c r="Q118">
        <v>5</v>
      </c>
      <c r="R118">
        <v>19.27</v>
      </c>
      <c r="S118">
        <v>17.22</v>
      </c>
      <c r="T118">
        <v>10</v>
      </c>
      <c r="U118">
        <v>1.26</v>
      </c>
      <c r="V118">
        <v>68</v>
      </c>
      <c r="W118">
        <v>0</v>
      </c>
      <c r="X118">
        <v>2</v>
      </c>
      <c r="Y118">
        <v>0</v>
      </c>
      <c r="Z118">
        <v>0</v>
      </c>
      <c r="AA118" t="s">
        <v>115</v>
      </c>
      <c r="AB118">
        <v>52.970000000000006</v>
      </c>
      <c r="AC118">
        <v>0.1</v>
      </c>
      <c r="AD118">
        <v>0.05</v>
      </c>
      <c r="AE118">
        <v>0</v>
      </c>
      <c r="AF118" t="s">
        <v>1739</v>
      </c>
      <c r="AG118" t="s">
        <v>1742</v>
      </c>
      <c r="AH118">
        <v>0.7</v>
      </c>
    </row>
    <row r="119" spans="1:34" x14ac:dyDescent="0.25">
      <c r="A119" s="2">
        <v>45656</v>
      </c>
      <c r="B119" t="s">
        <v>1942</v>
      </c>
      <c r="C119" t="s">
        <v>1943</v>
      </c>
      <c r="D119">
        <v>66</v>
      </c>
      <c r="E119">
        <v>1</v>
      </c>
      <c r="F119">
        <v>0</v>
      </c>
      <c r="G119">
        <v>60.13</v>
      </c>
      <c r="H119">
        <v>0</v>
      </c>
      <c r="I119">
        <v>60.13</v>
      </c>
      <c r="J119">
        <v>820.71</v>
      </c>
      <c r="K119">
        <v>20.07</v>
      </c>
      <c r="L119">
        <v>0</v>
      </c>
      <c r="M119" t="s">
        <v>1944</v>
      </c>
      <c r="N119">
        <v>16</v>
      </c>
      <c r="O119">
        <v>50</v>
      </c>
      <c r="P119">
        <v>39.880000000000003</v>
      </c>
      <c r="Q119">
        <v>0</v>
      </c>
      <c r="R119">
        <v>20.239999999999998</v>
      </c>
      <c r="S119">
        <v>36.22</v>
      </c>
      <c r="T119">
        <v>25.09</v>
      </c>
      <c r="U119">
        <v>1.1000000000000001</v>
      </c>
      <c r="V119">
        <v>73</v>
      </c>
      <c r="W119">
        <v>0</v>
      </c>
      <c r="X119">
        <v>0</v>
      </c>
      <c r="Y119">
        <v>60.13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60.13</v>
      </c>
      <c r="AF119" t="s">
        <v>1739</v>
      </c>
      <c r="AG119" t="s">
        <v>1742</v>
      </c>
      <c r="AH119">
        <v>0.7</v>
      </c>
    </row>
    <row r="120" spans="1:34" x14ac:dyDescent="0.25">
      <c r="A120" s="2">
        <v>45663</v>
      </c>
      <c r="B120" t="s">
        <v>2014</v>
      </c>
      <c r="C120" t="s">
        <v>2015</v>
      </c>
      <c r="D120">
        <v>62</v>
      </c>
      <c r="E120">
        <v>1</v>
      </c>
      <c r="F120">
        <v>3.3333333333333333E-2</v>
      </c>
      <c r="G120">
        <v>52.62</v>
      </c>
      <c r="H120">
        <v>0</v>
      </c>
      <c r="I120">
        <v>52.62</v>
      </c>
      <c r="J120">
        <v>858.96</v>
      </c>
      <c r="K120">
        <v>64.47</v>
      </c>
      <c r="L120">
        <v>0</v>
      </c>
      <c r="M120" t="s">
        <v>1948</v>
      </c>
      <c r="N120">
        <v>15</v>
      </c>
      <c r="O120">
        <v>47</v>
      </c>
      <c r="P120">
        <v>37.729999999999997</v>
      </c>
      <c r="Q120">
        <v>0</v>
      </c>
      <c r="R120">
        <v>14.89</v>
      </c>
      <c r="S120">
        <v>31.02</v>
      </c>
      <c r="T120">
        <v>22.44</v>
      </c>
      <c r="U120">
        <v>1.18</v>
      </c>
      <c r="V120">
        <v>60</v>
      </c>
      <c r="W120">
        <v>0</v>
      </c>
      <c r="X120">
        <v>2</v>
      </c>
      <c r="Y120">
        <v>52.62</v>
      </c>
      <c r="Z120">
        <v>0</v>
      </c>
      <c r="AA120" t="s">
        <v>115</v>
      </c>
      <c r="AB120">
        <v>0</v>
      </c>
      <c r="AC120">
        <v>0.1</v>
      </c>
      <c r="AD120">
        <v>0.05</v>
      </c>
      <c r="AE120">
        <v>52.62</v>
      </c>
      <c r="AF120" t="s">
        <v>1682</v>
      </c>
      <c r="AG120" t="s">
        <v>1751</v>
      </c>
      <c r="AH120">
        <v>0.7</v>
      </c>
    </row>
    <row r="121" spans="1:34" x14ac:dyDescent="0.25">
      <c r="A121" s="2">
        <v>45656</v>
      </c>
      <c r="B121" t="s">
        <v>2014</v>
      </c>
      <c r="C121" t="s">
        <v>2015</v>
      </c>
      <c r="D121">
        <v>65</v>
      </c>
      <c r="E121">
        <v>1</v>
      </c>
      <c r="F121">
        <v>0</v>
      </c>
      <c r="G121">
        <v>52.31</v>
      </c>
      <c r="H121">
        <v>0.27</v>
      </c>
      <c r="I121">
        <v>52.04</v>
      </c>
      <c r="J121">
        <v>753.43</v>
      </c>
      <c r="K121">
        <v>28</v>
      </c>
      <c r="L121">
        <v>0</v>
      </c>
      <c r="M121" t="s">
        <v>1948</v>
      </c>
      <c r="N121">
        <v>30</v>
      </c>
      <c r="O121">
        <v>35</v>
      </c>
      <c r="P121">
        <v>38.36</v>
      </c>
      <c r="Q121">
        <v>0</v>
      </c>
      <c r="R121">
        <v>13.69</v>
      </c>
      <c r="S121">
        <v>46.75</v>
      </c>
      <c r="T121">
        <v>34.979999999999997</v>
      </c>
      <c r="U121">
        <v>1.24</v>
      </c>
      <c r="V121">
        <v>71</v>
      </c>
      <c r="W121">
        <v>0</v>
      </c>
      <c r="X121">
        <v>0</v>
      </c>
      <c r="Y121">
        <v>52.04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52.04</v>
      </c>
      <c r="AF121" t="s">
        <v>1682</v>
      </c>
      <c r="AG121" t="s">
        <v>1751</v>
      </c>
      <c r="AH121">
        <v>0.7</v>
      </c>
    </row>
    <row r="122" spans="1:34" x14ac:dyDescent="0.25">
      <c r="A122" s="2">
        <v>45656</v>
      </c>
      <c r="B122" t="s">
        <v>1945</v>
      </c>
      <c r="C122" t="s">
        <v>1946</v>
      </c>
      <c r="D122">
        <v>6</v>
      </c>
      <c r="E122">
        <v>0.88888888888888884</v>
      </c>
      <c r="F122">
        <v>0</v>
      </c>
      <c r="G122">
        <v>5.43</v>
      </c>
      <c r="H122">
        <v>0.05</v>
      </c>
      <c r="I122">
        <v>5.38</v>
      </c>
      <c r="J122">
        <v>64.41</v>
      </c>
      <c r="K122">
        <v>10</v>
      </c>
      <c r="L122">
        <v>0</v>
      </c>
      <c r="M122" t="s">
        <v>1947</v>
      </c>
      <c r="N122">
        <v>1</v>
      </c>
      <c r="O122">
        <v>5</v>
      </c>
      <c r="P122">
        <v>4.55</v>
      </c>
      <c r="Q122">
        <v>1</v>
      </c>
      <c r="R122">
        <v>0.83</v>
      </c>
      <c r="S122">
        <v>5.43</v>
      </c>
      <c r="T122">
        <v>4.55</v>
      </c>
      <c r="U122">
        <v>1.1000000000000001</v>
      </c>
      <c r="V122">
        <v>8</v>
      </c>
      <c r="W122">
        <v>0</v>
      </c>
      <c r="X122">
        <v>0</v>
      </c>
      <c r="Y122">
        <v>0</v>
      </c>
      <c r="Z122">
        <v>0</v>
      </c>
      <c r="AA122" t="s">
        <v>114</v>
      </c>
      <c r="AB122">
        <v>5.38</v>
      </c>
      <c r="AC122">
        <v>0.1</v>
      </c>
      <c r="AD122">
        <v>0.05</v>
      </c>
      <c r="AE122">
        <v>0</v>
      </c>
      <c r="AF122" t="s">
        <v>1605</v>
      </c>
      <c r="AG122" t="s">
        <v>1601</v>
      </c>
      <c r="AH122">
        <v>0.7</v>
      </c>
    </row>
    <row r="123" spans="1:34" x14ac:dyDescent="0.25">
      <c r="A123" s="2">
        <v>45663</v>
      </c>
      <c r="B123" t="s">
        <v>2033</v>
      </c>
      <c r="C123" t="s">
        <v>2034</v>
      </c>
      <c r="D123">
        <v>94</v>
      </c>
      <c r="E123">
        <v>1</v>
      </c>
      <c r="F123">
        <v>1.1111111111111112E-2</v>
      </c>
      <c r="G123">
        <v>60.58</v>
      </c>
      <c r="H123">
        <v>0.01</v>
      </c>
      <c r="I123">
        <v>60.57</v>
      </c>
      <c r="J123">
        <v>1094.4100000000001</v>
      </c>
      <c r="K123">
        <v>107.88</v>
      </c>
      <c r="L123">
        <v>1.65</v>
      </c>
      <c r="M123" t="s">
        <v>2035</v>
      </c>
      <c r="N123">
        <v>5</v>
      </c>
      <c r="O123">
        <v>89</v>
      </c>
      <c r="P123">
        <v>43.83</v>
      </c>
      <c r="Q123">
        <v>0</v>
      </c>
      <c r="R123">
        <v>16.75</v>
      </c>
      <c r="S123">
        <v>14.07</v>
      </c>
      <c r="T123">
        <v>9.91</v>
      </c>
      <c r="U123">
        <v>1.55</v>
      </c>
      <c r="V123">
        <v>90</v>
      </c>
      <c r="W123">
        <v>0</v>
      </c>
      <c r="X123">
        <v>1</v>
      </c>
      <c r="Y123">
        <v>60.57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60.57</v>
      </c>
      <c r="AF123" t="s">
        <v>1972</v>
      </c>
      <c r="AG123" t="s">
        <v>1601</v>
      </c>
      <c r="AH123">
        <v>0.7</v>
      </c>
    </row>
    <row r="124" spans="1:34" x14ac:dyDescent="0.25">
      <c r="A124" s="2">
        <v>45656</v>
      </c>
      <c r="B124" t="s">
        <v>2033</v>
      </c>
      <c r="C124" t="s">
        <v>2034</v>
      </c>
      <c r="D124">
        <v>58</v>
      </c>
      <c r="E124">
        <v>1</v>
      </c>
      <c r="F124">
        <v>0</v>
      </c>
      <c r="G124">
        <v>42.82</v>
      </c>
      <c r="H124">
        <v>0.44</v>
      </c>
      <c r="I124">
        <v>42.38</v>
      </c>
      <c r="J124">
        <v>672.46</v>
      </c>
      <c r="K124">
        <v>28.59</v>
      </c>
      <c r="L124">
        <v>0</v>
      </c>
      <c r="M124" t="s">
        <v>2035</v>
      </c>
      <c r="N124">
        <v>6</v>
      </c>
      <c r="O124">
        <v>52</v>
      </c>
      <c r="P124">
        <v>29.46</v>
      </c>
      <c r="Q124">
        <v>0</v>
      </c>
      <c r="R124">
        <v>12.92</v>
      </c>
      <c r="S124">
        <v>11.5</v>
      </c>
      <c r="T124">
        <v>6.78</v>
      </c>
      <c r="U124">
        <v>1.35</v>
      </c>
      <c r="V124">
        <v>58</v>
      </c>
      <c r="W124">
        <v>0</v>
      </c>
      <c r="X124">
        <v>0</v>
      </c>
      <c r="Y124">
        <v>42.38</v>
      </c>
      <c r="Z124">
        <v>0</v>
      </c>
      <c r="AA124" t="s">
        <v>114</v>
      </c>
      <c r="AB124">
        <v>0</v>
      </c>
      <c r="AC124">
        <v>0.1</v>
      </c>
      <c r="AD124">
        <v>0.05</v>
      </c>
      <c r="AE124">
        <v>42.38</v>
      </c>
      <c r="AF124" t="s">
        <v>1972</v>
      </c>
      <c r="AG124" t="s">
        <v>1601</v>
      </c>
      <c r="AH124">
        <v>0.7</v>
      </c>
    </row>
    <row r="125" spans="1:34" x14ac:dyDescent="0.25">
      <c r="A125" s="2">
        <v>45663</v>
      </c>
      <c r="B125" t="s">
        <v>1911</v>
      </c>
      <c r="C125" t="s">
        <v>1890</v>
      </c>
      <c r="D125">
        <v>66</v>
      </c>
      <c r="E125">
        <v>1</v>
      </c>
      <c r="F125">
        <v>0</v>
      </c>
      <c r="G125">
        <v>51.07</v>
      </c>
      <c r="H125">
        <v>0.01</v>
      </c>
      <c r="I125">
        <v>51.06</v>
      </c>
      <c r="J125">
        <v>695.25</v>
      </c>
      <c r="K125">
        <v>42</v>
      </c>
      <c r="L125">
        <v>0</v>
      </c>
      <c r="M125" t="s">
        <v>1949</v>
      </c>
      <c r="N125">
        <v>9</v>
      </c>
      <c r="O125">
        <v>57</v>
      </c>
      <c r="P125">
        <v>34.97</v>
      </c>
      <c r="Q125">
        <v>0</v>
      </c>
      <c r="R125">
        <v>16.09</v>
      </c>
      <c r="S125">
        <v>19.920000000000002</v>
      </c>
      <c r="T125">
        <v>14.96</v>
      </c>
      <c r="U125">
        <v>1.29</v>
      </c>
      <c r="V125">
        <v>82</v>
      </c>
      <c r="W125">
        <v>0</v>
      </c>
      <c r="X125">
        <v>0</v>
      </c>
      <c r="Y125">
        <v>51.06</v>
      </c>
      <c r="Z125">
        <v>0</v>
      </c>
      <c r="AA125" t="s">
        <v>115</v>
      </c>
      <c r="AB125">
        <v>0</v>
      </c>
      <c r="AC125">
        <v>0.1</v>
      </c>
      <c r="AD125">
        <v>0.05</v>
      </c>
      <c r="AE125">
        <v>51.06</v>
      </c>
      <c r="AF125" t="s">
        <v>1779</v>
      </c>
      <c r="AG125" t="s">
        <v>1788</v>
      </c>
      <c r="AH125">
        <v>0.7</v>
      </c>
    </row>
    <row r="126" spans="1:34" x14ac:dyDescent="0.25">
      <c r="A126" s="2">
        <v>45656</v>
      </c>
      <c r="B126" t="s">
        <v>1911</v>
      </c>
      <c r="C126" t="s">
        <v>1890</v>
      </c>
      <c r="D126">
        <v>81</v>
      </c>
      <c r="E126">
        <v>1</v>
      </c>
      <c r="F126">
        <v>1.1111111111111112E-2</v>
      </c>
      <c r="G126">
        <v>60.2</v>
      </c>
      <c r="H126">
        <v>0.01</v>
      </c>
      <c r="I126">
        <v>60.190000000000005</v>
      </c>
      <c r="J126">
        <v>874.02</v>
      </c>
      <c r="K126">
        <v>28</v>
      </c>
      <c r="L126">
        <v>0</v>
      </c>
      <c r="M126" t="s">
        <v>1949</v>
      </c>
      <c r="N126">
        <v>10</v>
      </c>
      <c r="O126">
        <v>71</v>
      </c>
      <c r="P126">
        <v>38.44</v>
      </c>
      <c r="Q126">
        <v>0</v>
      </c>
      <c r="R126">
        <v>21.76</v>
      </c>
      <c r="S126">
        <v>38.4</v>
      </c>
      <c r="T126">
        <v>25.32</v>
      </c>
      <c r="U126">
        <v>1.35</v>
      </c>
      <c r="V126">
        <v>90</v>
      </c>
      <c r="W126">
        <v>0</v>
      </c>
      <c r="X126">
        <v>1</v>
      </c>
      <c r="Y126">
        <v>60.190000000000005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60.190000000000005</v>
      </c>
      <c r="AF126" t="s">
        <v>1779</v>
      </c>
      <c r="AG126" t="s">
        <v>1788</v>
      </c>
      <c r="AH126">
        <v>0.7</v>
      </c>
    </row>
    <row r="127" spans="1:34" x14ac:dyDescent="0.25">
      <c r="A127" s="2">
        <v>45663</v>
      </c>
      <c r="B127" t="s">
        <v>1950</v>
      </c>
      <c r="C127" t="s">
        <v>1951</v>
      </c>
      <c r="D127">
        <v>40</v>
      </c>
      <c r="E127">
        <v>0.95744680851063835</v>
      </c>
      <c r="F127">
        <v>6.6666666666666666E-2</v>
      </c>
      <c r="G127">
        <v>50.11</v>
      </c>
      <c r="H127">
        <v>0.02</v>
      </c>
      <c r="I127">
        <v>50.089999999999996</v>
      </c>
      <c r="J127">
        <v>486.08</v>
      </c>
      <c r="K127">
        <v>43</v>
      </c>
      <c r="L127">
        <v>0</v>
      </c>
      <c r="M127" t="s">
        <v>1952</v>
      </c>
      <c r="N127">
        <v>21</v>
      </c>
      <c r="O127">
        <v>19</v>
      </c>
      <c r="P127">
        <v>26.27</v>
      </c>
      <c r="Q127">
        <v>2</v>
      </c>
      <c r="R127">
        <v>23.82</v>
      </c>
      <c r="S127">
        <v>38.07</v>
      </c>
      <c r="T127">
        <v>20.74</v>
      </c>
      <c r="U127">
        <v>0.8</v>
      </c>
      <c r="V127">
        <v>45</v>
      </c>
      <c r="W127">
        <v>0</v>
      </c>
      <c r="X127">
        <v>3</v>
      </c>
      <c r="Y127">
        <v>0</v>
      </c>
      <c r="Z127">
        <v>0</v>
      </c>
      <c r="AA127" t="s">
        <v>115</v>
      </c>
      <c r="AB127">
        <v>50.089999999999996</v>
      </c>
      <c r="AC127">
        <v>0.1</v>
      </c>
      <c r="AD127">
        <v>0.05</v>
      </c>
      <c r="AE127">
        <v>0</v>
      </c>
      <c r="AF127" t="s">
        <v>1741</v>
      </c>
      <c r="AG127" t="s">
        <v>1815</v>
      </c>
      <c r="AH127">
        <v>0.7</v>
      </c>
    </row>
    <row r="128" spans="1:34" x14ac:dyDescent="0.25">
      <c r="A128" s="2">
        <v>45656</v>
      </c>
      <c r="B128" t="s">
        <v>1950</v>
      </c>
      <c r="C128" t="s">
        <v>1951</v>
      </c>
      <c r="D128">
        <v>50</v>
      </c>
      <c r="E128">
        <v>1</v>
      </c>
      <c r="F128">
        <v>1.5625E-2</v>
      </c>
      <c r="G128">
        <v>50.11</v>
      </c>
      <c r="H128">
        <v>0</v>
      </c>
      <c r="I128">
        <v>50.11</v>
      </c>
      <c r="J128">
        <v>558.12</v>
      </c>
      <c r="K128">
        <v>44</v>
      </c>
      <c r="L128">
        <v>0</v>
      </c>
      <c r="M128" t="s">
        <v>1952</v>
      </c>
      <c r="N128">
        <v>10</v>
      </c>
      <c r="O128">
        <v>40</v>
      </c>
      <c r="P128">
        <v>25.69</v>
      </c>
      <c r="Q128">
        <v>0</v>
      </c>
      <c r="R128">
        <v>24.42</v>
      </c>
      <c r="S128">
        <v>37.54</v>
      </c>
      <c r="T128">
        <v>19.12</v>
      </c>
      <c r="U128">
        <v>1</v>
      </c>
      <c r="V128">
        <v>64</v>
      </c>
      <c r="W128">
        <v>0</v>
      </c>
      <c r="X128">
        <v>1</v>
      </c>
      <c r="Y128">
        <v>50.11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50.11</v>
      </c>
      <c r="AF128" t="s">
        <v>1741</v>
      </c>
      <c r="AG128" t="s">
        <v>1815</v>
      </c>
      <c r="AH128">
        <v>0.7</v>
      </c>
    </row>
    <row r="129" spans="1:34" x14ac:dyDescent="0.25">
      <c r="A129" s="2">
        <v>45663</v>
      </c>
      <c r="B129" t="s">
        <v>1953</v>
      </c>
      <c r="C129" t="s">
        <v>1954</v>
      </c>
      <c r="D129">
        <v>46</v>
      </c>
      <c r="E129">
        <v>0.96296296296296291</v>
      </c>
      <c r="F129">
        <v>7.6923076923076927E-2</v>
      </c>
      <c r="G129">
        <v>28.21</v>
      </c>
      <c r="H129">
        <v>0.2</v>
      </c>
      <c r="I129">
        <v>28.01</v>
      </c>
      <c r="J129">
        <v>425.76</v>
      </c>
      <c r="K129">
        <v>12</v>
      </c>
      <c r="L129">
        <v>0</v>
      </c>
      <c r="M129" t="s">
        <v>1955</v>
      </c>
      <c r="N129">
        <v>5</v>
      </c>
      <c r="O129">
        <v>41</v>
      </c>
      <c r="P129">
        <v>23.96</v>
      </c>
      <c r="Q129">
        <v>3</v>
      </c>
      <c r="R129">
        <v>4.05</v>
      </c>
      <c r="S129">
        <v>8.57</v>
      </c>
      <c r="T129">
        <v>6.97</v>
      </c>
      <c r="U129">
        <v>1.63</v>
      </c>
      <c r="V129">
        <v>78</v>
      </c>
      <c r="W129">
        <v>0</v>
      </c>
      <c r="X129">
        <v>6</v>
      </c>
      <c r="Y129">
        <v>0</v>
      </c>
      <c r="Z129">
        <v>0</v>
      </c>
      <c r="AA129" t="s">
        <v>115</v>
      </c>
      <c r="AB129">
        <v>28.01</v>
      </c>
      <c r="AC129">
        <v>0.1</v>
      </c>
      <c r="AD129">
        <v>0.05</v>
      </c>
      <c r="AE129">
        <v>0</v>
      </c>
      <c r="AF129" t="s">
        <v>1806</v>
      </c>
      <c r="AG129" t="s">
        <v>1599</v>
      </c>
      <c r="AH129">
        <v>0.7</v>
      </c>
    </row>
    <row r="130" spans="1:34" x14ac:dyDescent="0.25">
      <c r="A130" s="2">
        <v>45656</v>
      </c>
      <c r="B130" t="s">
        <v>1953</v>
      </c>
      <c r="C130" t="s">
        <v>1954</v>
      </c>
      <c r="D130">
        <v>6</v>
      </c>
      <c r="E130">
        <v>1</v>
      </c>
      <c r="F130">
        <v>8.3333333333333329E-2</v>
      </c>
      <c r="G130">
        <v>4.7699999999999996</v>
      </c>
      <c r="H130">
        <v>0</v>
      </c>
      <c r="I130">
        <v>4.7699999999999996</v>
      </c>
      <c r="J130">
        <v>62.32</v>
      </c>
      <c r="K130">
        <v>5</v>
      </c>
      <c r="L130">
        <v>0</v>
      </c>
      <c r="M130" t="s">
        <v>1955</v>
      </c>
      <c r="N130">
        <v>2</v>
      </c>
      <c r="O130">
        <v>4</v>
      </c>
      <c r="P130">
        <v>3.63</v>
      </c>
      <c r="Q130">
        <v>0</v>
      </c>
      <c r="R130">
        <v>1.1299999999999999</v>
      </c>
      <c r="S130">
        <v>0</v>
      </c>
      <c r="T130">
        <v>0</v>
      </c>
      <c r="U130">
        <v>1.26</v>
      </c>
      <c r="V130">
        <v>12</v>
      </c>
      <c r="W130">
        <v>0</v>
      </c>
      <c r="X130">
        <v>1</v>
      </c>
      <c r="Y130">
        <v>0</v>
      </c>
      <c r="Z130">
        <v>0</v>
      </c>
      <c r="AA130" t="s">
        <v>114</v>
      </c>
      <c r="AB130">
        <v>4.7699999999999996</v>
      </c>
      <c r="AC130">
        <v>0.1</v>
      </c>
      <c r="AD130">
        <v>0.05</v>
      </c>
      <c r="AE130">
        <v>0</v>
      </c>
      <c r="AF130" t="s">
        <v>1806</v>
      </c>
      <c r="AG130" t="s">
        <v>1599</v>
      </c>
      <c r="AH130">
        <v>0.7</v>
      </c>
    </row>
    <row r="131" spans="1:34" x14ac:dyDescent="0.25">
      <c r="A131" s="2">
        <v>45656</v>
      </c>
      <c r="B131" t="s">
        <v>2036</v>
      </c>
      <c r="C131" t="s">
        <v>2000</v>
      </c>
      <c r="D131">
        <v>100</v>
      </c>
      <c r="E131">
        <v>0.98319327731092432</v>
      </c>
      <c r="F131">
        <v>3.4188034188034191E-2</v>
      </c>
      <c r="G131">
        <v>52.68</v>
      </c>
      <c r="H131">
        <v>0.01</v>
      </c>
      <c r="I131">
        <v>52.67</v>
      </c>
      <c r="J131">
        <v>1143.24</v>
      </c>
      <c r="K131">
        <v>75.87</v>
      </c>
      <c r="L131">
        <v>0</v>
      </c>
      <c r="M131" t="s">
        <v>2037</v>
      </c>
      <c r="N131">
        <v>34</v>
      </c>
      <c r="O131">
        <v>66</v>
      </c>
      <c r="P131">
        <v>50.78</v>
      </c>
      <c r="Q131">
        <v>0</v>
      </c>
      <c r="R131">
        <v>1.89</v>
      </c>
      <c r="S131">
        <v>18.04</v>
      </c>
      <c r="T131">
        <v>17.170000000000002</v>
      </c>
      <c r="U131">
        <v>1.9</v>
      </c>
      <c r="V131">
        <v>117</v>
      </c>
      <c r="W131">
        <v>2</v>
      </c>
      <c r="X131">
        <v>4</v>
      </c>
      <c r="Y131">
        <v>52.67</v>
      </c>
      <c r="Z131">
        <v>0</v>
      </c>
      <c r="AA131" t="s">
        <v>114</v>
      </c>
      <c r="AB131">
        <v>0</v>
      </c>
      <c r="AC131">
        <v>0.1</v>
      </c>
      <c r="AD131">
        <v>0.05</v>
      </c>
      <c r="AE131">
        <v>52.67</v>
      </c>
      <c r="AF131" t="s">
        <v>2022</v>
      </c>
      <c r="AG131" t="s">
        <v>1599</v>
      </c>
      <c r="AH131">
        <v>0.7</v>
      </c>
    </row>
    <row r="132" spans="1:34" x14ac:dyDescent="0.25">
      <c r="A132" s="2">
        <v>45656</v>
      </c>
      <c r="B132" t="s">
        <v>2038</v>
      </c>
      <c r="C132" t="s">
        <v>1862</v>
      </c>
      <c r="D132">
        <v>18</v>
      </c>
      <c r="E132">
        <v>1</v>
      </c>
      <c r="F132">
        <v>0</v>
      </c>
      <c r="G132">
        <v>9.69</v>
      </c>
      <c r="H132">
        <v>0</v>
      </c>
      <c r="I132">
        <v>9.69</v>
      </c>
      <c r="J132">
        <v>220.32</v>
      </c>
      <c r="K132">
        <v>44.41</v>
      </c>
      <c r="L132">
        <v>0</v>
      </c>
      <c r="M132" t="s">
        <v>2039</v>
      </c>
      <c r="N132">
        <v>1</v>
      </c>
      <c r="O132">
        <v>17</v>
      </c>
      <c r="P132">
        <v>7.94</v>
      </c>
      <c r="Q132">
        <v>0</v>
      </c>
      <c r="R132">
        <v>1.75</v>
      </c>
      <c r="S132">
        <v>0</v>
      </c>
      <c r="T132">
        <v>0</v>
      </c>
      <c r="U132">
        <v>1.86</v>
      </c>
      <c r="V132">
        <v>19</v>
      </c>
      <c r="W132">
        <v>0</v>
      </c>
      <c r="X132">
        <v>0</v>
      </c>
      <c r="Y132">
        <v>9.69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9.69</v>
      </c>
      <c r="AF132" t="s">
        <v>2023</v>
      </c>
      <c r="AG132" t="s">
        <v>1601</v>
      </c>
      <c r="AH132">
        <v>0.7</v>
      </c>
    </row>
    <row r="133" spans="1:34" x14ac:dyDescent="0.25">
      <c r="A133" s="2">
        <v>45656</v>
      </c>
      <c r="B133" t="s">
        <v>1991</v>
      </c>
      <c r="C133" t="s">
        <v>1992</v>
      </c>
      <c r="D133">
        <v>13</v>
      </c>
      <c r="E133">
        <v>1</v>
      </c>
      <c r="F133">
        <v>6.25E-2</v>
      </c>
      <c r="G133">
        <v>7.06</v>
      </c>
      <c r="H133">
        <v>0</v>
      </c>
      <c r="I133">
        <v>7.06</v>
      </c>
      <c r="J133">
        <v>179.79</v>
      </c>
      <c r="K133">
        <v>21.2</v>
      </c>
      <c r="L133">
        <v>0</v>
      </c>
      <c r="M133" t="s">
        <v>1993</v>
      </c>
      <c r="N133">
        <v>0</v>
      </c>
      <c r="O133">
        <v>13</v>
      </c>
      <c r="P133">
        <v>6.31</v>
      </c>
      <c r="Q133">
        <v>0</v>
      </c>
      <c r="R133">
        <v>0.75</v>
      </c>
      <c r="S133">
        <v>7.04</v>
      </c>
      <c r="T133">
        <v>6.3</v>
      </c>
      <c r="U133">
        <v>1.84</v>
      </c>
      <c r="V133">
        <v>16</v>
      </c>
      <c r="W133">
        <v>0</v>
      </c>
      <c r="X133">
        <v>1</v>
      </c>
      <c r="Y133">
        <v>0</v>
      </c>
      <c r="Z133">
        <v>0</v>
      </c>
      <c r="AA133" t="s">
        <v>114</v>
      </c>
      <c r="AB133">
        <v>7.06</v>
      </c>
      <c r="AC133">
        <v>0.1</v>
      </c>
      <c r="AD133">
        <v>0.05</v>
      </c>
      <c r="AE133">
        <v>0</v>
      </c>
      <c r="AF133" t="s">
        <v>1970</v>
      </c>
      <c r="AG133" t="s">
        <v>1599</v>
      </c>
      <c r="AH133">
        <v>0.7</v>
      </c>
    </row>
    <row r="134" spans="1:34" x14ac:dyDescent="0.25">
      <c r="A134" s="2">
        <v>45663</v>
      </c>
      <c r="B134" t="s">
        <v>2043</v>
      </c>
      <c r="C134" t="s">
        <v>2044</v>
      </c>
      <c r="D134">
        <v>67</v>
      </c>
      <c r="E134">
        <v>1</v>
      </c>
      <c r="F134">
        <v>7.3170731707317069E-2</v>
      </c>
      <c r="G134">
        <v>39.020000000000003</v>
      </c>
      <c r="H134">
        <v>0</v>
      </c>
      <c r="I134">
        <v>39.020000000000003</v>
      </c>
      <c r="J134">
        <v>728.63</v>
      </c>
      <c r="K134">
        <v>43.63</v>
      </c>
      <c r="L134">
        <v>7.7</v>
      </c>
      <c r="M134" t="s">
        <v>2045</v>
      </c>
      <c r="N134">
        <v>17</v>
      </c>
      <c r="O134">
        <v>50</v>
      </c>
      <c r="P134">
        <v>31.29</v>
      </c>
      <c r="Q134">
        <v>0</v>
      </c>
      <c r="R134">
        <v>7.73</v>
      </c>
      <c r="S134">
        <v>24.2</v>
      </c>
      <c r="T134">
        <v>19.28</v>
      </c>
      <c r="U134">
        <v>1.72</v>
      </c>
      <c r="V134">
        <v>82</v>
      </c>
      <c r="W134">
        <v>0</v>
      </c>
      <c r="X134">
        <v>6</v>
      </c>
      <c r="Y134">
        <v>0</v>
      </c>
      <c r="Z134">
        <v>0</v>
      </c>
      <c r="AA134" t="s">
        <v>115</v>
      </c>
      <c r="AB134">
        <v>39.020000000000003</v>
      </c>
      <c r="AC134">
        <v>0.1</v>
      </c>
      <c r="AD134">
        <v>0.05</v>
      </c>
      <c r="AE134">
        <v>0</v>
      </c>
      <c r="AF134" t="s">
        <v>2029</v>
      </c>
      <c r="AG134" t="s">
        <v>1601</v>
      </c>
      <c r="AH134">
        <v>0.7</v>
      </c>
    </row>
    <row r="135" spans="1:34" x14ac:dyDescent="0.25">
      <c r="A135" s="2">
        <v>45656</v>
      </c>
      <c r="B135" t="s">
        <v>2043</v>
      </c>
      <c r="C135" t="s">
        <v>2044</v>
      </c>
      <c r="D135">
        <v>55</v>
      </c>
      <c r="E135">
        <v>1</v>
      </c>
      <c r="F135">
        <v>0.11267605633802817</v>
      </c>
      <c r="G135">
        <v>36.590000000000003</v>
      </c>
      <c r="H135">
        <v>1.23</v>
      </c>
      <c r="I135">
        <v>35.360000000000007</v>
      </c>
      <c r="J135">
        <v>668.93</v>
      </c>
      <c r="K135">
        <v>47.88</v>
      </c>
      <c r="L135">
        <v>0</v>
      </c>
      <c r="M135" t="s">
        <v>2045</v>
      </c>
      <c r="N135">
        <v>12</v>
      </c>
      <c r="O135">
        <v>43</v>
      </c>
      <c r="P135">
        <v>26.85</v>
      </c>
      <c r="Q135">
        <v>0</v>
      </c>
      <c r="R135">
        <v>8.51</v>
      </c>
      <c r="S135">
        <v>26.7</v>
      </c>
      <c r="T135">
        <v>18.47</v>
      </c>
      <c r="U135">
        <v>1.5</v>
      </c>
      <c r="V135">
        <v>71</v>
      </c>
      <c r="W135">
        <v>0</v>
      </c>
      <c r="X135">
        <v>8</v>
      </c>
      <c r="Y135">
        <v>0</v>
      </c>
      <c r="Z135">
        <v>0</v>
      </c>
      <c r="AA135" t="s">
        <v>114</v>
      </c>
      <c r="AB135">
        <v>35.360000000000007</v>
      </c>
      <c r="AC135">
        <v>0.1</v>
      </c>
      <c r="AD135">
        <v>0.05</v>
      </c>
      <c r="AE135">
        <v>0</v>
      </c>
      <c r="AF135" t="s">
        <v>2029</v>
      </c>
      <c r="AG135" t="s">
        <v>1601</v>
      </c>
      <c r="AH135">
        <v>0.7</v>
      </c>
    </row>
    <row r="136" spans="1:34" x14ac:dyDescent="0.25">
      <c r="A136" s="2">
        <v>45663</v>
      </c>
      <c r="B136" t="s">
        <v>2070</v>
      </c>
      <c r="C136" t="s">
        <v>1862</v>
      </c>
      <c r="D136">
        <v>101</v>
      </c>
      <c r="E136">
        <v>1</v>
      </c>
      <c r="F136">
        <v>8.4033613445378148E-3</v>
      </c>
      <c r="G136">
        <v>56.62</v>
      </c>
      <c r="H136">
        <v>0.7</v>
      </c>
      <c r="I136">
        <v>55.919999999999995</v>
      </c>
      <c r="J136">
        <v>1156.8499999999999</v>
      </c>
      <c r="K136">
        <v>50.21</v>
      </c>
      <c r="L136">
        <v>20.54</v>
      </c>
      <c r="M136" t="s">
        <v>2071</v>
      </c>
      <c r="N136">
        <v>30</v>
      </c>
      <c r="O136">
        <v>71</v>
      </c>
      <c r="P136">
        <v>53.18</v>
      </c>
      <c r="Q136">
        <v>0</v>
      </c>
      <c r="R136">
        <v>2.74</v>
      </c>
      <c r="S136">
        <v>33.979999999999997</v>
      </c>
      <c r="T136">
        <v>32.119999999999997</v>
      </c>
      <c r="U136">
        <v>1.78</v>
      </c>
      <c r="V136">
        <v>119</v>
      </c>
      <c r="W136">
        <v>0</v>
      </c>
      <c r="X136">
        <v>1</v>
      </c>
      <c r="Y136">
        <v>55.919999999999995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55.919999999999995</v>
      </c>
      <c r="AF136" t="s">
        <v>2053</v>
      </c>
      <c r="AG136" t="s">
        <v>1599</v>
      </c>
      <c r="AH136">
        <v>0.7</v>
      </c>
    </row>
    <row r="137" spans="1:34" x14ac:dyDescent="0.25">
      <c r="A137" s="2">
        <v>45656</v>
      </c>
      <c r="B137" t="s">
        <v>2070</v>
      </c>
      <c r="C137" t="s">
        <v>1862</v>
      </c>
      <c r="D137">
        <v>93</v>
      </c>
      <c r="E137">
        <v>1</v>
      </c>
      <c r="F137">
        <v>1.9047619047619049E-2</v>
      </c>
      <c r="G137">
        <v>47.18</v>
      </c>
      <c r="H137">
        <v>0</v>
      </c>
      <c r="I137">
        <v>47.18</v>
      </c>
      <c r="J137">
        <v>1035.96</v>
      </c>
      <c r="K137">
        <v>68</v>
      </c>
      <c r="L137">
        <v>0</v>
      </c>
      <c r="M137" t="s">
        <v>2071</v>
      </c>
      <c r="N137">
        <v>23</v>
      </c>
      <c r="O137">
        <v>70</v>
      </c>
      <c r="P137">
        <v>45.65</v>
      </c>
      <c r="Q137">
        <v>0</v>
      </c>
      <c r="R137">
        <v>1.53</v>
      </c>
      <c r="S137">
        <v>26.39</v>
      </c>
      <c r="T137">
        <v>25.91</v>
      </c>
      <c r="U137">
        <v>1.97</v>
      </c>
      <c r="V137">
        <v>105</v>
      </c>
      <c r="W137">
        <v>0</v>
      </c>
      <c r="X137">
        <v>2</v>
      </c>
      <c r="Y137">
        <v>47.18</v>
      </c>
      <c r="Z137">
        <v>0</v>
      </c>
      <c r="AA137" t="s">
        <v>114</v>
      </c>
      <c r="AB137">
        <v>0</v>
      </c>
      <c r="AC137">
        <v>0.1</v>
      </c>
      <c r="AD137">
        <v>0.05</v>
      </c>
      <c r="AE137">
        <v>47.18</v>
      </c>
      <c r="AF137" t="s">
        <v>2053</v>
      </c>
      <c r="AG137" t="s">
        <v>1599</v>
      </c>
      <c r="AH137">
        <v>0.7</v>
      </c>
    </row>
    <row r="138" spans="1:34" x14ac:dyDescent="0.25">
      <c r="A138" s="2">
        <v>45656</v>
      </c>
      <c r="B138" t="s">
        <v>2072</v>
      </c>
      <c r="C138" t="s">
        <v>2073</v>
      </c>
      <c r="D138">
        <v>26</v>
      </c>
      <c r="E138">
        <v>0.38095238095238093</v>
      </c>
      <c r="F138">
        <v>4.1666666666666664E-2</v>
      </c>
      <c r="G138">
        <v>29.73</v>
      </c>
      <c r="H138">
        <v>0.45</v>
      </c>
      <c r="I138">
        <v>29.28</v>
      </c>
      <c r="J138">
        <v>344.34</v>
      </c>
      <c r="K138">
        <v>39.020000000000003</v>
      </c>
      <c r="L138">
        <v>0</v>
      </c>
      <c r="M138" t="s">
        <v>2074</v>
      </c>
      <c r="N138">
        <v>5</v>
      </c>
      <c r="O138">
        <v>21</v>
      </c>
      <c r="P138">
        <v>12.16</v>
      </c>
      <c r="Q138">
        <v>39</v>
      </c>
      <c r="R138">
        <v>17.12</v>
      </c>
      <c r="S138">
        <v>11.78</v>
      </c>
      <c r="T138">
        <v>4.63</v>
      </c>
      <c r="U138">
        <v>0.87</v>
      </c>
      <c r="V138">
        <v>24</v>
      </c>
      <c r="W138">
        <v>0</v>
      </c>
      <c r="X138">
        <v>1</v>
      </c>
      <c r="Y138">
        <v>0</v>
      </c>
      <c r="Z138">
        <v>0</v>
      </c>
      <c r="AA138" t="s">
        <v>114</v>
      </c>
      <c r="AB138">
        <v>29.28</v>
      </c>
      <c r="AC138">
        <v>0.1</v>
      </c>
      <c r="AD138">
        <v>0.05</v>
      </c>
      <c r="AE138">
        <v>0</v>
      </c>
      <c r="AF138" t="s">
        <v>2054</v>
      </c>
      <c r="AG138" t="s">
        <v>1670</v>
      </c>
      <c r="AH138">
        <v>0.7</v>
      </c>
    </row>
    <row r="139" spans="1:34" x14ac:dyDescent="0.25">
      <c r="A139" s="2">
        <v>45663</v>
      </c>
      <c r="B139" t="s">
        <v>1881</v>
      </c>
      <c r="C139" t="s">
        <v>2075</v>
      </c>
      <c r="D139">
        <v>84</v>
      </c>
      <c r="E139">
        <v>1</v>
      </c>
      <c r="F139">
        <v>5.9405940594059403E-2</v>
      </c>
      <c r="G139">
        <v>52.74</v>
      </c>
      <c r="H139">
        <v>0.26</v>
      </c>
      <c r="I139">
        <v>52.480000000000004</v>
      </c>
      <c r="J139">
        <v>933.61</v>
      </c>
      <c r="K139">
        <v>42.98</v>
      </c>
      <c r="L139">
        <v>10.53</v>
      </c>
      <c r="M139" t="s">
        <v>2076</v>
      </c>
      <c r="N139">
        <v>20</v>
      </c>
      <c r="O139">
        <v>64</v>
      </c>
      <c r="P139">
        <v>42.57</v>
      </c>
      <c r="Q139">
        <v>0</v>
      </c>
      <c r="R139">
        <v>9.91</v>
      </c>
      <c r="S139">
        <v>27.38</v>
      </c>
      <c r="T139">
        <v>21.7</v>
      </c>
      <c r="U139">
        <v>1.59</v>
      </c>
      <c r="V139">
        <v>101</v>
      </c>
      <c r="W139">
        <v>0</v>
      </c>
      <c r="X139">
        <v>6</v>
      </c>
      <c r="Y139">
        <v>0</v>
      </c>
      <c r="Z139">
        <v>0</v>
      </c>
      <c r="AA139" t="s">
        <v>115</v>
      </c>
      <c r="AB139">
        <v>52.480000000000004</v>
      </c>
      <c r="AC139">
        <v>0.1</v>
      </c>
      <c r="AD139">
        <v>0.05</v>
      </c>
      <c r="AE139">
        <v>0</v>
      </c>
      <c r="AF139" t="s">
        <v>2055</v>
      </c>
      <c r="AG139" t="s">
        <v>1814</v>
      </c>
      <c r="AH139">
        <v>0.7</v>
      </c>
    </row>
    <row r="140" spans="1:34" x14ac:dyDescent="0.25">
      <c r="A140" s="2">
        <v>45656</v>
      </c>
      <c r="B140" t="s">
        <v>1881</v>
      </c>
      <c r="C140" t="s">
        <v>2075</v>
      </c>
      <c r="D140">
        <v>73</v>
      </c>
      <c r="E140">
        <v>1</v>
      </c>
      <c r="F140">
        <v>3.4090909090909088E-2</v>
      </c>
      <c r="G140">
        <v>54.85</v>
      </c>
      <c r="H140">
        <v>0</v>
      </c>
      <c r="I140">
        <v>54.85</v>
      </c>
      <c r="J140">
        <v>998.16</v>
      </c>
      <c r="K140">
        <v>39.520000000000003</v>
      </c>
      <c r="L140">
        <v>0</v>
      </c>
      <c r="M140" t="s">
        <v>2076</v>
      </c>
      <c r="N140">
        <v>24</v>
      </c>
      <c r="O140">
        <v>49</v>
      </c>
      <c r="P140">
        <v>45.67</v>
      </c>
      <c r="Q140">
        <v>0</v>
      </c>
      <c r="R140">
        <v>9.18</v>
      </c>
      <c r="S140">
        <v>37.89</v>
      </c>
      <c r="T140">
        <v>31.37</v>
      </c>
      <c r="U140">
        <v>1.33</v>
      </c>
      <c r="V140">
        <v>88</v>
      </c>
      <c r="W140">
        <v>0</v>
      </c>
      <c r="X140">
        <v>3</v>
      </c>
      <c r="Y140">
        <v>54.85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54.85</v>
      </c>
      <c r="AF140" t="s">
        <v>2055</v>
      </c>
      <c r="AG140" t="s">
        <v>1814</v>
      </c>
      <c r="AH140">
        <v>0.7</v>
      </c>
    </row>
    <row r="141" spans="1:34" x14ac:dyDescent="0.25">
      <c r="A141" s="2">
        <v>45663</v>
      </c>
      <c r="B141" t="s">
        <v>2077</v>
      </c>
      <c r="C141" t="s">
        <v>2078</v>
      </c>
      <c r="D141">
        <v>1</v>
      </c>
      <c r="E141">
        <v>0.33333333333333331</v>
      </c>
      <c r="F141">
        <v>0</v>
      </c>
      <c r="G141">
        <v>2.0299999999999998</v>
      </c>
      <c r="H141">
        <v>0</v>
      </c>
      <c r="I141">
        <v>2.0299999999999998</v>
      </c>
      <c r="J141">
        <v>12.41</v>
      </c>
      <c r="K141">
        <v>0</v>
      </c>
      <c r="L141">
        <v>0</v>
      </c>
      <c r="M141" t="s">
        <v>2079</v>
      </c>
      <c r="N141">
        <v>1</v>
      </c>
      <c r="O141">
        <v>0</v>
      </c>
      <c r="P141">
        <v>0.79</v>
      </c>
      <c r="Q141">
        <v>2</v>
      </c>
      <c r="R141">
        <v>1.24</v>
      </c>
      <c r="S141">
        <v>1.71</v>
      </c>
      <c r="T141">
        <v>0.48</v>
      </c>
      <c r="U141">
        <v>0.49</v>
      </c>
      <c r="V141">
        <v>1</v>
      </c>
      <c r="W141">
        <v>0</v>
      </c>
      <c r="X141">
        <v>0</v>
      </c>
      <c r="Y141">
        <v>0</v>
      </c>
      <c r="Z141">
        <v>0</v>
      </c>
      <c r="AA141" t="s">
        <v>115</v>
      </c>
      <c r="AB141">
        <v>2.0299999999999998</v>
      </c>
      <c r="AC141">
        <v>0.1</v>
      </c>
      <c r="AD141">
        <v>0.05</v>
      </c>
      <c r="AE141">
        <v>0</v>
      </c>
      <c r="AF141" t="s">
        <v>2057</v>
      </c>
      <c r="AG141" t="s">
        <v>1814</v>
      </c>
      <c r="AH141">
        <v>0.7</v>
      </c>
    </row>
    <row r="142" spans="1:34" x14ac:dyDescent="0.25">
      <c r="A142" s="2">
        <v>45663</v>
      </c>
      <c r="B142" t="s">
        <v>2080</v>
      </c>
      <c r="C142" t="s">
        <v>2081</v>
      </c>
      <c r="D142">
        <v>58</v>
      </c>
      <c r="E142">
        <v>1</v>
      </c>
      <c r="F142">
        <v>4.2857142857142858E-2</v>
      </c>
      <c r="G142">
        <v>36.090000000000003</v>
      </c>
      <c r="H142">
        <v>0</v>
      </c>
      <c r="I142">
        <v>36.090000000000003</v>
      </c>
      <c r="J142">
        <v>627.01</v>
      </c>
      <c r="K142">
        <v>26</v>
      </c>
      <c r="L142">
        <v>3.3</v>
      </c>
      <c r="M142" t="s">
        <v>2082</v>
      </c>
      <c r="N142">
        <v>40</v>
      </c>
      <c r="O142">
        <v>18</v>
      </c>
      <c r="P142">
        <v>35.979999999999997</v>
      </c>
      <c r="Q142">
        <v>0</v>
      </c>
      <c r="R142">
        <v>0.11</v>
      </c>
      <c r="S142">
        <v>34.06</v>
      </c>
      <c r="T142">
        <v>33.97</v>
      </c>
      <c r="U142">
        <v>1.61</v>
      </c>
      <c r="V142">
        <v>70</v>
      </c>
      <c r="W142">
        <v>0</v>
      </c>
      <c r="X142">
        <v>3</v>
      </c>
      <c r="Y142">
        <v>0</v>
      </c>
      <c r="Z142">
        <v>0</v>
      </c>
      <c r="AA142" t="s">
        <v>115</v>
      </c>
      <c r="AB142">
        <v>36.090000000000003</v>
      </c>
      <c r="AC142">
        <v>0.1</v>
      </c>
      <c r="AD142">
        <v>0.05</v>
      </c>
      <c r="AE142">
        <v>0</v>
      </c>
      <c r="AF142" t="s">
        <v>2059</v>
      </c>
      <c r="AG142" t="s">
        <v>1600</v>
      </c>
      <c r="AH142">
        <v>0.7</v>
      </c>
    </row>
    <row r="143" spans="1:34" x14ac:dyDescent="0.25">
      <c r="A143" s="2">
        <v>45656</v>
      </c>
      <c r="B143" t="s">
        <v>2080</v>
      </c>
      <c r="C143" t="s">
        <v>2081</v>
      </c>
      <c r="D143">
        <v>78</v>
      </c>
      <c r="E143">
        <v>0.97777777777777775</v>
      </c>
      <c r="F143">
        <v>3.4090909090909088E-2</v>
      </c>
      <c r="G143">
        <v>46.41</v>
      </c>
      <c r="H143">
        <v>0.21</v>
      </c>
      <c r="I143">
        <v>46.199999999999996</v>
      </c>
      <c r="J143">
        <v>1019.86</v>
      </c>
      <c r="K143">
        <v>76.349999999999994</v>
      </c>
      <c r="L143">
        <v>0</v>
      </c>
      <c r="M143" t="s">
        <v>2082</v>
      </c>
      <c r="N143">
        <v>27</v>
      </c>
      <c r="O143">
        <v>51</v>
      </c>
      <c r="P143">
        <v>44.76</v>
      </c>
      <c r="Q143">
        <v>2</v>
      </c>
      <c r="R143">
        <v>1.45</v>
      </c>
      <c r="S143">
        <v>35.5</v>
      </c>
      <c r="T143">
        <v>34.56</v>
      </c>
      <c r="U143">
        <v>1.68</v>
      </c>
      <c r="V143">
        <v>88</v>
      </c>
      <c r="W143">
        <v>0</v>
      </c>
      <c r="X143">
        <v>3</v>
      </c>
      <c r="Y143">
        <v>46.199999999999996</v>
      </c>
      <c r="Z143">
        <v>0</v>
      </c>
      <c r="AA143" t="s">
        <v>114</v>
      </c>
      <c r="AB143">
        <v>0</v>
      </c>
      <c r="AC143">
        <v>0.1</v>
      </c>
      <c r="AD143">
        <v>0.05</v>
      </c>
      <c r="AE143">
        <v>46.199999999999996</v>
      </c>
      <c r="AF143" t="s">
        <v>2059</v>
      </c>
      <c r="AG143" t="s">
        <v>1600</v>
      </c>
      <c r="AH143">
        <v>0.7</v>
      </c>
    </row>
    <row r="144" spans="1:34" x14ac:dyDescent="0.25">
      <c r="A144" s="2">
        <v>45663</v>
      </c>
      <c r="B144" t="s">
        <v>2083</v>
      </c>
      <c r="C144" t="s">
        <v>2084</v>
      </c>
      <c r="D144">
        <v>17</v>
      </c>
      <c r="E144">
        <v>1</v>
      </c>
      <c r="F144">
        <v>0.19047619047619047</v>
      </c>
      <c r="G144">
        <v>9.99</v>
      </c>
      <c r="H144">
        <v>0.14000000000000001</v>
      </c>
      <c r="I144">
        <v>9.85</v>
      </c>
      <c r="J144">
        <v>171.48</v>
      </c>
      <c r="K144">
        <v>18</v>
      </c>
      <c r="L144">
        <v>6</v>
      </c>
      <c r="M144" t="s">
        <v>2085</v>
      </c>
      <c r="N144">
        <v>10</v>
      </c>
      <c r="O144">
        <v>7</v>
      </c>
      <c r="P144">
        <v>9.76</v>
      </c>
      <c r="Q144">
        <v>0</v>
      </c>
      <c r="R144">
        <v>0.09</v>
      </c>
      <c r="S144">
        <v>9.99</v>
      </c>
      <c r="T144">
        <v>9.76</v>
      </c>
      <c r="U144">
        <v>1.7</v>
      </c>
      <c r="V144">
        <v>21</v>
      </c>
      <c r="W144">
        <v>0</v>
      </c>
      <c r="X144">
        <v>4</v>
      </c>
      <c r="Y144">
        <v>0</v>
      </c>
      <c r="Z144">
        <v>0</v>
      </c>
      <c r="AA144" t="s">
        <v>115</v>
      </c>
      <c r="AB144">
        <v>9.85</v>
      </c>
      <c r="AC144">
        <v>0.1</v>
      </c>
      <c r="AD144">
        <v>0.05</v>
      </c>
      <c r="AE144">
        <v>0</v>
      </c>
      <c r="AF144" t="s">
        <v>2062</v>
      </c>
      <c r="AG144" t="s">
        <v>1599</v>
      </c>
      <c r="AH144">
        <v>0.7</v>
      </c>
    </row>
    <row r="145" spans="1:34" x14ac:dyDescent="0.25">
      <c r="A145" s="2">
        <v>45656</v>
      </c>
      <c r="B145" t="s">
        <v>2083</v>
      </c>
      <c r="C145" t="s">
        <v>2084</v>
      </c>
      <c r="D145">
        <v>36</v>
      </c>
      <c r="E145">
        <v>1</v>
      </c>
      <c r="F145">
        <v>0.17777777777777778</v>
      </c>
      <c r="G145">
        <v>15.88</v>
      </c>
      <c r="H145">
        <v>0</v>
      </c>
      <c r="I145">
        <v>15.88</v>
      </c>
      <c r="J145">
        <v>309.33999999999997</v>
      </c>
      <c r="K145">
        <v>22</v>
      </c>
      <c r="L145">
        <v>0</v>
      </c>
      <c r="M145" t="s">
        <v>2085</v>
      </c>
      <c r="N145">
        <v>14</v>
      </c>
      <c r="O145">
        <v>22</v>
      </c>
      <c r="P145">
        <v>15.62</v>
      </c>
      <c r="Q145">
        <v>0</v>
      </c>
      <c r="R145">
        <v>0.26</v>
      </c>
      <c r="S145">
        <v>15.88</v>
      </c>
      <c r="T145">
        <v>15.62</v>
      </c>
      <c r="U145">
        <v>2.27</v>
      </c>
      <c r="V145">
        <v>45</v>
      </c>
      <c r="W145">
        <v>0</v>
      </c>
      <c r="X145">
        <v>8</v>
      </c>
      <c r="Y145">
        <v>0</v>
      </c>
      <c r="Z145">
        <v>0</v>
      </c>
      <c r="AA145" t="s">
        <v>114</v>
      </c>
      <c r="AB145">
        <v>15.88</v>
      </c>
      <c r="AC145">
        <v>0.1</v>
      </c>
      <c r="AD145">
        <v>0.05</v>
      </c>
      <c r="AE145">
        <v>0</v>
      </c>
      <c r="AF145" t="s">
        <v>2062</v>
      </c>
      <c r="AG145" t="s">
        <v>1599</v>
      </c>
      <c r="AH145">
        <v>0.7</v>
      </c>
    </row>
    <row r="146" spans="1:34" x14ac:dyDescent="0.25">
      <c r="A146" s="2">
        <v>45663</v>
      </c>
      <c r="B146" t="s">
        <v>2086</v>
      </c>
      <c r="C146" t="s">
        <v>1846</v>
      </c>
      <c r="D146">
        <v>137</v>
      </c>
      <c r="E146">
        <v>1</v>
      </c>
      <c r="F146">
        <v>1.8292682926829267E-2</v>
      </c>
      <c r="G146">
        <v>63.66</v>
      </c>
      <c r="H146">
        <v>0</v>
      </c>
      <c r="I146">
        <v>63.66</v>
      </c>
      <c r="J146">
        <v>1379.77</v>
      </c>
      <c r="K146">
        <v>69.989999999999995</v>
      </c>
      <c r="L146">
        <v>12</v>
      </c>
      <c r="M146" t="s">
        <v>2087</v>
      </c>
      <c r="N146">
        <v>6</v>
      </c>
      <c r="O146">
        <v>131</v>
      </c>
      <c r="P146">
        <v>57.78</v>
      </c>
      <c r="Q146">
        <v>0</v>
      </c>
      <c r="R146">
        <v>5.88</v>
      </c>
      <c r="S146">
        <v>10.56</v>
      </c>
      <c r="T146">
        <v>8.57</v>
      </c>
      <c r="U146">
        <v>2.15</v>
      </c>
      <c r="V146">
        <v>164</v>
      </c>
      <c r="W146">
        <v>0</v>
      </c>
      <c r="X146">
        <v>3</v>
      </c>
      <c r="Y146">
        <v>63.66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63.66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45656</v>
      </c>
      <c r="B147" t="s">
        <v>2086</v>
      </c>
      <c r="C147" t="s">
        <v>1846</v>
      </c>
      <c r="D147">
        <v>123</v>
      </c>
      <c r="E147">
        <v>0.99305555555555558</v>
      </c>
      <c r="F147">
        <v>0</v>
      </c>
      <c r="G147">
        <v>63.35</v>
      </c>
      <c r="H147">
        <v>0.03</v>
      </c>
      <c r="I147">
        <v>63.32</v>
      </c>
      <c r="J147">
        <v>1363.09</v>
      </c>
      <c r="K147">
        <v>75.22</v>
      </c>
      <c r="L147">
        <v>0</v>
      </c>
      <c r="M147" t="s">
        <v>2087</v>
      </c>
      <c r="N147">
        <v>14</v>
      </c>
      <c r="O147">
        <v>109</v>
      </c>
      <c r="P147">
        <v>55.52</v>
      </c>
      <c r="Q147">
        <v>0</v>
      </c>
      <c r="R147">
        <v>7.79</v>
      </c>
      <c r="S147">
        <v>10.44</v>
      </c>
      <c r="T147">
        <v>7.37</v>
      </c>
      <c r="U147">
        <v>1.94</v>
      </c>
      <c r="V147">
        <v>143</v>
      </c>
      <c r="W147">
        <v>1</v>
      </c>
      <c r="X147">
        <v>0</v>
      </c>
      <c r="Y147">
        <v>63.32</v>
      </c>
      <c r="Z147">
        <v>0</v>
      </c>
      <c r="AA147" t="s">
        <v>114</v>
      </c>
      <c r="AB147">
        <v>0</v>
      </c>
      <c r="AC147">
        <v>0.1</v>
      </c>
      <c r="AD147">
        <v>0.05</v>
      </c>
      <c r="AE147">
        <v>63.32</v>
      </c>
      <c r="AF147" t="s">
        <v>2063</v>
      </c>
      <c r="AG147" t="s">
        <v>1599</v>
      </c>
      <c r="AH147">
        <v>0.7</v>
      </c>
    </row>
    <row r="148" spans="1:34" x14ac:dyDescent="0.25">
      <c r="A148" s="2">
        <v>45663</v>
      </c>
      <c r="B148" t="s">
        <v>2088</v>
      </c>
      <c r="C148" t="s">
        <v>2089</v>
      </c>
      <c r="D148">
        <v>35</v>
      </c>
      <c r="E148">
        <v>0.89130434782608692</v>
      </c>
      <c r="F148">
        <v>4.878048780487805E-2</v>
      </c>
      <c r="G148">
        <v>26.04</v>
      </c>
      <c r="H148">
        <v>0</v>
      </c>
      <c r="I148">
        <v>26.04</v>
      </c>
      <c r="J148">
        <v>400.25</v>
      </c>
      <c r="K148">
        <v>30</v>
      </c>
      <c r="L148">
        <v>1.51</v>
      </c>
      <c r="M148" t="s">
        <v>2090</v>
      </c>
      <c r="N148">
        <v>1</v>
      </c>
      <c r="O148">
        <v>34</v>
      </c>
      <c r="P148">
        <v>16.28</v>
      </c>
      <c r="Q148">
        <v>0</v>
      </c>
      <c r="R148">
        <v>9.75</v>
      </c>
      <c r="S148">
        <v>0.47</v>
      </c>
      <c r="T148">
        <v>0.01</v>
      </c>
      <c r="U148">
        <v>1.34</v>
      </c>
      <c r="V148">
        <v>41</v>
      </c>
      <c r="W148">
        <v>5</v>
      </c>
      <c r="X148">
        <v>2</v>
      </c>
      <c r="Y148">
        <v>0</v>
      </c>
      <c r="Z148">
        <v>0</v>
      </c>
      <c r="AA148" t="s">
        <v>115</v>
      </c>
      <c r="AB148">
        <v>26.04</v>
      </c>
      <c r="AC148">
        <v>0.1</v>
      </c>
      <c r="AD148">
        <v>0.05</v>
      </c>
      <c r="AE148">
        <v>0</v>
      </c>
      <c r="AF148" t="s">
        <v>2064</v>
      </c>
      <c r="AG148" t="s">
        <v>1746</v>
      </c>
      <c r="AH148">
        <v>0.7</v>
      </c>
    </row>
    <row r="149" spans="1:34" x14ac:dyDescent="0.25">
      <c r="A149" s="2">
        <v>45656</v>
      </c>
      <c r="B149" t="s">
        <v>2088</v>
      </c>
      <c r="C149" t="s">
        <v>2089</v>
      </c>
      <c r="D149">
        <v>16</v>
      </c>
      <c r="E149">
        <v>0.95238095238095233</v>
      </c>
      <c r="F149">
        <v>0.05</v>
      </c>
      <c r="G149">
        <v>12.23</v>
      </c>
      <c r="H149">
        <v>0</v>
      </c>
      <c r="I149">
        <v>12.23</v>
      </c>
      <c r="J149">
        <v>202.72</v>
      </c>
      <c r="K149">
        <v>0</v>
      </c>
      <c r="L149">
        <v>0</v>
      </c>
      <c r="M149" t="s">
        <v>2090</v>
      </c>
      <c r="N149">
        <v>1</v>
      </c>
      <c r="O149">
        <v>15</v>
      </c>
      <c r="P149">
        <v>7.75</v>
      </c>
      <c r="Q149">
        <v>0</v>
      </c>
      <c r="R149">
        <v>4.47</v>
      </c>
      <c r="S149">
        <v>1.17</v>
      </c>
      <c r="T149">
        <v>0.61</v>
      </c>
      <c r="U149">
        <v>1.31</v>
      </c>
      <c r="V149">
        <v>20</v>
      </c>
      <c r="W149">
        <v>1</v>
      </c>
      <c r="X149">
        <v>1</v>
      </c>
      <c r="Y149">
        <v>0</v>
      </c>
      <c r="Z149">
        <v>0</v>
      </c>
      <c r="AA149" t="s">
        <v>114</v>
      </c>
      <c r="AB149">
        <v>12.23</v>
      </c>
      <c r="AC149">
        <v>0.1</v>
      </c>
      <c r="AD149">
        <v>0.05</v>
      </c>
      <c r="AE149">
        <v>0</v>
      </c>
      <c r="AF149" t="s">
        <v>2064</v>
      </c>
      <c r="AG149" t="s">
        <v>1746</v>
      </c>
      <c r="AH149">
        <v>0.7</v>
      </c>
    </row>
    <row r="150" spans="1:34" x14ac:dyDescent="0.25">
      <c r="A150" s="2">
        <v>45663</v>
      </c>
      <c r="B150" t="s">
        <v>2091</v>
      </c>
      <c r="C150" t="s">
        <v>2092</v>
      </c>
      <c r="D150">
        <v>15</v>
      </c>
      <c r="E150">
        <v>1</v>
      </c>
      <c r="F150">
        <v>0</v>
      </c>
      <c r="G150">
        <v>9.44</v>
      </c>
      <c r="H150">
        <v>0</v>
      </c>
      <c r="I150">
        <v>9.44</v>
      </c>
      <c r="J150">
        <v>182.12</v>
      </c>
      <c r="K150">
        <v>22</v>
      </c>
      <c r="L150">
        <v>0</v>
      </c>
      <c r="M150" t="s">
        <v>2093</v>
      </c>
      <c r="N150">
        <v>4</v>
      </c>
      <c r="O150">
        <v>11</v>
      </c>
      <c r="P150">
        <v>9.07</v>
      </c>
      <c r="Q150">
        <v>0</v>
      </c>
      <c r="R150">
        <v>0.38</v>
      </c>
      <c r="S150">
        <v>0</v>
      </c>
      <c r="T150">
        <v>0</v>
      </c>
      <c r="U150">
        <v>1.59</v>
      </c>
      <c r="V150">
        <v>16</v>
      </c>
      <c r="W150">
        <v>0</v>
      </c>
      <c r="X150">
        <v>0</v>
      </c>
      <c r="Y150">
        <v>9.44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9.44</v>
      </c>
      <c r="AF150" t="s">
        <v>2065</v>
      </c>
      <c r="AG150" t="s">
        <v>1601</v>
      </c>
      <c r="AH150">
        <v>0.7</v>
      </c>
    </row>
    <row r="151" spans="1:34" x14ac:dyDescent="0.25">
      <c r="A151" s="2">
        <v>45656</v>
      </c>
      <c r="B151" t="s">
        <v>2091</v>
      </c>
      <c r="C151" t="s">
        <v>2092</v>
      </c>
      <c r="D151">
        <v>35</v>
      </c>
      <c r="E151">
        <v>1</v>
      </c>
      <c r="F151">
        <v>2.564102564102564E-2</v>
      </c>
      <c r="G151">
        <v>16.27</v>
      </c>
      <c r="H151">
        <v>0</v>
      </c>
      <c r="I151">
        <v>16.27</v>
      </c>
      <c r="J151">
        <v>379.76</v>
      </c>
      <c r="K151">
        <v>14</v>
      </c>
      <c r="L151">
        <v>0</v>
      </c>
      <c r="M151" t="s">
        <v>2093</v>
      </c>
      <c r="N151">
        <v>5</v>
      </c>
      <c r="O151">
        <v>30</v>
      </c>
      <c r="P151">
        <v>15.08</v>
      </c>
      <c r="Q151">
        <v>0</v>
      </c>
      <c r="R151">
        <v>1.19</v>
      </c>
      <c r="S151">
        <v>1.97</v>
      </c>
      <c r="T151">
        <v>1.66</v>
      </c>
      <c r="U151">
        <v>2.15</v>
      </c>
      <c r="V151">
        <v>39</v>
      </c>
      <c r="W151">
        <v>0</v>
      </c>
      <c r="X151">
        <v>1</v>
      </c>
      <c r="Y151">
        <v>16.27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16.27</v>
      </c>
      <c r="AF151" t="s">
        <v>2065</v>
      </c>
      <c r="AG151" t="s">
        <v>1601</v>
      </c>
      <c r="AH151">
        <v>0.7</v>
      </c>
    </row>
    <row r="152" spans="1:34" x14ac:dyDescent="0.25">
      <c r="A152" s="2">
        <v>45663</v>
      </c>
      <c r="B152" t="s">
        <v>2094</v>
      </c>
      <c r="C152" t="s">
        <v>2095</v>
      </c>
      <c r="D152">
        <v>80</v>
      </c>
      <c r="E152">
        <v>0.98913043478260865</v>
      </c>
      <c r="F152">
        <v>5.4945054945054944E-2</v>
      </c>
      <c r="G152">
        <v>51.76</v>
      </c>
      <c r="H152">
        <v>0</v>
      </c>
      <c r="I152">
        <v>51.76</v>
      </c>
      <c r="J152">
        <v>805.69</v>
      </c>
      <c r="K152">
        <v>78.510000000000005</v>
      </c>
      <c r="L152">
        <v>0</v>
      </c>
      <c r="M152" t="s">
        <v>2096</v>
      </c>
      <c r="N152">
        <v>12</v>
      </c>
      <c r="O152">
        <v>68</v>
      </c>
      <c r="P152">
        <v>37.06</v>
      </c>
      <c r="Q152">
        <v>0</v>
      </c>
      <c r="R152">
        <v>14.69</v>
      </c>
      <c r="S152">
        <v>23.96</v>
      </c>
      <c r="T152">
        <v>18.23</v>
      </c>
      <c r="U152">
        <v>1.55</v>
      </c>
      <c r="V152">
        <v>91</v>
      </c>
      <c r="W152">
        <v>1</v>
      </c>
      <c r="X152">
        <v>5</v>
      </c>
      <c r="Y152">
        <v>0</v>
      </c>
      <c r="Z152">
        <v>0</v>
      </c>
      <c r="AA152" t="s">
        <v>115</v>
      </c>
      <c r="AB152">
        <v>51.76</v>
      </c>
      <c r="AC152">
        <v>0.1</v>
      </c>
      <c r="AD152">
        <v>0.05</v>
      </c>
      <c r="AE152">
        <v>0</v>
      </c>
      <c r="AF152" t="s">
        <v>2066</v>
      </c>
      <c r="AG152" t="s">
        <v>1787</v>
      </c>
      <c r="AH152">
        <v>0.7</v>
      </c>
    </row>
    <row r="153" spans="1:34" x14ac:dyDescent="0.25">
      <c r="A153" s="2">
        <v>45656</v>
      </c>
      <c r="B153" t="s">
        <v>2094</v>
      </c>
      <c r="C153" t="s">
        <v>2095</v>
      </c>
      <c r="D153">
        <v>87</v>
      </c>
      <c r="E153">
        <v>0.98947368421052628</v>
      </c>
      <c r="F153">
        <v>3.1914893617021274E-2</v>
      </c>
      <c r="G153">
        <v>52.41</v>
      </c>
      <c r="H153">
        <v>0.01</v>
      </c>
      <c r="I153">
        <v>52.4</v>
      </c>
      <c r="J153">
        <v>967.54</v>
      </c>
      <c r="K153">
        <v>53.36</v>
      </c>
      <c r="L153">
        <v>0</v>
      </c>
      <c r="M153" t="s">
        <v>2096</v>
      </c>
      <c r="N153">
        <v>22</v>
      </c>
      <c r="O153">
        <v>65</v>
      </c>
      <c r="P153">
        <v>43.26</v>
      </c>
      <c r="Q153">
        <v>1</v>
      </c>
      <c r="R153">
        <v>9.14</v>
      </c>
      <c r="S153">
        <v>30.43</v>
      </c>
      <c r="T153">
        <v>24.85</v>
      </c>
      <c r="U153">
        <v>1.66</v>
      </c>
      <c r="V153">
        <v>94</v>
      </c>
      <c r="W153">
        <v>0</v>
      </c>
      <c r="X153">
        <v>3</v>
      </c>
      <c r="Y153">
        <v>52.4</v>
      </c>
      <c r="Z153">
        <v>0</v>
      </c>
      <c r="AA153" t="s">
        <v>114</v>
      </c>
      <c r="AB153">
        <v>0</v>
      </c>
      <c r="AC153">
        <v>0.1</v>
      </c>
      <c r="AD153">
        <v>0.05</v>
      </c>
      <c r="AE153">
        <v>52.4</v>
      </c>
      <c r="AF153" t="s">
        <v>2066</v>
      </c>
      <c r="AG153" t="s">
        <v>1787</v>
      </c>
      <c r="AH153">
        <v>0.7</v>
      </c>
    </row>
    <row r="154" spans="1:34" x14ac:dyDescent="0.25">
      <c r="A154" s="2">
        <v>45663</v>
      </c>
      <c r="B154" t="s">
        <v>2097</v>
      </c>
      <c r="C154" t="s">
        <v>2098</v>
      </c>
      <c r="D154">
        <v>103</v>
      </c>
      <c r="E154">
        <v>0.96638655462184875</v>
      </c>
      <c r="F154">
        <v>3.4782608695652174E-2</v>
      </c>
      <c r="G154">
        <v>41.64</v>
      </c>
      <c r="H154">
        <v>0.36</v>
      </c>
      <c r="I154">
        <v>41.28</v>
      </c>
      <c r="J154">
        <v>880.2</v>
      </c>
      <c r="K154">
        <v>48.85</v>
      </c>
      <c r="L154">
        <v>7.51</v>
      </c>
      <c r="M154" t="s">
        <v>2099</v>
      </c>
      <c r="N154">
        <v>1</v>
      </c>
      <c r="O154">
        <v>102</v>
      </c>
      <c r="P154">
        <v>34.11</v>
      </c>
      <c r="Q154">
        <v>2</v>
      </c>
      <c r="R154">
        <v>7.17</v>
      </c>
      <c r="S154">
        <v>0</v>
      </c>
      <c r="T154">
        <v>0</v>
      </c>
      <c r="U154">
        <v>2.4700000000000002</v>
      </c>
      <c r="V154">
        <v>115</v>
      </c>
      <c r="W154">
        <v>2</v>
      </c>
      <c r="X154">
        <v>4</v>
      </c>
      <c r="Y154">
        <v>41.28</v>
      </c>
      <c r="Z154">
        <v>0</v>
      </c>
      <c r="AA154" t="s">
        <v>115</v>
      </c>
      <c r="AB154">
        <v>0</v>
      </c>
      <c r="AC154">
        <v>0.1</v>
      </c>
      <c r="AD154">
        <v>0.05</v>
      </c>
      <c r="AE154">
        <v>41.28</v>
      </c>
      <c r="AF154" t="s">
        <v>2067</v>
      </c>
      <c r="AG154" t="s">
        <v>1599</v>
      </c>
      <c r="AH154">
        <v>0.7</v>
      </c>
    </row>
    <row r="155" spans="1:34" x14ac:dyDescent="0.25">
      <c r="A155" s="2">
        <v>45656</v>
      </c>
      <c r="B155" t="s">
        <v>2097</v>
      </c>
      <c r="C155" t="s">
        <v>2098</v>
      </c>
      <c r="D155">
        <v>76</v>
      </c>
      <c r="E155">
        <v>0.98809523809523814</v>
      </c>
      <c r="F155">
        <v>1.2048192771084338E-2</v>
      </c>
      <c r="G155">
        <v>35.619999999999997</v>
      </c>
      <c r="H155">
        <v>0</v>
      </c>
      <c r="I155">
        <v>35.619999999999997</v>
      </c>
      <c r="J155">
        <v>749.85</v>
      </c>
      <c r="K155">
        <v>46.25</v>
      </c>
      <c r="L155">
        <v>0</v>
      </c>
      <c r="M155" t="s">
        <v>2099</v>
      </c>
      <c r="N155">
        <v>3</v>
      </c>
      <c r="O155">
        <v>73</v>
      </c>
      <c r="P155">
        <v>27.23</v>
      </c>
      <c r="Q155">
        <v>0</v>
      </c>
      <c r="R155">
        <v>8.3800000000000008</v>
      </c>
      <c r="S155">
        <v>1.39</v>
      </c>
      <c r="T155">
        <v>0.56999999999999995</v>
      </c>
      <c r="U155">
        <v>2.13</v>
      </c>
      <c r="V155">
        <v>83</v>
      </c>
      <c r="W155">
        <v>1</v>
      </c>
      <c r="X155">
        <v>1</v>
      </c>
      <c r="Y155">
        <v>35.619999999999997</v>
      </c>
      <c r="Z155">
        <v>0</v>
      </c>
      <c r="AA155" t="s">
        <v>114</v>
      </c>
      <c r="AB155">
        <v>0</v>
      </c>
      <c r="AC155">
        <v>0.1</v>
      </c>
      <c r="AD155">
        <v>0.05</v>
      </c>
      <c r="AE155">
        <v>35.619999999999997</v>
      </c>
      <c r="AF155" t="s">
        <v>2067</v>
      </c>
      <c r="AG155" t="s">
        <v>1599</v>
      </c>
      <c r="AH155">
        <v>0.7</v>
      </c>
    </row>
    <row r="156" spans="1:34" x14ac:dyDescent="0.25">
      <c r="A156" s="2">
        <v>45663</v>
      </c>
      <c r="B156" t="s">
        <v>2115</v>
      </c>
      <c r="C156" t="s">
        <v>2116</v>
      </c>
      <c r="D156">
        <v>43</v>
      </c>
      <c r="E156">
        <v>1</v>
      </c>
      <c r="F156">
        <v>0.1111111111111111</v>
      </c>
      <c r="G156">
        <v>30.63</v>
      </c>
      <c r="H156">
        <v>0</v>
      </c>
      <c r="I156">
        <v>30.63</v>
      </c>
      <c r="J156">
        <v>419.33</v>
      </c>
      <c r="K156">
        <v>12.6</v>
      </c>
      <c r="L156">
        <v>0</v>
      </c>
      <c r="M156" t="s">
        <v>2117</v>
      </c>
      <c r="N156">
        <v>4</v>
      </c>
      <c r="O156">
        <v>39</v>
      </c>
      <c r="P156">
        <v>19.71</v>
      </c>
      <c r="Q156">
        <v>0</v>
      </c>
      <c r="R156">
        <v>10.92</v>
      </c>
      <c r="S156">
        <v>6.15</v>
      </c>
      <c r="T156">
        <v>4.0999999999999996</v>
      </c>
      <c r="U156">
        <v>1.4</v>
      </c>
      <c r="V156">
        <v>54</v>
      </c>
      <c r="W156">
        <v>0</v>
      </c>
      <c r="X156">
        <v>6</v>
      </c>
      <c r="Y156">
        <v>0</v>
      </c>
      <c r="Z156">
        <v>0</v>
      </c>
      <c r="AA156" t="s">
        <v>115</v>
      </c>
      <c r="AB156">
        <v>30.63</v>
      </c>
      <c r="AC156">
        <v>0.1</v>
      </c>
      <c r="AD156">
        <v>0.05</v>
      </c>
      <c r="AE156">
        <v>0</v>
      </c>
      <c r="AF156" t="s">
        <v>2104</v>
      </c>
      <c r="AG156" t="s">
        <v>1670</v>
      </c>
      <c r="AH156">
        <v>0.7</v>
      </c>
    </row>
    <row r="157" spans="1:34" x14ac:dyDescent="0.25">
      <c r="A157" s="2">
        <v>45656</v>
      </c>
      <c r="B157" t="s">
        <v>2115</v>
      </c>
      <c r="C157" t="s">
        <v>2116</v>
      </c>
      <c r="D157">
        <v>86</v>
      </c>
      <c r="E157">
        <v>1</v>
      </c>
      <c r="F157">
        <v>0</v>
      </c>
      <c r="G157">
        <v>65.52</v>
      </c>
      <c r="H157">
        <v>3.84</v>
      </c>
      <c r="I157">
        <v>61.679999999999993</v>
      </c>
      <c r="J157">
        <v>928.69</v>
      </c>
      <c r="K157">
        <v>31</v>
      </c>
      <c r="L157">
        <v>0</v>
      </c>
      <c r="M157" t="s">
        <v>2117</v>
      </c>
      <c r="N157">
        <v>15</v>
      </c>
      <c r="O157">
        <v>71</v>
      </c>
      <c r="P157">
        <v>40.68</v>
      </c>
      <c r="Q157">
        <v>0</v>
      </c>
      <c r="R157">
        <v>21</v>
      </c>
      <c r="S157">
        <v>17.010000000000002</v>
      </c>
      <c r="T157">
        <v>9.84</v>
      </c>
      <c r="U157">
        <v>1.31</v>
      </c>
      <c r="V157">
        <v>95</v>
      </c>
      <c r="W157">
        <v>0</v>
      </c>
      <c r="X157">
        <v>0</v>
      </c>
      <c r="Y157">
        <v>61.679999999999993</v>
      </c>
      <c r="Z157">
        <v>0</v>
      </c>
      <c r="AA157" t="s">
        <v>114</v>
      </c>
      <c r="AB157">
        <v>0</v>
      </c>
      <c r="AC157">
        <v>0.1</v>
      </c>
      <c r="AD157">
        <v>0.05</v>
      </c>
      <c r="AE157">
        <v>61.679999999999993</v>
      </c>
      <c r="AF157" t="s">
        <v>2104</v>
      </c>
      <c r="AG157" t="s">
        <v>1670</v>
      </c>
      <c r="AH157">
        <v>0.7</v>
      </c>
    </row>
    <row r="158" spans="1:34" x14ac:dyDescent="0.25">
      <c r="A158" s="2">
        <v>45663</v>
      </c>
      <c r="B158" t="s">
        <v>2118</v>
      </c>
      <c r="C158" t="s">
        <v>2119</v>
      </c>
      <c r="D158">
        <v>67</v>
      </c>
      <c r="E158">
        <v>0.78947368421052633</v>
      </c>
      <c r="F158">
        <v>3.3333333333333333E-2</v>
      </c>
      <c r="G158">
        <v>54.01</v>
      </c>
      <c r="H158">
        <v>2.21</v>
      </c>
      <c r="I158">
        <v>51.8</v>
      </c>
      <c r="J158">
        <v>754.56</v>
      </c>
      <c r="K158">
        <v>44.99</v>
      </c>
      <c r="L158">
        <v>6</v>
      </c>
      <c r="M158" t="s">
        <v>2120</v>
      </c>
      <c r="N158">
        <v>12</v>
      </c>
      <c r="O158">
        <v>55</v>
      </c>
      <c r="P158">
        <v>38.340000000000003</v>
      </c>
      <c r="Q158">
        <v>22</v>
      </c>
      <c r="R158">
        <v>13.46</v>
      </c>
      <c r="S158">
        <v>16.43</v>
      </c>
      <c r="T158">
        <v>12.12</v>
      </c>
      <c r="U158">
        <v>1.24</v>
      </c>
      <c r="V158">
        <v>90</v>
      </c>
      <c r="W158">
        <v>2</v>
      </c>
      <c r="X158">
        <v>3</v>
      </c>
      <c r="Y158">
        <v>0</v>
      </c>
      <c r="Z158">
        <v>0</v>
      </c>
      <c r="AA158" t="s">
        <v>115</v>
      </c>
      <c r="AB158">
        <v>51.8</v>
      </c>
      <c r="AC158">
        <v>0.1</v>
      </c>
      <c r="AD158">
        <v>0.05</v>
      </c>
      <c r="AE158">
        <v>0</v>
      </c>
      <c r="AF158" t="s">
        <v>2106</v>
      </c>
      <c r="AG158" t="s">
        <v>1670</v>
      </c>
      <c r="AH158">
        <v>0.7</v>
      </c>
    </row>
    <row r="159" spans="1:34" x14ac:dyDescent="0.25">
      <c r="A159" s="2">
        <v>45656</v>
      </c>
      <c r="B159" t="s">
        <v>2118</v>
      </c>
      <c r="C159" t="s">
        <v>2119</v>
      </c>
      <c r="D159">
        <v>55</v>
      </c>
      <c r="E159">
        <v>0.59677419354838712</v>
      </c>
      <c r="F159">
        <v>4.0540540540540543E-2</v>
      </c>
      <c r="G159">
        <v>62.65</v>
      </c>
      <c r="H159">
        <v>8.15</v>
      </c>
      <c r="I159">
        <v>54.5</v>
      </c>
      <c r="J159">
        <v>790.52</v>
      </c>
      <c r="K159">
        <v>56</v>
      </c>
      <c r="L159">
        <v>0</v>
      </c>
      <c r="M159" t="s">
        <v>2120</v>
      </c>
      <c r="N159">
        <v>6</v>
      </c>
      <c r="O159">
        <v>49</v>
      </c>
      <c r="P159">
        <v>33.119999999999997</v>
      </c>
      <c r="Q159">
        <v>48</v>
      </c>
      <c r="R159">
        <v>21.37</v>
      </c>
      <c r="S159">
        <v>20.91</v>
      </c>
      <c r="T159">
        <v>11.41</v>
      </c>
      <c r="U159">
        <v>0.88</v>
      </c>
      <c r="V159">
        <v>74</v>
      </c>
      <c r="W159">
        <v>2</v>
      </c>
      <c r="X159">
        <v>3</v>
      </c>
      <c r="Y159">
        <v>0</v>
      </c>
      <c r="Z159">
        <v>0</v>
      </c>
      <c r="AA159" t="s">
        <v>114</v>
      </c>
      <c r="AB159">
        <v>54.5</v>
      </c>
      <c r="AC159">
        <v>0.1</v>
      </c>
      <c r="AD159">
        <v>0.05</v>
      </c>
      <c r="AE159">
        <v>0</v>
      </c>
      <c r="AF159" t="s">
        <v>2106</v>
      </c>
      <c r="AG159" t="s">
        <v>1670</v>
      </c>
      <c r="AH159">
        <v>0.7</v>
      </c>
    </row>
    <row r="160" spans="1:34" x14ac:dyDescent="0.25">
      <c r="A160" s="2">
        <v>45663</v>
      </c>
      <c r="B160" t="s">
        <v>2121</v>
      </c>
      <c r="C160" t="s">
        <v>2122</v>
      </c>
      <c r="D160">
        <v>54</v>
      </c>
      <c r="E160">
        <v>0.75</v>
      </c>
      <c r="F160">
        <v>0.17391304347826086</v>
      </c>
      <c r="G160">
        <v>28.8</v>
      </c>
      <c r="H160">
        <v>0</v>
      </c>
      <c r="I160">
        <v>28.8</v>
      </c>
      <c r="J160">
        <v>534.61</v>
      </c>
      <c r="K160">
        <v>43.64</v>
      </c>
      <c r="L160">
        <v>0</v>
      </c>
      <c r="M160" t="s">
        <v>2123</v>
      </c>
      <c r="N160">
        <v>18</v>
      </c>
      <c r="O160">
        <v>36</v>
      </c>
      <c r="P160">
        <v>26.85</v>
      </c>
      <c r="Q160">
        <v>1</v>
      </c>
      <c r="R160">
        <v>1.95</v>
      </c>
      <c r="S160">
        <v>16.11</v>
      </c>
      <c r="T160">
        <v>15.58</v>
      </c>
      <c r="U160">
        <v>1.88</v>
      </c>
      <c r="V160">
        <v>69</v>
      </c>
      <c r="W160">
        <v>22</v>
      </c>
      <c r="X160">
        <v>12</v>
      </c>
      <c r="Y160">
        <v>0</v>
      </c>
      <c r="Z160">
        <v>0</v>
      </c>
      <c r="AA160" t="s">
        <v>115</v>
      </c>
      <c r="AB160">
        <v>28.8</v>
      </c>
      <c r="AC160">
        <v>0.1</v>
      </c>
      <c r="AD160">
        <v>0.05</v>
      </c>
      <c r="AE160">
        <v>0</v>
      </c>
      <c r="AF160" t="s">
        <v>2107</v>
      </c>
      <c r="AG160" t="s">
        <v>1599</v>
      </c>
      <c r="AH160">
        <v>0.7</v>
      </c>
    </row>
    <row r="161" spans="1:34" x14ac:dyDescent="0.25">
      <c r="A161" s="2">
        <v>45656</v>
      </c>
      <c r="B161" t="s">
        <v>2121</v>
      </c>
      <c r="C161" t="s">
        <v>2122</v>
      </c>
      <c r="D161">
        <v>45</v>
      </c>
      <c r="E161">
        <v>0.875</v>
      </c>
      <c r="F161">
        <v>0.125</v>
      </c>
      <c r="G161">
        <v>24.93</v>
      </c>
      <c r="H161">
        <v>0.2</v>
      </c>
      <c r="I161">
        <v>24.73</v>
      </c>
      <c r="J161">
        <v>437.64</v>
      </c>
      <c r="K161">
        <v>33.39</v>
      </c>
      <c r="L161">
        <v>0</v>
      </c>
      <c r="M161" t="s">
        <v>2123</v>
      </c>
      <c r="N161">
        <v>17</v>
      </c>
      <c r="O161">
        <v>28</v>
      </c>
      <c r="P161">
        <v>21.31</v>
      </c>
      <c r="Q161">
        <v>0</v>
      </c>
      <c r="R161">
        <v>3.42</v>
      </c>
      <c r="S161">
        <v>14.1</v>
      </c>
      <c r="T161">
        <v>13.63</v>
      </c>
      <c r="U161">
        <v>1.81</v>
      </c>
      <c r="V161">
        <v>56</v>
      </c>
      <c r="W161">
        <v>8</v>
      </c>
      <c r="X161">
        <v>7</v>
      </c>
      <c r="Y161">
        <v>0</v>
      </c>
      <c r="Z161">
        <v>0</v>
      </c>
      <c r="AA161" t="s">
        <v>114</v>
      </c>
      <c r="AB161">
        <v>24.73</v>
      </c>
      <c r="AC161">
        <v>0.1</v>
      </c>
      <c r="AD161">
        <v>0.05</v>
      </c>
      <c r="AE161">
        <v>0</v>
      </c>
      <c r="AF161" t="s">
        <v>2107</v>
      </c>
      <c r="AG161" t="s">
        <v>1599</v>
      </c>
      <c r="AH161">
        <v>0.7</v>
      </c>
    </row>
    <row r="162" spans="1:34" x14ac:dyDescent="0.25">
      <c r="A162" s="2">
        <v>45663</v>
      </c>
      <c r="B162" t="s">
        <v>2124</v>
      </c>
      <c r="C162" t="s">
        <v>2125</v>
      </c>
      <c r="D162">
        <v>69</v>
      </c>
      <c r="E162">
        <v>1</v>
      </c>
      <c r="F162">
        <v>4.5977011494252873E-2</v>
      </c>
      <c r="G162">
        <v>39.58</v>
      </c>
      <c r="H162">
        <v>1.08</v>
      </c>
      <c r="I162">
        <v>38.5</v>
      </c>
      <c r="J162">
        <v>673.98</v>
      </c>
      <c r="K162">
        <v>50.78</v>
      </c>
      <c r="L162">
        <v>12.8</v>
      </c>
      <c r="M162" t="s">
        <v>2126</v>
      </c>
      <c r="N162">
        <v>9</v>
      </c>
      <c r="O162">
        <v>60</v>
      </c>
      <c r="P162">
        <v>35.49</v>
      </c>
      <c r="Q162">
        <v>0</v>
      </c>
      <c r="R162">
        <v>3.01</v>
      </c>
      <c r="S162">
        <v>12.66</v>
      </c>
      <c r="T162">
        <v>10.49</v>
      </c>
      <c r="U162">
        <v>1.74</v>
      </c>
      <c r="V162">
        <v>87</v>
      </c>
      <c r="W162">
        <v>0</v>
      </c>
      <c r="X162">
        <v>4</v>
      </c>
      <c r="Y162">
        <v>0</v>
      </c>
      <c r="Z162">
        <v>0</v>
      </c>
      <c r="AA162" t="s">
        <v>115</v>
      </c>
      <c r="AB162">
        <v>38.5</v>
      </c>
      <c r="AC162">
        <v>0.1</v>
      </c>
      <c r="AD162">
        <v>0.05</v>
      </c>
      <c r="AE162">
        <v>0</v>
      </c>
      <c r="AF162" t="s">
        <v>2108</v>
      </c>
      <c r="AG162" t="s">
        <v>1601</v>
      </c>
      <c r="AH162">
        <v>0.7</v>
      </c>
    </row>
    <row r="163" spans="1:34" x14ac:dyDescent="0.25">
      <c r="A163" s="2">
        <v>45656</v>
      </c>
      <c r="B163" t="s">
        <v>2124</v>
      </c>
      <c r="C163" t="s">
        <v>2125</v>
      </c>
      <c r="D163">
        <v>50</v>
      </c>
      <c r="E163">
        <v>1</v>
      </c>
      <c r="F163">
        <v>3.3333333333333333E-2</v>
      </c>
      <c r="G163">
        <v>34.89</v>
      </c>
      <c r="H163">
        <v>0</v>
      </c>
      <c r="I163">
        <v>34.89</v>
      </c>
      <c r="J163">
        <v>689.88</v>
      </c>
      <c r="K163">
        <v>45</v>
      </c>
      <c r="L163">
        <v>0</v>
      </c>
      <c r="M163" t="s">
        <v>2126</v>
      </c>
      <c r="N163">
        <v>19</v>
      </c>
      <c r="O163">
        <v>31</v>
      </c>
      <c r="P163">
        <v>32.56</v>
      </c>
      <c r="Q163">
        <v>0</v>
      </c>
      <c r="R163">
        <v>2.33</v>
      </c>
      <c r="S163">
        <v>13.9</v>
      </c>
      <c r="T163">
        <v>11.84</v>
      </c>
      <c r="U163">
        <v>1.43</v>
      </c>
      <c r="V163">
        <v>60</v>
      </c>
      <c r="W163">
        <v>0</v>
      </c>
      <c r="X163">
        <v>2</v>
      </c>
      <c r="Y163">
        <v>34.89</v>
      </c>
      <c r="Z163">
        <v>0</v>
      </c>
      <c r="AA163" t="s">
        <v>114</v>
      </c>
      <c r="AB163">
        <v>0</v>
      </c>
      <c r="AC163">
        <v>0.1</v>
      </c>
      <c r="AD163">
        <v>0.05</v>
      </c>
      <c r="AE163">
        <v>34.89</v>
      </c>
      <c r="AF163" t="s">
        <v>2108</v>
      </c>
      <c r="AG163" t="s">
        <v>1601</v>
      </c>
      <c r="AH163">
        <v>0.7</v>
      </c>
    </row>
    <row r="164" spans="1:34" x14ac:dyDescent="0.25">
      <c r="A164" s="2">
        <v>45663</v>
      </c>
      <c r="B164" t="s">
        <v>2127</v>
      </c>
      <c r="C164" t="s">
        <v>2128</v>
      </c>
      <c r="D164">
        <v>20</v>
      </c>
      <c r="E164">
        <v>0.88888888888888884</v>
      </c>
      <c r="F164">
        <v>0</v>
      </c>
      <c r="G164">
        <v>14.95</v>
      </c>
      <c r="H164">
        <v>0</v>
      </c>
      <c r="I164">
        <v>14.95</v>
      </c>
      <c r="J164">
        <v>265.27999999999997</v>
      </c>
      <c r="K164">
        <v>27.18</v>
      </c>
      <c r="L164">
        <v>0</v>
      </c>
      <c r="M164" t="s">
        <v>2129</v>
      </c>
      <c r="N164">
        <v>10</v>
      </c>
      <c r="O164">
        <v>10</v>
      </c>
      <c r="P164">
        <v>14.19</v>
      </c>
      <c r="Q164">
        <v>0</v>
      </c>
      <c r="R164">
        <v>0.76</v>
      </c>
      <c r="S164">
        <v>13.3</v>
      </c>
      <c r="T164">
        <v>12.59</v>
      </c>
      <c r="U164">
        <v>1.34</v>
      </c>
      <c r="V164">
        <v>24</v>
      </c>
      <c r="W164">
        <v>3</v>
      </c>
      <c r="X164">
        <v>0</v>
      </c>
      <c r="Y164">
        <v>0</v>
      </c>
      <c r="Z164">
        <v>0</v>
      </c>
      <c r="AA164" t="s">
        <v>115</v>
      </c>
      <c r="AB164">
        <v>14.95</v>
      </c>
      <c r="AC164">
        <v>0.1</v>
      </c>
      <c r="AD164">
        <v>0.05</v>
      </c>
      <c r="AE164">
        <v>0</v>
      </c>
      <c r="AF164" t="s">
        <v>2109</v>
      </c>
      <c r="AG164" t="s">
        <v>1599</v>
      </c>
      <c r="AH164">
        <v>0.7</v>
      </c>
    </row>
    <row r="165" spans="1:34" x14ac:dyDescent="0.25">
      <c r="A165" s="2">
        <v>45656</v>
      </c>
      <c r="B165" t="s">
        <v>2127</v>
      </c>
      <c r="C165" t="s">
        <v>2128</v>
      </c>
      <c r="D165">
        <v>54</v>
      </c>
      <c r="E165">
        <v>0.48872180451127817</v>
      </c>
      <c r="F165">
        <v>7.6923076923076927E-2</v>
      </c>
      <c r="G165">
        <v>29.38</v>
      </c>
      <c r="H165">
        <v>0</v>
      </c>
      <c r="I165">
        <v>29.38</v>
      </c>
      <c r="J165">
        <v>567.47</v>
      </c>
      <c r="K165">
        <v>29.48</v>
      </c>
      <c r="L165">
        <v>0</v>
      </c>
      <c r="M165" t="s">
        <v>2129</v>
      </c>
      <c r="N165">
        <v>14</v>
      </c>
      <c r="O165">
        <v>40</v>
      </c>
      <c r="P165">
        <v>25.55</v>
      </c>
      <c r="Q165">
        <v>4</v>
      </c>
      <c r="R165">
        <v>3.83</v>
      </c>
      <c r="S165">
        <v>19.98</v>
      </c>
      <c r="T165">
        <v>17.87</v>
      </c>
      <c r="U165">
        <v>1.84</v>
      </c>
      <c r="V165">
        <v>65</v>
      </c>
      <c r="W165">
        <v>64</v>
      </c>
      <c r="X165">
        <v>5</v>
      </c>
      <c r="Y165">
        <v>0</v>
      </c>
      <c r="Z165">
        <v>0</v>
      </c>
      <c r="AA165" t="s">
        <v>114</v>
      </c>
      <c r="AB165">
        <v>29.38</v>
      </c>
      <c r="AC165">
        <v>0.1</v>
      </c>
      <c r="AD165">
        <v>0.05</v>
      </c>
      <c r="AE165">
        <v>0</v>
      </c>
      <c r="AF165" t="s">
        <v>2109</v>
      </c>
      <c r="AG165" t="s">
        <v>1599</v>
      </c>
      <c r="AH165">
        <v>0.7</v>
      </c>
    </row>
    <row r="166" spans="1:34" x14ac:dyDescent="0.25">
      <c r="A166" s="2">
        <v>45663</v>
      </c>
      <c r="B166" t="s">
        <v>2135</v>
      </c>
      <c r="C166" t="s">
        <v>2136</v>
      </c>
      <c r="D166">
        <v>81</v>
      </c>
      <c r="E166">
        <v>0.94791666666666663</v>
      </c>
      <c r="F166">
        <v>2.197802197802198E-2</v>
      </c>
      <c r="G166">
        <v>48.67</v>
      </c>
      <c r="H166">
        <v>0.77</v>
      </c>
      <c r="I166">
        <v>47.9</v>
      </c>
      <c r="J166">
        <v>925.98</v>
      </c>
      <c r="K166">
        <v>65.819999999999993</v>
      </c>
      <c r="L166">
        <v>12</v>
      </c>
      <c r="M166" t="s">
        <v>2137</v>
      </c>
      <c r="N166">
        <v>30</v>
      </c>
      <c r="O166">
        <v>51</v>
      </c>
      <c r="P166">
        <v>45.57</v>
      </c>
      <c r="Q166">
        <v>0</v>
      </c>
      <c r="R166">
        <v>2.34</v>
      </c>
      <c r="S166">
        <v>33.04</v>
      </c>
      <c r="T166">
        <v>32</v>
      </c>
      <c r="U166">
        <v>1.66</v>
      </c>
      <c r="V166">
        <v>91</v>
      </c>
      <c r="W166">
        <v>5</v>
      </c>
      <c r="X166">
        <v>2</v>
      </c>
      <c r="Y166">
        <v>0</v>
      </c>
      <c r="Z166">
        <v>0</v>
      </c>
      <c r="AA166" t="s">
        <v>115</v>
      </c>
      <c r="AB166">
        <v>47.9</v>
      </c>
      <c r="AC166">
        <v>0.1</v>
      </c>
      <c r="AD166">
        <v>0.05</v>
      </c>
      <c r="AE166">
        <v>0</v>
      </c>
      <c r="AF166" t="s">
        <v>2130</v>
      </c>
      <c r="AG166" t="s">
        <v>1670</v>
      </c>
      <c r="AH166">
        <v>0.7</v>
      </c>
    </row>
    <row r="167" spans="1:34" x14ac:dyDescent="0.25">
      <c r="A167" s="2">
        <v>45656</v>
      </c>
      <c r="B167" t="s">
        <v>2135</v>
      </c>
      <c r="C167" t="s">
        <v>2136</v>
      </c>
      <c r="D167">
        <v>39</v>
      </c>
      <c r="E167">
        <v>1</v>
      </c>
      <c r="F167">
        <v>0</v>
      </c>
      <c r="G167">
        <v>30.89</v>
      </c>
      <c r="H167">
        <v>0.64</v>
      </c>
      <c r="I167">
        <v>30.25</v>
      </c>
      <c r="J167">
        <v>539.87</v>
      </c>
      <c r="K167">
        <v>28.68</v>
      </c>
      <c r="L167">
        <v>0</v>
      </c>
      <c r="M167" t="s">
        <v>2137</v>
      </c>
      <c r="N167">
        <v>11</v>
      </c>
      <c r="O167">
        <v>28</v>
      </c>
      <c r="P167">
        <v>27.87</v>
      </c>
      <c r="Q167">
        <v>0</v>
      </c>
      <c r="R167">
        <v>2.38</v>
      </c>
      <c r="S167">
        <v>15.5</v>
      </c>
      <c r="T167">
        <v>14.61</v>
      </c>
      <c r="U167">
        <v>1.26</v>
      </c>
      <c r="V167">
        <v>48</v>
      </c>
      <c r="W167">
        <v>0</v>
      </c>
      <c r="X167">
        <v>0</v>
      </c>
      <c r="Y167">
        <v>30.25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30.25</v>
      </c>
      <c r="AF167" t="s">
        <v>2130</v>
      </c>
      <c r="AG167" t="s">
        <v>1670</v>
      </c>
      <c r="AH167">
        <v>0.7</v>
      </c>
    </row>
    <row r="168" spans="1:34" x14ac:dyDescent="0.25">
      <c r="A168" s="2">
        <v>45663</v>
      </c>
      <c r="B168" t="s">
        <v>2138</v>
      </c>
      <c r="C168" t="s">
        <v>2139</v>
      </c>
      <c r="D168">
        <v>65</v>
      </c>
      <c r="E168">
        <v>0.81560283687943258</v>
      </c>
      <c r="F168">
        <v>2.6086956521739129E-2</v>
      </c>
      <c r="G168">
        <v>63.36</v>
      </c>
      <c r="H168">
        <v>5.16</v>
      </c>
      <c r="I168">
        <v>58.2</v>
      </c>
      <c r="J168">
        <v>696.83</v>
      </c>
      <c r="K168">
        <v>44.29</v>
      </c>
      <c r="L168">
        <v>1.51</v>
      </c>
      <c r="M168" t="s">
        <v>2140</v>
      </c>
      <c r="N168">
        <v>17</v>
      </c>
      <c r="O168">
        <v>48</v>
      </c>
      <c r="P168">
        <v>48.55</v>
      </c>
      <c r="Q168">
        <v>24</v>
      </c>
      <c r="R168">
        <v>9.65</v>
      </c>
      <c r="S168">
        <v>16.190000000000001</v>
      </c>
      <c r="T168">
        <v>14.87</v>
      </c>
      <c r="U168">
        <v>1.03</v>
      </c>
      <c r="V168">
        <v>115</v>
      </c>
      <c r="W168">
        <v>2</v>
      </c>
      <c r="X168">
        <v>3</v>
      </c>
      <c r="Y168">
        <v>0</v>
      </c>
      <c r="Z168">
        <v>0</v>
      </c>
      <c r="AA168" t="s">
        <v>115</v>
      </c>
      <c r="AB168">
        <v>58.2</v>
      </c>
      <c r="AC168">
        <v>0.1</v>
      </c>
      <c r="AD168">
        <v>0.05</v>
      </c>
      <c r="AE168">
        <v>0</v>
      </c>
      <c r="AF168" t="s">
        <v>2131</v>
      </c>
      <c r="AG168" t="s">
        <v>1670</v>
      </c>
      <c r="AH168">
        <v>0.7</v>
      </c>
    </row>
    <row r="169" spans="1:34" x14ac:dyDescent="0.25">
      <c r="A169" s="2">
        <v>45656</v>
      </c>
      <c r="B169" t="s">
        <v>2138</v>
      </c>
      <c r="C169" t="s">
        <v>2139</v>
      </c>
      <c r="D169">
        <v>34</v>
      </c>
      <c r="E169">
        <v>1</v>
      </c>
      <c r="F169">
        <v>4.5454545454545456E-2</v>
      </c>
      <c r="G169">
        <v>29.53</v>
      </c>
      <c r="H169">
        <v>3.74</v>
      </c>
      <c r="I169">
        <v>25.79</v>
      </c>
      <c r="J169">
        <v>439.29</v>
      </c>
      <c r="K169">
        <v>29.14</v>
      </c>
      <c r="L169">
        <v>0</v>
      </c>
      <c r="M169" t="s">
        <v>2140</v>
      </c>
      <c r="N169">
        <v>8</v>
      </c>
      <c r="O169">
        <v>26</v>
      </c>
      <c r="P169">
        <v>20.02</v>
      </c>
      <c r="Q169">
        <v>0</v>
      </c>
      <c r="R169">
        <v>5.77</v>
      </c>
      <c r="S169">
        <v>4.49</v>
      </c>
      <c r="T169">
        <v>3.29</v>
      </c>
      <c r="U169">
        <v>1.1499999999999999</v>
      </c>
      <c r="V169">
        <v>44</v>
      </c>
      <c r="W169">
        <v>0</v>
      </c>
      <c r="X169">
        <v>2</v>
      </c>
      <c r="Y169">
        <v>0</v>
      </c>
      <c r="Z169">
        <v>0</v>
      </c>
      <c r="AA169" t="s">
        <v>114</v>
      </c>
      <c r="AB169">
        <v>25.79</v>
      </c>
      <c r="AC169">
        <v>0.1</v>
      </c>
      <c r="AD169">
        <v>0.05</v>
      </c>
      <c r="AE169">
        <v>0</v>
      </c>
      <c r="AF169" t="s">
        <v>2131</v>
      </c>
      <c r="AG169" t="s">
        <v>1670</v>
      </c>
      <c r="AH169">
        <v>0.7</v>
      </c>
    </row>
    <row r="170" spans="1:34" x14ac:dyDescent="0.25">
      <c r="A170" s="2">
        <v>45663</v>
      </c>
      <c r="B170" t="s">
        <v>2146</v>
      </c>
      <c r="C170" t="s">
        <v>2147</v>
      </c>
      <c r="D170">
        <v>0</v>
      </c>
      <c r="E170">
        <v>0</v>
      </c>
      <c r="F170">
        <v>0</v>
      </c>
      <c r="G170">
        <v>0.01</v>
      </c>
      <c r="H170">
        <v>0</v>
      </c>
      <c r="I170">
        <v>0.01</v>
      </c>
      <c r="J170">
        <v>0</v>
      </c>
      <c r="K170">
        <v>0</v>
      </c>
      <c r="L170">
        <v>0</v>
      </c>
      <c r="M170" t="s">
        <v>2148</v>
      </c>
      <c r="N170">
        <v>0</v>
      </c>
      <c r="O170">
        <v>0</v>
      </c>
      <c r="P170">
        <v>0</v>
      </c>
      <c r="Q170">
        <v>0</v>
      </c>
      <c r="R170">
        <v>0.01</v>
      </c>
      <c r="S170">
        <v>0.01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115</v>
      </c>
      <c r="AB170">
        <v>0.01</v>
      </c>
      <c r="AC170">
        <v>0.1</v>
      </c>
      <c r="AD170">
        <v>0.05</v>
      </c>
      <c r="AE170">
        <v>0</v>
      </c>
      <c r="AF170" t="s">
        <v>2141</v>
      </c>
      <c r="AG170" t="s">
        <v>1749</v>
      </c>
      <c r="AH170">
        <v>0.7</v>
      </c>
    </row>
    <row r="171" spans="1:34" x14ac:dyDescent="0.25">
      <c r="A171" s="2">
        <v>45663</v>
      </c>
      <c r="B171" t="s">
        <v>2149</v>
      </c>
      <c r="C171" t="s">
        <v>2150</v>
      </c>
      <c r="D171">
        <v>37</v>
      </c>
      <c r="E171">
        <v>0.95454545454545459</v>
      </c>
      <c r="F171">
        <v>0</v>
      </c>
      <c r="G171">
        <v>24.26</v>
      </c>
      <c r="H171">
        <v>0.1</v>
      </c>
      <c r="I171">
        <v>24.16</v>
      </c>
      <c r="J171">
        <v>480.84</v>
      </c>
      <c r="K171">
        <v>20</v>
      </c>
      <c r="L171">
        <v>0</v>
      </c>
      <c r="M171" t="s">
        <v>2151</v>
      </c>
      <c r="N171">
        <v>13</v>
      </c>
      <c r="O171">
        <v>24</v>
      </c>
      <c r="P171">
        <v>21.63</v>
      </c>
      <c r="Q171">
        <v>2</v>
      </c>
      <c r="R171">
        <v>2.52</v>
      </c>
      <c r="S171">
        <v>17.72</v>
      </c>
      <c r="T171">
        <v>15.41</v>
      </c>
      <c r="U171">
        <v>1.53</v>
      </c>
      <c r="V171">
        <v>42</v>
      </c>
      <c r="W171">
        <v>0</v>
      </c>
      <c r="X171">
        <v>0</v>
      </c>
      <c r="Y171">
        <v>24.16</v>
      </c>
      <c r="Z171">
        <v>0</v>
      </c>
      <c r="AA171" t="s">
        <v>115</v>
      </c>
      <c r="AB171">
        <v>0</v>
      </c>
      <c r="AC171">
        <v>0.1</v>
      </c>
      <c r="AD171">
        <v>0.05</v>
      </c>
      <c r="AE171">
        <v>24.16</v>
      </c>
      <c r="AF171" t="s">
        <v>2142</v>
      </c>
      <c r="AG171" t="s">
        <v>1601</v>
      </c>
      <c r="AH171">
        <v>0.7</v>
      </c>
    </row>
    <row r="172" spans="1:34" x14ac:dyDescent="0.25">
      <c r="A172" s="2">
        <v>45663</v>
      </c>
      <c r="B172" t="s">
        <v>2152</v>
      </c>
      <c r="C172" t="s">
        <v>2153</v>
      </c>
      <c r="D172">
        <v>33</v>
      </c>
      <c r="E172">
        <v>0.34653465346534651</v>
      </c>
      <c r="F172">
        <v>0</v>
      </c>
      <c r="G172">
        <v>10.79</v>
      </c>
      <c r="H172">
        <v>0.02</v>
      </c>
      <c r="I172">
        <v>10.77</v>
      </c>
      <c r="J172">
        <v>0</v>
      </c>
      <c r="K172">
        <v>0</v>
      </c>
      <c r="L172">
        <v>0</v>
      </c>
      <c r="M172" t="s">
        <v>2154</v>
      </c>
      <c r="N172">
        <v>0</v>
      </c>
      <c r="O172">
        <v>33</v>
      </c>
      <c r="P172">
        <v>9.77</v>
      </c>
      <c r="Q172">
        <v>30</v>
      </c>
      <c r="R172">
        <v>1.01</v>
      </c>
      <c r="S172">
        <v>9.48</v>
      </c>
      <c r="T172">
        <v>8.5399999999999991</v>
      </c>
      <c r="U172">
        <v>3.06</v>
      </c>
      <c r="V172">
        <v>35</v>
      </c>
      <c r="W172">
        <v>36</v>
      </c>
      <c r="X172">
        <v>0</v>
      </c>
      <c r="Y172">
        <v>0</v>
      </c>
      <c r="Z172">
        <v>0</v>
      </c>
      <c r="AA172" t="s">
        <v>115</v>
      </c>
      <c r="AB172">
        <v>10.77</v>
      </c>
      <c r="AC172">
        <v>0.1</v>
      </c>
      <c r="AD172">
        <v>0.05</v>
      </c>
      <c r="AE172">
        <v>0</v>
      </c>
      <c r="AF172" t="s">
        <v>2143</v>
      </c>
      <c r="AG172" t="s">
        <v>1747</v>
      </c>
      <c r="AH172">
        <v>0.7</v>
      </c>
    </row>
    <row r="173" spans="1:34" x14ac:dyDescent="0.25">
      <c r="A173" s="2">
        <v>45663</v>
      </c>
      <c r="B173" t="s">
        <v>2155</v>
      </c>
      <c r="C173" t="s">
        <v>2156</v>
      </c>
      <c r="D173">
        <v>27</v>
      </c>
      <c r="E173">
        <v>0.95652173913043481</v>
      </c>
      <c r="F173">
        <v>4.5454545454545456E-2</v>
      </c>
      <c r="G173">
        <v>20.77</v>
      </c>
      <c r="H173">
        <v>0</v>
      </c>
      <c r="I173">
        <v>20.77</v>
      </c>
      <c r="J173">
        <v>268.91000000000003</v>
      </c>
      <c r="K173">
        <v>2</v>
      </c>
      <c r="L173">
        <v>0</v>
      </c>
      <c r="M173" t="s">
        <v>2157</v>
      </c>
      <c r="N173">
        <v>10</v>
      </c>
      <c r="O173">
        <v>17</v>
      </c>
      <c r="P173">
        <v>18.61</v>
      </c>
      <c r="Q173">
        <v>2</v>
      </c>
      <c r="R173">
        <v>2.16</v>
      </c>
      <c r="S173">
        <v>8.2100000000000009</v>
      </c>
      <c r="T173">
        <v>8.0500000000000007</v>
      </c>
      <c r="U173">
        <v>1.3</v>
      </c>
      <c r="V173">
        <v>44</v>
      </c>
      <c r="W173">
        <v>0</v>
      </c>
      <c r="X173">
        <v>2</v>
      </c>
      <c r="Y173">
        <v>0</v>
      </c>
      <c r="Z173">
        <v>0</v>
      </c>
      <c r="AA173" t="s">
        <v>115</v>
      </c>
      <c r="AB173">
        <v>20.77</v>
      </c>
      <c r="AC173">
        <v>0.1</v>
      </c>
      <c r="AD173">
        <v>0.05</v>
      </c>
      <c r="AE173">
        <v>0</v>
      </c>
      <c r="AF173" t="s">
        <v>2144</v>
      </c>
      <c r="AG173" t="s">
        <v>1599</v>
      </c>
      <c r="AH173">
        <v>0.7</v>
      </c>
    </row>
    <row r="174" spans="1:34" x14ac:dyDescent="0.25">
      <c r="A174" s="2">
        <v>45663</v>
      </c>
      <c r="B174" t="s">
        <v>2158</v>
      </c>
      <c r="C174" t="s">
        <v>2159</v>
      </c>
      <c r="D174">
        <v>40</v>
      </c>
      <c r="E174">
        <v>0.58666666666666667</v>
      </c>
      <c r="F174">
        <v>6.8181818181818177E-2</v>
      </c>
      <c r="G174">
        <v>19.93</v>
      </c>
      <c r="H174">
        <v>0</v>
      </c>
      <c r="I174">
        <v>19.93</v>
      </c>
      <c r="J174">
        <v>409.96</v>
      </c>
      <c r="K174">
        <v>7.5</v>
      </c>
      <c r="L174">
        <v>0</v>
      </c>
      <c r="M174" t="s">
        <v>2160</v>
      </c>
      <c r="N174">
        <v>6</v>
      </c>
      <c r="O174">
        <v>34</v>
      </c>
      <c r="P174">
        <v>18.82</v>
      </c>
      <c r="Q174">
        <v>1</v>
      </c>
      <c r="R174">
        <v>1.1100000000000001</v>
      </c>
      <c r="S174">
        <v>3.92</v>
      </c>
      <c r="T174">
        <v>3.89</v>
      </c>
      <c r="U174">
        <v>2.0099999999999998</v>
      </c>
      <c r="V174">
        <v>44</v>
      </c>
      <c r="W174">
        <v>30</v>
      </c>
      <c r="X174">
        <v>3</v>
      </c>
      <c r="Y174">
        <v>0</v>
      </c>
      <c r="Z174">
        <v>0</v>
      </c>
      <c r="AA174" t="s">
        <v>115</v>
      </c>
      <c r="AB174">
        <v>19.93</v>
      </c>
      <c r="AC174">
        <v>0.1</v>
      </c>
      <c r="AD174">
        <v>0.05</v>
      </c>
      <c r="AE174">
        <v>0</v>
      </c>
      <c r="AF174" t="s">
        <v>2145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AA47"/>
  <sheetViews>
    <sheetView showGridLines="0" workbookViewId="0">
      <selection activeCell="K3" sqref="K3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  <col min="10" max="10" width="17" customWidth="1"/>
  </cols>
  <sheetData>
    <row r="3" spans="1:27" ht="30" x14ac:dyDescent="0.25">
      <c r="A3" s="89" t="s">
        <v>16</v>
      </c>
      <c r="B3" s="89" t="s">
        <v>42</v>
      </c>
      <c r="C3" t="s">
        <v>2047</v>
      </c>
      <c r="D3" t="s">
        <v>2048</v>
      </c>
      <c r="J3" s="90" t="s">
        <v>16</v>
      </c>
      <c r="K3" s="91" t="s">
        <v>42</v>
      </c>
      <c r="L3" s="92" t="s">
        <v>2161</v>
      </c>
      <c r="M3" s="92" t="s">
        <v>2180</v>
      </c>
      <c r="N3" s="92" t="s">
        <v>2162</v>
      </c>
      <c r="O3" s="92" t="s">
        <v>39</v>
      </c>
      <c r="P3" s="92" t="s">
        <v>2163</v>
      </c>
      <c r="Q3" s="93" t="s">
        <v>2164</v>
      </c>
      <c r="R3" t="s">
        <v>2181</v>
      </c>
      <c r="U3" t="s">
        <v>16</v>
      </c>
      <c r="V3" t="s">
        <v>35</v>
      </c>
      <c r="W3" t="s">
        <v>10</v>
      </c>
      <c r="X3" t="s">
        <v>192</v>
      </c>
      <c r="Y3" t="s">
        <v>2162</v>
      </c>
    </row>
    <row r="4" spans="1:27" hidden="1" x14ac:dyDescent="0.25">
      <c r="A4" t="s">
        <v>1749</v>
      </c>
      <c r="B4" t="s">
        <v>114</v>
      </c>
      <c r="C4">
        <v>50.59</v>
      </c>
      <c r="D4">
        <v>50</v>
      </c>
      <c r="E4">
        <f>+C4-D4</f>
        <v>0.59000000000000341</v>
      </c>
      <c r="J4" s="94" t="s">
        <v>1749</v>
      </c>
      <c r="K4" s="95" t="s">
        <v>114</v>
      </c>
      <c r="L4" s="96">
        <v>50</v>
      </c>
      <c r="M4" s="96"/>
      <c r="N4" s="96">
        <f t="shared" ref="N4:N44" si="0">+L4+M4</f>
        <v>50</v>
      </c>
      <c r="O4" s="96">
        <v>50.59</v>
      </c>
      <c r="P4" s="96">
        <v>50</v>
      </c>
      <c r="Q4" s="98">
        <f>+O4-P4</f>
        <v>0.59000000000000341</v>
      </c>
      <c r="R4" s="49">
        <f>+O4/L4</f>
        <v>1.0118</v>
      </c>
      <c r="S4">
        <f>+L4+M4-O4</f>
        <v>-0.59000000000000341</v>
      </c>
      <c r="U4" t="s">
        <v>1749</v>
      </c>
      <c r="V4" t="s">
        <v>114</v>
      </c>
      <c r="W4">
        <v>50</v>
      </c>
      <c r="Y4">
        <f>+W4+X4</f>
        <v>50</v>
      </c>
      <c r="AA4" t="b">
        <f t="shared" ref="AA4:AA44" si="1">J4=U4</f>
        <v>1</v>
      </c>
    </row>
    <row r="5" spans="1:27" hidden="1" x14ac:dyDescent="0.25">
      <c r="A5" t="s">
        <v>1749</v>
      </c>
      <c r="B5" t="s">
        <v>115</v>
      </c>
      <c r="C5">
        <v>49.83</v>
      </c>
      <c r="D5">
        <v>49.83</v>
      </c>
      <c r="E5">
        <f t="shared" ref="E5:E45" si="2">+C5-D5</f>
        <v>0</v>
      </c>
      <c r="J5" s="94" t="s">
        <v>1749</v>
      </c>
      <c r="K5" s="95" t="s">
        <v>115</v>
      </c>
      <c r="L5" s="96">
        <v>50</v>
      </c>
      <c r="M5" s="96"/>
      <c r="N5" s="96">
        <f t="shared" si="0"/>
        <v>50</v>
      </c>
      <c r="O5" s="96">
        <v>49.83</v>
      </c>
      <c r="P5" s="96">
        <v>49.83</v>
      </c>
      <c r="Q5" s="97">
        <f t="shared" ref="Q5:Q13" si="3">+O5-P5</f>
        <v>0</v>
      </c>
      <c r="R5" s="49">
        <f t="shared" ref="R5:R44" si="4">+O5/L5</f>
        <v>0.99659999999999993</v>
      </c>
      <c r="S5">
        <f t="shared" ref="S5:S44" si="5">+L5+M5-O5</f>
        <v>0.17000000000000171</v>
      </c>
      <c r="U5" t="s">
        <v>1749</v>
      </c>
      <c r="V5" t="s">
        <v>115</v>
      </c>
      <c r="W5">
        <v>50</v>
      </c>
      <c r="Y5">
        <f t="shared" ref="Y5:Y15" si="6">+W5+X5</f>
        <v>50</v>
      </c>
      <c r="AA5" t="b">
        <f t="shared" si="1"/>
        <v>1</v>
      </c>
    </row>
    <row r="6" spans="1:27" hidden="1" x14ac:dyDescent="0.25">
      <c r="A6" t="s">
        <v>1815</v>
      </c>
      <c r="B6" t="s">
        <v>114</v>
      </c>
      <c r="C6">
        <v>50.11</v>
      </c>
      <c r="D6">
        <v>50</v>
      </c>
      <c r="E6">
        <f t="shared" si="2"/>
        <v>0.10999999999999943</v>
      </c>
      <c r="J6" s="94" t="s">
        <v>1815</v>
      </c>
      <c r="K6" s="95" t="s">
        <v>114</v>
      </c>
      <c r="L6" s="96">
        <v>50</v>
      </c>
      <c r="M6" s="96"/>
      <c r="N6" s="96">
        <f t="shared" si="0"/>
        <v>50</v>
      </c>
      <c r="O6" s="96">
        <v>50.11</v>
      </c>
      <c r="P6" s="96">
        <v>50</v>
      </c>
      <c r="Q6" s="97">
        <f t="shared" si="3"/>
        <v>0.10999999999999943</v>
      </c>
      <c r="R6" s="49">
        <f t="shared" si="4"/>
        <v>1.0022</v>
      </c>
      <c r="S6">
        <f t="shared" si="5"/>
        <v>-0.10999999999999943</v>
      </c>
      <c r="U6" t="s">
        <v>1815</v>
      </c>
      <c r="V6" t="s">
        <v>114</v>
      </c>
      <c r="W6">
        <v>50</v>
      </c>
      <c r="Y6">
        <f t="shared" si="6"/>
        <v>50</v>
      </c>
      <c r="AA6" t="b">
        <f t="shared" si="1"/>
        <v>1</v>
      </c>
    </row>
    <row r="7" spans="1:27" hidden="1" x14ac:dyDescent="0.25">
      <c r="A7" t="s">
        <v>1815</v>
      </c>
      <c r="B7" t="s">
        <v>115</v>
      </c>
      <c r="C7">
        <v>50.089999999999996</v>
      </c>
      <c r="D7">
        <v>50</v>
      </c>
      <c r="E7">
        <f t="shared" si="2"/>
        <v>8.9999999999996305E-2</v>
      </c>
      <c r="J7" s="94" t="s">
        <v>1815</v>
      </c>
      <c r="K7" s="95" t="s">
        <v>115</v>
      </c>
      <c r="L7" s="96">
        <v>50</v>
      </c>
      <c r="M7" s="96"/>
      <c r="N7" s="96">
        <f t="shared" si="0"/>
        <v>50</v>
      </c>
      <c r="O7" s="96">
        <v>50.089999999999996</v>
      </c>
      <c r="P7" s="96">
        <v>50</v>
      </c>
      <c r="Q7" s="97">
        <f t="shared" si="3"/>
        <v>8.9999999999996305E-2</v>
      </c>
      <c r="R7" s="49">
        <f t="shared" si="4"/>
        <v>1.0018</v>
      </c>
      <c r="S7">
        <f t="shared" si="5"/>
        <v>-8.9999999999996305E-2</v>
      </c>
      <c r="U7" t="s">
        <v>1815</v>
      </c>
      <c r="V7" t="s">
        <v>115</v>
      </c>
      <c r="W7">
        <v>50</v>
      </c>
      <c r="Y7">
        <f t="shared" si="6"/>
        <v>50</v>
      </c>
      <c r="AA7" t="b">
        <f t="shared" si="1"/>
        <v>1</v>
      </c>
    </row>
    <row r="8" spans="1:27" hidden="1" x14ac:dyDescent="0.25">
      <c r="A8" t="s">
        <v>1814</v>
      </c>
      <c r="B8" t="s">
        <v>114</v>
      </c>
      <c r="C8">
        <v>105.23</v>
      </c>
      <c r="D8">
        <v>105.23</v>
      </c>
      <c r="E8">
        <f t="shared" si="2"/>
        <v>0</v>
      </c>
      <c r="J8" s="94" t="s">
        <v>1814</v>
      </c>
      <c r="K8" s="95" t="s">
        <v>114</v>
      </c>
      <c r="L8" s="96">
        <v>100</v>
      </c>
      <c r="M8" s="96">
        <v>6</v>
      </c>
      <c r="N8" s="96">
        <f t="shared" si="0"/>
        <v>106</v>
      </c>
      <c r="O8" s="96">
        <v>105.23</v>
      </c>
      <c r="P8" s="96">
        <v>105.23</v>
      </c>
      <c r="Q8" s="97">
        <f t="shared" si="3"/>
        <v>0</v>
      </c>
      <c r="R8" s="49">
        <f t="shared" si="4"/>
        <v>1.0523</v>
      </c>
      <c r="S8">
        <f t="shared" si="5"/>
        <v>0.76999999999999602</v>
      </c>
      <c r="U8" t="s">
        <v>1814</v>
      </c>
      <c r="V8" t="s">
        <v>114</v>
      </c>
      <c r="W8">
        <v>100</v>
      </c>
      <c r="X8">
        <v>6</v>
      </c>
      <c r="Y8">
        <f t="shared" si="6"/>
        <v>106</v>
      </c>
      <c r="AA8" t="b">
        <f t="shared" si="1"/>
        <v>1</v>
      </c>
    </row>
    <row r="9" spans="1:27" hidden="1" x14ac:dyDescent="0.25">
      <c r="A9" t="s">
        <v>1814</v>
      </c>
      <c r="B9" t="s">
        <v>115</v>
      </c>
      <c r="C9">
        <v>104.53</v>
      </c>
      <c r="D9">
        <v>104.53</v>
      </c>
      <c r="E9">
        <f t="shared" si="2"/>
        <v>0</v>
      </c>
      <c r="J9" s="94" t="s">
        <v>1814</v>
      </c>
      <c r="K9" s="95" t="s">
        <v>115</v>
      </c>
      <c r="L9" s="96">
        <v>100</v>
      </c>
      <c r="M9" s="96">
        <v>5</v>
      </c>
      <c r="N9" s="96">
        <f t="shared" si="0"/>
        <v>105</v>
      </c>
      <c r="O9" s="96">
        <v>104.53</v>
      </c>
      <c r="P9" s="96">
        <v>104.53</v>
      </c>
      <c r="Q9" s="98">
        <f t="shared" si="3"/>
        <v>0</v>
      </c>
      <c r="R9" s="49">
        <f t="shared" si="4"/>
        <v>1.0453000000000001</v>
      </c>
      <c r="S9">
        <f t="shared" si="5"/>
        <v>0.46999999999999886</v>
      </c>
      <c r="U9" t="s">
        <v>1814</v>
      </c>
      <c r="V9" t="s">
        <v>115</v>
      </c>
      <c r="W9">
        <v>100</v>
      </c>
      <c r="X9">
        <v>3</v>
      </c>
      <c r="Y9">
        <f t="shared" si="6"/>
        <v>103</v>
      </c>
      <c r="AA9" t="b">
        <f t="shared" si="1"/>
        <v>1</v>
      </c>
    </row>
    <row r="10" spans="1:27" hidden="1" x14ac:dyDescent="0.25">
      <c r="A10" t="s">
        <v>1599</v>
      </c>
      <c r="B10" t="s">
        <v>114</v>
      </c>
      <c r="C10">
        <v>759.67</v>
      </c>
      <c r="D10">
        <v>759.67</v>
      </c>
      <c r="E10">
        <f t="shared" si="2"/>
        <v>0</v>
      </c>
      <c r="J10" s="94" t="s">
        <v>1599</v>
      </c>
      <c r="K10" s="95" t="s">
        <v>114</v>
      </c>
      <c r="L10" s="96">
        <v>800</v>
      </c>
      <c r="M10" s="96"/>
      <c r="N10" s="96">
        <f t="shared" si="0"/>
        <v>800</v>
      </c>
      <c r="O10" s="96">
        <v>759.67</v>
      </c>
      <c r="P10" s="96">
        <v>759.67</v>
      </c>
      <c r="Q10" s="97">
        <f t="shared" si="3"/>
        <v>0</v>
      </c>
      <c r="R10" s="49">
        <f t="shared" si="4"/>
        <v>0.94958749999999992</v>
      </c>
      <c r="S10">
        <f t="shared" si="5"/>
        <v>40.330000000000041</v>
      </c>
      <c r="U10" t="s">
        <v>2165</v>
      </c>
      <c r="V10" t="s">
        <v>114</v>
      </c>
      <c r="W10">
        <v>800</v>
      </c>
      <c r="Y10">
        <f t="shared" si="6"/>
        <v>800</v>
      </c>
      <c r="AA10" t="b">
        <f t="shared" si="1"/>
        <v>1</v>
      </c>
    </row>
    <row r="11" spans="1:27" hidden="1" x14ac:dyDescent="0.25">
      <c r="A11" t="s">
        <v>1599</v>
      </c>
      <c r="B11" t="s">
        <v>115</v>
      </c>
      <c r="C11">
        <v>761.53999999999985</v>
      </c>
      <c r="D11">
        <v>761.53999999999985</v>
      </c>
      <c r="E11">
        <f t="shared" si="2"/>
        <v>0</v>
      </c>
      <c r="J11" s="94" t="s">
        <v>1599</v>
      </c>
      <c r="K11" s="95" t="s">
        <v>115</v>
      </c>
      <c r="L11" s="96">
        <v>800</v>
      </c>
      <c r="M11" s="96"/>
      <c r="N11" s="96">
        <f t="shared" si="0"/>
        <v>800</v>
      </c>
      <c r="O11" s="96">
        <v>761.53999999999985</v>
      </c>
      <c r="P11" s="96">
        <v>761.53999999999985</v>
      </c>
      <c r="Q11" s="97">
        <f t="shared" si="3"/>
        <v>0</v>
      </c>
      <c r="R11" s="49">
        <f t="shared" si="4"/>
        <v>0.9519249999999998</v>
      </c>
      <c r="S11">
        <f t="shared" si="5"/>
        <v>38.46000000000015</v>
      </c>
      <c r="U11" t="s">
        <v>2165</v>
      </c>
      <c r="V11" t="s">
        <v>115</v>
      </c>
      <c r="W11">
        <v>800</v>
      </c>
      <c r="Y11">
        <f t="shared" si="6"/>
        <v>800</v>
      </c>
      <c r="AA11" t="b">
        <f t="shared" si="1"/>
        <v>1</v>
      </c>
    </row>
    <row r="12" spans="1:27" hidden="1" x14ac:dyDescent="0.25">
      <c r="A12" t="s">
        <v>1667</v>
      </c>
      <c r="B12" t="s">
        <v>114</v>
      </c>
      <c r="C12">
        <v>42.01</v>
      </c>
      <c r="D12">
        <v>42.01</v>
      </c>
      <c r="E12">
        <f t="shared" si="2"/>
        <v>0</v>
      </c>
      <c r="J12" s="94" t="s">
        <v>1667</v>
      </c>
      <c r="K12" s="95" t="s">
        <v>114</v>
      </c>
      <c r="L12" s="96">
        <v>42.01</v>
      </c>
      <c r="M12" s="96"/>
      <c r="N12" s="96">
        <f t="shared" si="0"/>
        <v>42.01</v>
      </c>
      <c r="O12" s="96">
        <v>42.01</v>
      </c>
      <c r="P12" s="96">
        <v>42.01</v>
      </c>
      <c r="Q12" s="107">
        <f t="shared" si="3"/>
        <v>0</v>
      </c>
      <c r="R12" s="108">
        <f t="shared" si="4"/>
        <v>1</v>
      </c>
      <c r="S12">
        <f t="shared" si="5"/>
        <v>0</v>
      </c>
      <c r="U12" t="s">
        <v>1667</v>
      </c>
      <c r="V12" t="s">
        <v>114</v>
      </c>
      <c r="W12">
        <v>50</v>
      </c>
      <c r="Y12">
        <f t="shared" si="6"/>
        <v>50</v>
      </c>
      <c r="AA12" t="b">
        <f t="shared" si="1"/>
        <v>1</v>
      </c>
    </row>
    <row r="13" spans="1:27" x14ac:dyDescent="0.25">
      <c r="A13" t="s">
        <v>1667</v>
      </c>
      <c r="B13" t="s">
        <v>115</v>
      </c>
      <c r="C13">
        <v>22.21</v>
      </c>
      <c r="D13">
        <v>22.21</v>
      </c>
      <c r="E13">
        <f t="shared" si="2"/>
        <v>0</v>
      </c>
      <c r="J13" s="104" t="s">
        <v>1667</v>
      </c>
      <c r="K13" s="105" t="s">
        <v>115</v>
      </c>
      <c r="L13" s="106">
        <v>50</v>
      </c>
      <c r="M13" s="106"/>
      <c r="N13" s="101">
        <f t="shared" si="0"/>
        <v>50</v>
      </c>
      <c r="O13" s="106">
        <v>22.21</v>
      </c>
      <c r="P13" s="106">
        <v>22.21</v>
      </c>
      <c r="Q13" s="102">
        <f t="shared" si="3"/>
        <v>0</v>
      </c>
      <c r="R13" s="103">
        <f t="shared" si="4"/>
        <v>0.44420000000000004</v>
      </c>
      <c r="S13">
        <f t="shared" si="5"/>
        <v>27.79</v>
      </c>
      <c r="U13" t="s">
        <v>1667</v>
      </c>
      <c r="V13" t="s">
        <v>115</v>
      </c>
      <c r="W13">
        <v>50</v>
      </c>
      <c r="Y13">
        <f t="shared" si="6"/>
        <v>50</v>
      </c>
      <c r="AA13" t="b">
        <f t="shared" si="1"/>
        <v>1</v>
      </c>
    </row>
    <row r="14" spans="1:27" hidden="1" x14ac:dyDescent="0.25">
      <c r="A14" t="s">
        <v>1812</v>
      </c>
      <c r="B14" t="s">
        <v>114</v>
      </c>
      <c r="C14">
        <v>60.370000000000005</v>
      </c>
      <c r="D14">
        <v>60</v>
      </c>
      <c r="E14">
        <f t="shared" si="2"/>
        <v>0.37000000000000455</v>
      </c>
      <c r="J14" s="94" t="s">
        <v>1812</v>
      </c>
      <c r="K14" s="95" t="s">
        <v>114</v>
      </c>
      <c r="L14" s="96">
        <v>50</v>
      </c>
      <c r="M14" s="96">
        <v>10</v>
      </c>
      <c r="N14" s="96">
        <f t="shared" si="0"/>
        <v>60</v>
      </c>
      <c r="O14" s="96">
        <v>60.370000000000005</v>
      </c>
      <c r="P14" s="96">
        <v>60</v>
      </c>
      <c r="Q14" s="97">
        <f t="shared" ref="Q14:Q44" si="7">+O14-P14</f>
        <v>0.37000000000000455</v>
      </c>
      <c r="R14" s="49">
        <f t="shared" si="4"/>
        <v>1.2074</v>
      </c>
      <c r="S14">
        <f t="shared" si="5"/>
        <v>-0.37000000000000455</v>
      </c>
      <c r="U14" t="s">
        <v>2166</v>
      </c>
      <c r="V14" t="s">
        <v>114</v>
      </c>
      <c r="W14">
        <v>50</v>
      </c>
      <c r="X14">
        <v>10</v>
      </c>
      <c r="Y14">
        <f t="shared" si="6"/>
        <v>60</v>
      </c>
      <c r="AA14" t="b">
        <f t="shared" si="1"/>
        <v>1</v>
      </c>
    </row>
    <row r="15" spans="1:27" hidden="1" x14ac:dyDescent="0.25">
      <c r="A15" t="s">
        <v>1812</v>
      </c>
      <c r="B15" t="s">
        <v>115</v>
      </c>
      <c r="C15">
        <v>35.160000000000004</v>
      </c>
      <c r="D15">
        <v>35.159999999999997</v>
      </c>
      <c r="E15">
        <f t="shared" si="2"/>
        <v>0</v>
      </c>
      <c r="J15" s="94" t="s">
        <v>1812</v>
      </c>
      <c r="K15" s="95" t="s">
        <v>115</v>
      </c>
      <c r="L15" s="96">
        <v>35.159999999999997</v>
      </c>
      <c r="M15" s="96"/>
      <c r="N15" s="96">
        <f t="shared" si="0"/>
        <v>35.159999999999997</v>
      </c>
      <c r="O15" s="96">
        <v>35.160000000000004</v>
      </c>
      <c r="P15" s="96">
        <v>35.160000000000004</v>
      </c>
      <c r="Q15" s="107">
        <f t="shared" si="7"/>
        <v>0</v>
      </c>
      <c r="R15" s="108">
        <f t="shared" si="4"/>
        <v>1.0000000000000002</v>
      </c>
      <c r="S15">
        <f t="shared" si="5"/>
        <v>0</v>
      </c>
      <c r="U15" t="s">
        <v>2166</v>
      </c>
      <c r="V15" t="s">
        <v>115</v>
      </c>
      <c r="W15">
        <v>50</v>
      </c>
      <c r="Y15">
        <f t="shared" si="6"/>
        <v>50</v>
      </c>
      <c r="AA15" t="b">
        <f t="shared" si="1"/>
        <v>1</v>
      </c>
    </row>
    <row r="16" spans="1:27" hidden="1" x14ac:dyDescent="0.25">
      <c r="A16" t="s">
        <v>1750</v>
      </c>
      <c r="B16" t="s">
        <v>115</v>
      </c>
      <c r="C16">
        <v>50.02</v>
      </c>
      <c r="D16">
        <v>50</v>
      </c>
      <c r="E16">
        <f t="shared" si="2"/>
        <v>2.0000000000003126E-2</v>
      </c>
      <c r="J16" s="94" t="s">
        <v>1750</v>
      </c>
      <c r="K16" s="95" t="s">
        <v>115</v>
      </c>
      <c r="L16" s="96">
        <v>50</v>
      </c>
      <c r="M16" s="96"/>
      <c r="N16" s="96">
        <f t="shared" si="0"/>
        <v>50</v>
      </c>
      <c r="O16" s="96">
        <v>50.02</v>
      </c>
      <c r="P16" s="96">
        <v>50</v>
      </c>
      <c r="Q16" s="97">
        <f t="shared" si="7"/>
        <v>2.0000000000003126E-2</v>
      </c>
      <c r="R16" s="49">
        <f t="shared" si="4"/>
        <v>1.0004</v>
      </c>
      <c r="S16">
        <f t="shared" si="5"/>
        <v>-2.0000000000003126E-2</v>
      </c>
      <c r="U16" t="s">
        <v>2167</v>
      </c>
      <c r="V16" t="s">
        <v>115</v>
      </c>
      <c r="W16">
        <v>50</v>
      </c>
      <c r="Y16">
        <f t="shared" ref="Y16:Y28" si="8">+W16+X16</f>
        <v>50</v>
      </c>
      <c r="AA16" t="b">
        <f t="shared" si="1"/>
        <v>1</v>
      </c>
    </row>
    <row r="17" spans="1:27" hidden="1" x14ac:dyDescent="0.25">
      <c r="A17" t="s">
        <v>1600</v>
      </c>
      <c r="B17" t="s">
        <v>114</v>
      </c>
      <c r="C17">
        <v>483.51</v>
      </c>
      <c r="D17">
        <v>483.51</v>
      </c>
      <c r="E17">
        <f t="shared" si="2"/>
        <v>0</v>
      </c>
      <c r="J17" s="94" t="s">
        <v>1600</v>
      </c>
      <c r="K17" s="95" t="s">
        <v>114</v>
      </c>
      <c r="L17" s="96">
        <v>485</v>
      </c>
      <c r="M17" s="96"/>
      <c r="N17" s="96">
        <f t="shared" si="0"/>
        <v>485</v>
      </c>
      <c r="O17" s="96">
        <v>483.51</v>
      </c>
      <c r="P17" s="96">
        <v>483.51</v>
      </c>
      <c r="Q17" s="97">
        <f t="shared" si="7"/>
        <v>0</v>
      </c>
      <c r="R17" s="49">
        <f t="shared" si="4"/>
        <v>0.99692783505154636</v>
      </c>
      <c r="S17">
        <f t="shared" si="5"/>
        <v>1.4900000000000091</v>
      </c>
      <c r="U17" t="s">
        <v>2168</v>
      </c>
      <c r="V17" t="s">
        <v>114</v>
      </c>
      <c r="W17">
        <v>485</v>
      </c>
      <c r="Y17">
        <f t="shared" si="8"/>
        <v>485</v>
      </c>
      <c r="AA17" t="b">
        <f t="shared" si="1"/>
        <v>1</v>
      </c>
    </row>
    <row r="18" spans="1:27" hidden="1" x14ac:dyDescent="0.25">
      <c r="A18" t="s">
        <v>1600</v>
      </c>
      <c r="B18" t="s">
        <v>115</v>
      </c>
      <c r="C18">
        <v>547.21</v>
      </c>
      <c r="D18">
        <v>547</v>
      </c>
      <c r="E18">
        <f t="shared" si="2"/>
        <v>0.21000000000003638</v>
      </c>
      <c r="J18" s="94" t="s">
        <v>1600</v>
      </c>
      <c r="K18" s="95" t="s">
        <v>115</v>
      </c>
      <c r="L18" s="96">
        <v>540</v>
      </c>
      <c r="M18" s="96">
        <v>7</v>
      </c>
      <c r="N18" s="96">
        <f t="shared" si="0"/>
        <v>547</v>
      </c>
      <c r="O18" s="96">
        <v>547.21</v>
      </c>
      <c r="P18" s="96">
        <v>547</v>
      </c>
      <c r="Q18" s="98">
        <f t="shared" si="7"/>
        <v>0.21000000000003638</v>
      </c>
      <c r="R18" s="49">
        <f t="shared" si="4"/>
        <v>1.0133518518518518</v>
      </c>
      <c r="S18">
        <f t="shared" si="5"/>
        <v>-0.21000000000003638</v>
      </c>
      <c r="U18" t="s">
        <v>2168</v>
      </c>
      <c r="V18" t="s">
        <v>115</v>
      </c>
      <c r="W18">
        <v>540</v>
      </c>
      <c r="Y18">
        <f t="shared" si="8"/>
        <v>540</v>
      </c>
      <c r="AA18" t="b">
        <f t="shared" si="1"/>
        <v>1</v>
      </c>
    </row>
    <row r="19" spans="1:27" hidden="1" x14ac:dyDescent="0.25">
      <c r="A19" t="s">
        <v>1742</v>
      </c>
      <c r="B19" t="s">
        <v>114</v>
      </c>
      <c r="C19">
        <v>60.13</v>
      </c>
      <c r="D19">
        <v>60</v>
      </c>
      <c r="E19">
        <f t="shared" si="2"/>
        <v>0.13000000000000256</v>
      </c>
      <c r="J19" s="94" t="s">
        <v>1742</v>
      </c>
      <c r="K19" s="95" t="s">
        <v>114</v>
      </c>
      <c r="L19" s="96">
        <v>50</v>
      </c>
      <c r="M19" s="96">
        <v>10</v>
      </c>
      <c r="N19" s="96">
        <f t="shared" si="0"/>
        <v>60</v>
      </c>
      <c r="O19" s="96">
        <v>60.13</v>
      </c>
      <c r="P19" s="96">
        <v>60</v>
      </c>
      <c r="Q19" s="97">
        <f t="shared" si="7"/>
        <v>0.13000000000000256</v>
      </c>
      <c r="R19" s="49">
        <f t="shared" si="4"/>
        <v>1.2026000000000001</v>
      </c>
      <c r="S19">
        <f t="shared" si="5"/>
        <v>-0.13000000000000256</v>
      </c>
      <c r="U19" t="s">
        <v>2169</v>
      </c>
      <c r="V19" t="s">
        <v>114</v>
      </c>
      <c r="W19">
        <v>50</v>
      </c>
      <c r="X19">
        <v>10</v>
      </c>
      <c r="Y19">
        <f t="shared" si="8"/>
        <v>60</v>
      </c>
      <c r="AA19" t="b">
        <f t="shared" si="1"/>
        <v>1</v>
      </c>
    </row>
    <row r="20" spans="1:27" hidden="1" x14ac:dyDescent="0.25">
      <c r="A20" t="s">
        <v>1742</v>
      </c>
      <c r="B20" t="s">
        <v>115</v>
      </c>
      <c r="C20">
        <v>52.970000000000006</v>
      </c>
      <c r="D20">
        <v>52.970000000000006</v>
      </c>
      <c r="E20">
        <f t="shared" si="2"/>
        <v>0</v>
      </c>
      <c r="J20" s="94" t="s">
        <v>1742</v>
      </c>
      <c r="K20" s="95" t="s">
        <v>115</v>
      </c>
      <c r="L20" s="96">
        <v>50</v>
      </c>
      <c r="M20" s="96">
        <v>5</v>
      </c>
      <c r="N20" s="96">
        <f t="shared" si="0"/>
        <v>55</v>
      </c>
      <c r="O20" s="96">
        <v>52.970000000000006</v>
      </c>
      <c r="P20" s="96">
        <v>52.970000000000006</v>
      </c>
      <c r="Q20" s="97">
        <f t="shared" si="7"/>
        <v>0</v>
      </c>
      <c r="R20" s="49">
        <f t="shared" si="4"/>
        <v>1.0594000000000001</v>
      </c>
      <c r="S20">
        <f t="shared" si="5"/>
        <v>2.029999999999994</v>
      </c>
      <c r="U20" t="s">
        <v>2169</v>
      </c>
      <c r="V20" t="s">
        <v>115</v>
      </c>
      <c r="W20">
        <v>50</v>
      </c>
      <c r="X20">
        <v>5</v>
      </c>
      <c r="Y20">
        <f t="shared" si="8"/>
        <v>55</v>
      </c>
      <c r="AA20" t="b">
        <f t="shared" si="1"/>
        <v>1</v>
      </c>
    </row>
    <row r="21" spans="1:27" hidden="1" x14ac:dyDescent="0.25">
      <c r="A21" t="s">
        <v>1751</v>
      </c>
      <c r="B21" t="s">
        <v>114</v>
      </c>
      <c r="C21">
        <v>52.04</v>
      </c>
      <c r="D21">
        <v>52</v>
      </c>
      <c r="E21">
        <f t="shared" si="2"/>
        <v>3.9999999999999147E-2</v>
      </c>
      <c r="J21" s="94" t="s">
        <v>1751</v>
      </c>
      <c r="K21" s="95" t="s">
        <v>114</v>
      </c>
      <c r="L21" s="96">
        <v>50</v>
      </c>
      <c r="M21" s="96">
        <v>2</v>
      </c>
      <c r="N21" s="96">
        <f t="shared" si="0"/>
        <v>52</v>
      </c>
      <c r="O21" s="96">
        <v>52.04</v>
      </c>
      <c r="P21" s="96">
        <v>52</v>
      </c>
      <c r="Q21" s="97">
        <f t="shared" si="7"/>
        <v>3.9999999999999147E-2</v>
      </c>
      <c r="R21" s="49">
        <f t="shared" si="4"/>
        <v>1.0407999999999999</v>
      </c>
      <c r="S21">
        <f t="shared" si="5"/>
        <v>-3.9999999999999147E-2</v>
      </c>
      <c r="U21" t="s">
        <v>2170</v>
      </c>
      <c r="V21" t="s">
        <v>114</v>
      </c>
      <c r="W21">
        <v>50</v>
      </c>
      <c r="X21">
        <v>2</v>
      </c>
      <c r="Y21">
        <f t="shared" si="8"/>
        <v>52</v>
      </c>
      <c r="AA21" t="b">
        <f t="shared" si="1"/>
        <v>1</v>
      </c>
    </row>
    <row r="22" spans="1:27" hidden="1" x14ac:dyDescent="0.25">
      <c r="A22" t="s">
        <v>1751</v>
      </c>
      <c r="B22" t="s">
        <v>115</v>
      </c>
      <c r="C22">
        <v>52.62</v>
      </c>
      <c r="D22">
        <v>52.62</v>
      </c>
      <c r="E22">
        <f t="shared" si="2"/>
        <v>0</v>
      </c>
      <c r="J22" s="94" t="s">
        <v>1751</v>
      </c>
      <c r="K22" s="95" t="s">
        <v>115</v>
      </c>
      <c r="L22" s="96">
        <v>50</v>
      </c>
      <c r="M22" s="96">
        <v>5</v>
      </c>
      <c r="N22" s="96">
        <f t="shared" si="0"/>
        <v>55</v>
      </c>
      <c r="O22" s="96">
        <v>52.62</v>
      </c>
      <c r="P22" s="96">
        <v>52.62</v>
      </c>
      <c r="Q22" s="97">
        <f t="shared" si="7"/>
        <v>0</v>
      </c>
      <c r="R22" s="49">
        <f t="shared" si="4"/>
        <v>1.0524</v>
      </c>
      <c r="S22">
        <f t="shared" si="5"/>
        <v>2.3800000000000026</v>
      </c>
      <c r="U22" t="s">
        <v>2170</v>
      </c>
      <c r="V22" t="s">
        <v>115</v>
      </c>
      <c r="W22">
        <v>50</v>
      </c>
      <c r="X22">
        <v>5</v>
      </c>
      <c r="Y22">
        <f t="shared" si="8"/>
        <v>55</v>
      </c>
      <c r="AA22" t="b">
        <f t="shared" si="1"/>
        <v>1</v>
      </c>
    </row>
    <row r="23" spans="1:27" hidden="1" x14ac:dyDescent="0.25">
      <c r="A23" t="s">
        <v>1601</v>
      </c>
      <c r="B23" t="s">
        <v>114</v>
      </c>
      <c r="C23">
        <v>533.29</v>
      </c>
      <c r="D23">
        <v>533.29</v>
      </c>
      <c r="E23">
        <f t="shared" si="2"/>
        <v>0</v>
      </c>
      <c r="J23" s="94" t="s">
        <v>1601</v>
      </c>
      <c r="K23" s="95" t="s">
        <v>114</v>
      </c>
      <c r="L23" s="96">
        <v>540</v>
      </c>
      <c r="M23" s="96"/>
      <c r="N23" s="96">
        <f t="shared" si="0"/>
        <v>540</v>
      </c>
      <c r="O23" s="96">
        <v>533.29</v>
      </c>
      <c r="P23" s="96">
        <v>533.29</v>
      </c>
      <c r="Q23" s="97">
        <f t="shared" si="7"/>
        <v>0</v>
      </c>
      <c r="R23" s="49">
        <f t="shared" si="4"/>
        <v>0.98757407407407405</v>
      </c>
      <c r="S23">
        <f t="shared" si="5"/>
        <v>6.7100000000000364</v>
      </c>
      <c r="U23" t="s">
        <v>2171</v>
      </c>
      <c r="V23" t="s">
        <v>114</v>
      </c>
      <c r="W23">
        <v>540</v>
      </c>
      <c r="Y23">
        <f t="shared" si="8"/>
        <v>540</v>
      </c>
      <c r="AA23" t="b">
        <f t="shared" si="1"/>
        <v>1</v>
      </c>
    </row>
    <row r="24" spans="1:27" hidden="1" x14ac:dyDescent="0.25">
      <c r="A24" t="s">
        <v>1601</v>
      </c>
      <c r="B24" t="s">
        <v>115</v>
      </c>
      <c r="C24">
        <v>568.14</v>
      </c>
      <c r="D24">
        <v>568.14</v>
      </c>
      <c r="E24">
        <f t="shared" si="2"/>
        <v>0</v>
      </c>
      <c r="J24" s="94" t="s">
        <v>1601</v>
      </c>
      <c r="K24" s="95" t="s">
        <v>115</v>
      </c>
      <c r="L24" s="96">
        <v>540</v>
      </c>
      <c r="M24" s="96">
        <v>30</v>
      </c>
      <c r="N24" s="96">
        <f t="shared" si="0"/>
        <v>570</v>
      </c>
      <c r="O24" s="96">
        <v>568.14</v>
      </c>
      <c r="P24" s="96">
        <v>568.14</v>
      </c>
      <c r="Q24" s="97">
        <f t="shared" si="7"/>
        <v>0</v>
      </c>
      <c r="R24" s="49">
        <f t="shared" si="4"/>
        <v>1.052111111111111</v>
      </c>
      <c r="S24">
        <f t="shared" si="5"/>
        <v>1.8600000000000136</v>
      </c>
      <c r="U24" t="s">
        <v>2171</v>
      </c>
      <c r="V24" t="s">
        <v>115</v>
      </c>
      <c r="W24">
        <v>540</v>
      </c>
      <c r="X24">
        <v>30</v>
      </c>
      <c r="Y24">
        <f t="shared" si="8"/>
        <v>570</v>
      </c>
      <c r="AA24" t="b">
        <f t="shared" si="1"/>
        <v>1</v>
      </c>
    </row>
    <row r="25" spans="1:27" x14ac:dyDescent="0.25">
      <c r="A25" t="s">
        <v>1746</v>
      </c>
      <c r="B25" t="s">
        <v>114</v>
      </c>
      <c r="C25">
        <v>12.23</v>
      </c>
      <c r="D25">
        <v>12.23</v>
      </c>
      <c r="E25">
        <f t="shared" si="2"/>
        <v>0</v>
      </c>
      <c r="J25" s="99" t="s">
        <v>1746</v>
      </c>
      <c r="K25" s="100" t="s">
        <v>114</v>
      </c>
      <c r="L25" s="101">
        <v>50</v>
      </c>
      <c r="M25" s="101"/>
      <c r="N25" s="101">
        <f t="shared" si="0"/>
        <v>50</v>
      </c>
      <c r="O25" s="101">
        <v>12.23</v>
      </c>
      <c r="P25" s="101">
        <v>12.23</v>
      </c>
      <c r="Q25" s="102">
        <f t="shared" si="7"/>
        <v>0</v>
      </c>
      <c r="R25" s="103">
        <f t="shared" si="4"/>
        <v>0.24460000000000001</v>
      </c>
      <c r="S25">
        <f t="shared" si="5"/>
        <v>37.769999999999996</v>
      </c>
      <c r="U25" t="s">
        <v>2172</v>
      </c>
      <c r="V25" t="s">
        <v>114</v>
      </c>
      <c r="W25">
        <v>50</v>
      </c>
      <c r="Y25">
        <f t="shared" si="8"/>
        <v>50</v>
      </c>
      <c r="AA25" t="b">
        <f t="shared" si="1"/>
        <v>1</v>
      </c>
    </row>
    <row r="26" spans="1:27" x14ac:dyDescent="0.25">
      <c r="A26" t="s">
        <v>1746</v>
      </c>
      <c r="B26" t="s">
        <v>115</v>
      </c>
      <c r="C26">
        <v>26.04</v>
      </c>
      <c r="D26">
        <v>26.04</v>
      </c>
      <c r="E26">
        <f t="shared" si="2"/>
        <v>0</v>
      </c>
      <c r="J26" s="99" t="s">
        <v>1746</v>
      </c>
      <c r="K26" s="100" t="s">
        <v>115</v>
      </c>
      <c r="L26" s="101">
        <v>50</v>
      </c>
      <c r="M26" s="101"/>
      <c r="N26" s="101">
        <f t="shared" si="0"/>
        <v>50</v>
      </c>
      <c r="O26" s="101">
        <v>26.04</v>
      </c>
      <c r="P26" s="101">
        <v>26.04</v>
      </c>
      <c r="Q26" s="102">
        <f t="shared" si="7"/>
        <v>0</v>
      </c>
      <c r="R26" s="103">
        <f t="shared" si="4"/>
        <v>0.52079999999999993</v>
      </c>
      <c r="S26">
        <f t="shared" si="5"/>
        <v>23.96</v>
      </c>
      <c r="U26" t="s">
        <v>2172</v>
      </c>
      <c r="V26" t="s">
        <v>115</v>
      </c>
      <c r="W26">
        <v>50</v>
      </c>
      <c r="Y26">
        <f t="shared" si="8"/>
        <v>50</v>
      </c>
      <c r="AA26" t="b">
        <f t="shared" si="1"/>
        <v>1</v>
      </c>
    </row>
    <row r="27" spans="1:27" hidden="1" x14ac:dyDescent="0.25">
      <c r="A27" t="s">
        <v>1747</v>
      </c>
      <c r="B27" t="s">
        <v>114</v>
      </c>
      <c r="C27">
        <v>154.14999999999998</v>
      </c>
      <c r="D27">
        <v>154.14999999999998</v>
      </c>
      <c r="E27">
        <f t="shared" si="2"/>
        <v>0</v>
      </c>
      <c r="J27" s="94" t="s">
        <v>1747</v>
      </c>
      <c r="K27" s="95" t="s">
        <v>114</v>
      </c>
      <c r="L27" s="96">
        <v>150</v>
      </c>
      <c r="M27" s="96">
        <v>10</v>
      </c>
      <c r="N27" s="96">
        <f t="shared" si="0"/>
        <v>160</v>
      </c>
      <c r="O27" s="96">
        <v>154.14999999999998</v>
      </c>
      <c r="P27" s="96">
        <v>154.14999999999998</v>
      </c>
      <c r="Q27" s="97">
        <f t="shared" si="7"/>
        <v>0</v>
      </c>
      <c r="R27" s="49">
        <f t="shared" si="4"/>
        <v>1.0276666666666665</v>
      </c>
      <c r="S27">
        <f t="shared" si="5"/>
        <v>5.8500000000000227</v>
      </c>
      <c r="U27" t="s">
        <v>2173</v>
      </c>
      <c r="V27" t="s">
        <v>114</v>
      </c>
      <c r="W27">
        <v>150</v>
      </c>
      <c r="X27">
        <v>10</v>
      </c>
      <c r="Y27">
        <f t="shared" si="8"/>
        <v>160</v>
      </c>
      <c r="AA27" t="b">
        <f t="shared" si="1"/>
        <v>1</v>
      </c>
    </row>
    <row r="28" spans="1:27" hidden="1" x14ac:dyDescent="0.25">
      <c r="A28" t="s">
        <v>1747</v>
      </c>
      <c r="B28" t="s">
        <v>115</v>
      </c>
      <c r="C28">
        <v>160.78</v>
      </c>
      <c r="D28">
        <v>160.78</v>
      </c>
      <c r="E28">
        <f t="shared" si="2"/>
        <v>0</v>
      </c>
      <c r="J28" s="94" t="s">
        <v>1747</v>
      </c>
      <c r="K28" s="95" t="s">
        <v>115</v>
      </c>
      <c r="L28" s="96">
        <v>150</v>
      </c>
      <c r="M28" s="96">
        <v>11</v>
      </c>
      <c r="N28" s="96">
        <f t="shared" si="0"/>
        <v>161</v>
      </c>
      <c r="O28" s="96">
        <v>160.78</v>
      </c>
      <c r="P28" s="96">
        <v>160.78</v>
      </c>
      <c r="Q28" s="97">
        <f t="shared" si="7"/>
        <v>0</v>
      </c>
      <c r="R28" s="49">
        <f t="shared" si="4"/>
        <v>1.0718666666666667</v>
      </c>
      <c r="S28">
        <f t="shared" si="5"/>
        <v>0.21999999999999886</v>
      </c>
      <c r="U28" t="s">
        <v>2173</v>
      </c>
      <c r="V28" t="s">
        <v>115</v>
      </c>
      <c r="W28">
        <v>150</v>
      </c>
      <c r="X28">
        <v>11</v>
      </c>
      <c r="Y28">
        <f t="shared" si="8"/>
        <v>161</v>
      </c>
      <c r="AA28" t="b">
        <f t="shared" si="1"/>
        <v>1</v>
      </c>
    </row>
    <row r="29" spans="1:27" hidden="1" x14ac:dyDescent="0.25">
      <c r="A29" t="s">
        <v>1816</v>
      </c>
      <c r="B29" t="s">
        <v>114</v>
      </c>
      <c r="C29">
        <v>49.51</v>
      </c>
      <c r="D29">
        <v>49.51</v>
      </c>
      <c r="E29">
        <f t="shared" si="2"/>
        <v>0</v>
      </c>
      <c r="J29" s="94" t="s">
        <v>1816</v>
      </c>
      <c r="K29" s="95" t="s">
        <v>114</v>
      </c>
      <c r="L29" s="96">
        <v>50</v>
      </c>
      <c r="M29" s="96"/>
      <c r="N29" s="96">
        <f t="shared" si="0"/>
        <v>50</v>
      </c>
      <c r="O29" s="96">
        <v>49.51</v>
      </c>
      <c r="P29" s="96">
        <v>49.51</v>
      </c>
      <c r="Q29" s="97">
        <f t="shared" si="7"/>
        <v>0</v>
      </c>
      <c r="R29" s="49">
        <f t="shared" si="4"/>
        <v>0.99019999999999997</v>
      </c>
      <c r="S29">
        <f t="shared" si="5"/>
        <v>0.49000000000000199</v>
      </c>
      <c r="U29" t="s">
        <v>2176</v>
      </c>
      <c r="V29" t="s">
        <v>114</v>
      </c>
      <c r="W29">
        <v>50</v>
      </c>
      <c r="Y29">
        <f t="shared" ref="Y29:Y44" si="9">+W29+X29</f>
        <v>50</v>
      </c>
      <c r="AA29" t="b">
        <f t="shared" si="1"/>
        <v>1</v>
      </c>
    </row>
    <row r="30" spans="1:27" hidden="1" x14ac:dyDescent="0.25">
      <c r="A30" t="s">
        <v>1816</v>
      </c>
      <c r="B30" t="s">
        <v>115</v>
      </c>
      <c r="C30">
        <v>49.309999999999995</v>
      </c>
      <c r="D30">
        <v>49.309999999999995</v>
      </c>
      <c r="E30">
        <f t="shared" si="2"/>
        <v>0</v>
      </c>
      <c r="J30" s="94" t="s">
        <v>1816</v>
      </c>
      <c r="K30" s="95" t="s">
        <v>115</v>
      </c>
      <c r="L30" s="96">
        <v>50</v>
      </c>
      <c r="M30" s="96"/>
      <c r="N30" s="96">
        <f t="shared" si="0"/>
        <v>50</v>
      </c>
      <c r="O30" s="96">
        <v>49.309999999999995</v>
      </c>
      <c r="P30" s="96">
        <v>49.309999999999995</v>
      </c>
      <c r="Q30" s="97">
        <f t="shared" si="7"/>
        <v>0</v>
      </c>
      <c r="R30" s="49">
        <f t="shared" si="4"/>
        <v>0.98619999999999985</v>
      </c>
      <c r="S30">
        <f t="shared" si="5"/>
        <v>0.69000000000000483</v>
      </c>
      <c r="U30" t="s">
        <v>2176</v>
      </c>
      <c r="V30" t="s">
        <v>115</v>
      </c>
      <c r="W30">
        <v>50</v>
      </c>
      <c r="Y30">
        <f t="shared" si="9"/>
        <v>50</v>
      </c>
      <c r="AA30" t="b">
        <f t="shared" si="1"/>
        <v>1</v>
      </c>
    </row>
    <row r="31" spans="1:27" hidden="1" x14ac:dyDescent="0.25">
      <c r="A31" t="s">
        <v>1699</v>
      </c>
      <c r="B31" t="s">
        <v>114</v>
      </c>
      <c r="C31">
        <v>49.95</v>
      </c>
      <c r="D31">
        <v>49.95</v>
      </c>
      <c r="E31">
        <f t="shared" si="2"/>
        <v>0</v>
      </c>
      <c r="J31" s="94" t="s">
        <v>1699</v>
      </c>
      <c r="K31" s="95" t="s">
        <v>114</v>
      </c>
      <c r="L31" s="96">
        <v>50</v>
      </c>
      <c r="M31" s="96"/>
      <c r="N31" s="96">
        <f t="shared" si="0"/>
        <v>50</v>
      </c>
      <c r="O31" s="96">
        <v>49.95</v>
      </c>
      <c r="P31" s="96">
        <v>49.95</v>
      </c>
      <c r="Q31" s="97">
        <f t="shared" si="7"/>
        <v>0</v>
      </c>
      <c r="R31" s="49">
        <f t="shared" si="4"/>
        <v>0.99900000000000011</v>
      </c>
      <c r="S31">
        <f t="shared" si="5"/>
        <v>4.9999999999997158E-2</v>
      </c>
      <c r="U31" t="s">
        <v>2174</v>
      </c>
      <c r="V31" t="s">
        <v>114</v>
      </c>
      <c r="W31">
        <v>50</v>
      </c>
      <c r="Y31">
        <f t="shared" si="9"/>
        <v>50</v>
      </c>
      <c r="AA31" t="b">
        <f t="shared" si="1"/>
        <v>1</v>
      </c>
    </row>
    <row r="32" spans="1:27" hidden="1" x14ac:dyDescent="0.25">
      <c r="A32" t="s">
        <v>1699</v>
      </c>
      <c r="B32" t="s">
        <v>115</v>
      </c>
      <c r="C32">
        <v>50.07</v>
      </c>
      <c r="D32">
        <v>50</v>
      </c>
      <c r="E32">
        <f t="shared" si="2"/>
        <v>7.0000000000000284E-2</v>
      </c>
      <c r="J32" s="94" t="s">
        <v>1699</v>
      </c>
      <c r="K32" s="95" t="s">
        <v>115</v>
      </c>
      <c r="L32" s="96">
        <v>50</v>
      </c>
      <c r="M32" s="96"/>
      <c r="N32" s="96">
        <f t="shared" si="0"/>
        <v>50</v>
      </c>
      <c r="O32" s="96">
        <v>50.07</v>
      </c>
      <c r="P32" s="96">
        <v>50</v>
      </c>
      <c r="Q32" s="97">
        <f t="shared" si="7"/>
        <v>7.0000000000000284E-2</v>
      </c>
      <c r="R32" s="49">
        <f t="shared" si="4"/>
        <v>1.0014000000000001</v>
      </c>
      <c r="S32">
        <f t="shared" si="5"/>
        <v>-7.0000000000000284E-2</v>
      </c>
      <c r="U32" t="s">
        <v>2174</v>
      </c>
      <c r="V32" t="s">
        <v>115</v>
      </c>
      <c r="W32">
        <v>50</v>
      </c>
      <c r="Y32">
        <f t="shared" si="9"/>
        <v>50</v>
      </c>
      <c r="AA32" t="b">
        <f t="shared" si="1"/>
        <v>1</v>
      </c>
    </row>
    <row r="33" spans="1:27" hidden="1" x14ac:dyDescent="0.25">
      <c r="A33" t="s">
        <v>1748</v>
      </c>
      <c r="B33" t="s">
        <v>114</v>
      </c>
      <c r="C33">
        <v>50.34</v>
      </c>
      <c r="D33">
        <v>50</v>
      </c>
      <c r="E33">
        <f t="shared" si="2"/>
        <v>0.34000000000000341</v>
      </c>
      <c r="J33" s="94" t="s">
        <v>1748</v>
      </c>
      <c r="K33" s="95" t="s">
        <v>114</v>
      </c>
      <c r="L33" s="96">
        <v>50</v>
      </c>
      <c r="M33" s="96"/>
      <c r="N33" s="96">
        <f t="shared" si="0"/>
        <v>50</v>
      </c>
      <c r="O33" s="96">
        <v>50.34</v>
      </c>
      <c r="P33" s="96">
        <v>50</v>
      </c>
      <c r="Q33" s="97">
        <f t="shared" si="7"/>
        <v>0.34000000000000341</v>
      </c>
      <c r="R33" s="49">
        <f t="shared" si="4"/>
        <v>1.0068000000000001</v>
      </c>
      <c r="S33">
        <f t="shared" si="5"/>
        <v>-0.34000000000000341</v>
      </c>
      <c r="U33" t="s">
        <v>2175</v>
      </c>
      <c r="V33" t="s">
        <v>114</v>
      </c>
      <c r="W33">
        <v>50</v>
      </c>
      <c r="Y33">
        <f t="shared" si="9"/>
        <v>50</v>
      </c>
      <c r="AA33" t="b">
        <f t="shared" si="1"/>
        <v>1</v>
      </c>
    </row>
    <row r="34" spans="1:27" hidden="1" x14ac:dyDescent="0.25">
      <c r="A34" t="s">
        <v>1748</v>
      </c>
      <c r="B34" t="s">
        <v>115</v>
      </c>
      <c r="C34">
        <v>50.21</v>
      </c>
      <c r="D34">
        <v>50</v>
      </c>
      <c r="E34">
        <f t="shared" si="2"/>
        <v>0.21000000000000085</v>
      </c>
      <c r="J34" s="94" t="s">
        <v>1748</v>
      </c>
      <c r="K34" s="95" t="s">
        <v>115</v>
      </c>
      <c r="L34" s="96">
        <v>50</v>
      </c>
      <c r="M34" s="96"/>
      <c r="N34" s="96">
        <f t="shared" si="0"/>
        <v>50</v>
      </c>
      <c r="O34" s="96">
        <v>50.21</v>
      </c>
      <c r="P34" s="96">
        <v>50</v>
      </c>
      <c r="Q34" s="97">
        <f t="shared" si="7"/>
        <v>0.21000000000000085</v>
      </c>
      <c r="R34" s="49">
        <f t="shared" si="4"/>
        <v>1.0042</v>
      </c>
      <c r="S34">
        <f t="shared" si="5"/>
        <v>-0.21000000000000085</v>
      </c>
      <c r="U34" t="s">
        <v>2175</v>
      </c>
      <c r="V34" t="s">
        <v>115</v>
      </c>
      <c r="W34">
        <v>50</v>
      </c>
      <c r="Y34">
        <f t="shared" si="9"/>
        <v>50</v>
      </c>
      <c r="AA34" t="b">
        <f t="shared" si="1"/>
        <v>1</v>
      </c>
    </row>
    <row r="35" spans="1:27" hidden="1" x14ac:dyDescent="0.25">
      <c r="A35" t="s">
        <v>1787</v>
      </c>
      <c r="B35" t="s">
        <v>114</v>
      </c>
      <c r="C35">
        <v>103.31</v>
      </c>
      <c r="D35">
        <v>103.31</v>
      </c>
      <c r="E35">
        <f t="shared" si="2"/>
        <v>0</v>
      </c>
      <c r="J35" s="94" t="s">
        <v>1787</v>
      </c>
      <c r="K35" s="95" t="s">
        <v>114</v>
      </c>
      <c r="L35" s="96">
        <v>100</v>
      </c>
      <c r="M35" s="96">
        <v>5</v>
      </c>
      <c r="N35" s="96">
        <f t="shared" si="0"/>
        <v>105</v>
      </c>
      <c r="O35" s="96">
        <v>103.31</v>
      </c>
      <c r="P35" s="96">
        <v>103.31</v>
      </c>
      <c r="Q35" s="97">
        <f t="shared" si="7"/>
        <v>0</v>
      </c>
      <c r="R35" s="49">
        <f t="shared" si="4"/>
        <v>1.0331000000000001</v>
      </c>
      <c r="S35">
        <f t="shared" si="5"/>
        <v>1.6899999999999977</v>
      </c>
      <c r="U35" t="s">
        <v>2177</v>
      </c>
      <c r="V35" t="s">
        <v>114</v>
      </c>
      <c r="W35">
        <v>100</v>
      </c>
      <c r="X35">
        <v>5</v>
      </c>
      <c r="Y35">
        <f t="shared" si="9"/>
        <v>105</v>
      </c>
      <c r="AA35" t="b">
        <f t="shared" si="1"/>
        <v>1</v>
      </c>
    </row>
    <row r="36" spans="1:27" hidden="1" x14ac:dyDescent="0.25">
      <c r="A36" t="s">
        <v>1787</v>
      </c>
      <c r="B36" t="s">
        <v>115</v>
      </c>
      <c r="C36">
        <v>102.25</v>
      </c>
      <c r="D36">
        <v>102.25</v>
      </c>
      <c r="E36">
        <f t="shared" si="2"/>
        <v>0</v>
      </c>
      <c r="J36" s="94" t="s">
        <v>1787</v>
      </c>
      <c r="K36" s="95" t="s">
        <v>115</v>
      </c>
      <c r="L36" s="96">
        <v>100</v>
      </c>
      <c r="M36" s="96">
        <v>5</v>
      </c>
      <c r="N36" s="96">
        <f t="shared" si="0"/>
        <v>105</v>
      </c>
      <c r="O36" s="96">
        <v>102.25</v>
      </c>
      <c r="P36" s="96">
        <v>102.25</v>
      </c>
      <c r="Q36" s="97">
        <f t="shared" si="7"/>
        <v>0</v>
      </c>
      <c r="R36" s="49">
        <f t="shared" si="4"/>
        <v>1.0225</v>
      </c>
      <c r="S36">
        <f t="shared" si="5"/>
        <v>2.75</v>
      </c>
      <c r="U36" t="s">
        <v>2177</v>
      </c>
      <c r="V36" t="s">
        <v>115</v>
      </c>
      <c r="W36">
        <v>100</v>
      </c>
      <c r="X36">
        <v>5</v>
      </c>
      <c r="Y36">
        <f t="shared" si="9"/>
        <v>105</v>
      </c>
      <c r="AA36" t="b">
        <f t="shared" si="1"/>
        <v>1</v>
      </c>
    </row>
    <row r="37" spans="1:27" hidden="1" x14ac:dyDescent="0.25">
      <c r="A37" t="s">
        <v>1788</v>
      </c>
      <c r="B37" t="s">
        <v>114</v>
      </c>
      <c r="C37">
        <v>60.190000000000005</v>
      </c>
      <c r="D37">
        <v>60</v>
      </c>
      <c r="E37">
        <f t="shared" si="2"/>
        <v>0.19000000000000483</v>
      </c>
      <c r="J37" s="94" t="s">
        <v>1788</v>
      </c>
      <c r="K37" s="95" t="s">
        <v>114</v>
      </c>
      <c r="L37" s="96">
        <v>50</v>
      </c>
      <c r="M37" s="96">
        <v>10</v>
      </c>
      <c r="N37" s="96">
        <f t="shared" si="0"/>
        <v>60</v>
      </c>
      <c r="O37" s="96">
        <v>60.190000000000005</v>
      </c>
      <c r="P37" s="96">
        <v>60</v>
      </c>
      <c r="Q37" s="97">
        <f t="shared" si="7"/>
        <v>0.19000000000000483</v>
      </c>
      <c r="R37" s="49">
        <f t="shared" si="4"/>
        <v>1.2038000000000002</v>
      </c>
      <c r="S37">
        <f t="shared" si="5"/>
        <v>-0.19000000000000483</v>
      </c>
      <c r="U37" t="s">
        <v>1788</v>
      </c>
      <c r="V37" t="s">
        <v>114</v>
      </c>
      <c r="W37">
        <v>50</v>
      </c>
      <c r="X37">
        <v>10</v>
      </c>
      <c r="Y37">
        <f t="shared" si="9"/>
        <v>60</v>
      </c>
      <c r="AA37" t="b">
        <f t="shared" si="1"/>
        <v>1</v>
      </c>
    </row>
    <row r="38" spans="1:27" hidden="1" x14ac:dyDescent="0.25">
      <c r="A38" t="s">
        <v>1788</v>
      </c>
      <c r="B38" t="s">
        <v>115</v>
      </c>
      <c r="C38">
        <v>51.06</v>
      </c>
      <c r="D38">
        <v>51.06</v>
      </c>
      <c r="E38">
        <f t="shared" si="2"/>
        <v>0</v>
      </c>
      <c r="J38" s="94" t="s">
        <v>1788</v>
      </c>
      <c r="K38" s="95" t="s">
        <v>115</v>
      </c>
      <c r="L38" s="96">
        <v>50</v>
      </c>
      <c r="M38" s="96">
        <v>2</v>
      </c>
      <c r="N38" s="96">
        <f t="shared" si="0"/>
        <v>52</v>
      </c>
      <c r="O38" s="96">
        <v>51.06</v>
      </c>
      <c r="P38" s="96">
        <v>51.06</v>
      </c>
      <c r="Q38" s="97">
        <f t="shared" si="7"/>
        <v>0</v>
      </c>
      <c r="R38" s="49">
        <f t="shared" si="4"/>
        <v>1.0212000000000001</v>
      </c>
      <c r="S38">
        <f t="shared" si="5"/>
        <v>0.93999999999999773</v>
      </c>
      <c r="U38" t="s">
        <v>1788</v>
      </c>
      <c r="V38" t="s">
        <v>115</v>
      </c>
      <c r="W38">
        <v>50</v>
      </c>
      <c r="X38">
        <v>2</v>
      </c>
      <c r="Y38">
        <f t="shared" si="9"/>
        <v>52</v>
      </c>
      <c r="AA38" t="b">
        <f t="shared" si="1"/>
        <v>1</v>
      </c>
    </row>
    <row r="39" spans="1:27" hidden="1" x14ac:dyDescent="0.25">
      <c r="A39" t="s">
        <v>1716</v>
      </c>
      <c r="B39" t="s">
        <v>114</v>
      </c>
      <c r="C39">
        <v>85.63</v>
      </c>
      <c r="D39">
        <v>85</v>
      </c>
      <c r="E39">
        <f t="shared" si="2"/>
        <v>0.62999999999999545</v>
      </c>
      <c r="J39" s="94" t="s">
        <v>1716</v>
      </c>
      <c r="K39" s="95" t="s">
        <v>114</v>
      </c>
      <c r="L39" s="96">
        <v>50</v>
      </c>
      <c r="M39" s="96">
        <v>35</v>
      </c>
      <c r="N39" s="96">
        <f t="shared" si="0"/>
        <v>85</v>
      </c>
      <c r="O39" s="96">
        <v>85.63</v>
      </c>
      <c r="P39" s="96">
        <v>85</v>
      </c>
      <c r="Q39" s="98">
        <f t="shared" si="7"/>
        <v>0.62999999999999545</v>
      </c>
      <c r="R39" s="49">
        <f t="shared" si="4"/>
        <v>1.7125999999999999</v>
      </c>
      <c r="S39">
        <f t="shared" si="5"/>
        <v>-0.62999999999999545</v>
      </c>
      <c r="U39" t="s">
        <v>1716</v>
      </c>
      <c r="V39" t="s">
        <v>114</v>
      </c>
      <c r="W39">
        <v>50</v>
      </c>
      <c r="X39">
        <v>35</v>
      </c>
      <c r="Y39">
        <f t="shared" si="9"/>
        <v>85</v>
      </c>
      <c r="AA39" t="b">
        <f t="shared" si="1"/>
        <v>1</v>
      </c>
    </row>
    <row r="40" spans="1:27" hidden="1" x14ac:dyDescent="0.25">
      <c r="A40" t="s">
        <v>1716</v>
      </c>
      <c r="B40" t="s">
        <v>115</v>
      </c>
      <c r="C40">
        <v>42.28</v>
      </c>
      <c r="D40">
        <v>42.28</v>
      </c>
      <c r="E40">
        <f t="shared" si="2"/>
        <v>0</v>
      </c>
      <c r="J40" s="94" t="s">
        <v>1716</v>
      </c>
      <c r="K40" s="95" t="s">
        <v>115</v>
      </c>
      <c r="L40" s="96">
        <v>43</v>
      </c>
      <c r="M40" s="96"/>
      <c r="N40" s="96">
        <f t="shared" si="0"/>
        <v>43</v>
      </c>
      <c r="O40" s="96">
        <v>42.28</v>
      </c>
      <c r="P40" s="96">
        <v>42.28</v>
      </c>
      <c r="Q40" s="107">
        <f t="shared" si="7"/>
        <v>0</v>
      </c>
      <c r="R40" s="108">
        <f t="shared" si="4"/>
        <v>0.98325581395348838</v>
      </c>
      <c r="S40">
        <f t="shared" si="5"/>
        <v>0.71999999999999886</v>
      </c>
      <c r="U40" t="s">
        <v>1716</v>
      </c>
      <c r="V40" t="s">
        <v>115</v>
      </c>
      <c r="W40">
        <v>50</v>
      </c>
      <c r="Y40">
        <f t="shared" si="9"/>
        <v>50</v>
      </c>
      <c r="AA40" t="b">
        <f t="shared" si="1"/>
        <v>1</v>
      </c>
    </row>
    <row r="41" spans="1:27" hidden="1" x14ac:dyDescent="0.25">
      <c r="A41" t="s">
        <v>1745</v>
      </c>
      <c r="B41" t="s">
        <v>114</v>
      </c>
      <c r="C41">
        <v>51.39</v>
      </c>
      <c r="D41">
        <v>50</v>
      </c>
      <c r="E41">
        <f t="shared" si="2"/>
        <v>1.3900000000000006</v>
      </c>
      <c r="J41" s="94" t="s">
        <v>1745</v>
      </c>
      <c r="K41" s="95" t="s">
        <v>114</v>
      </c>
      <c r="L41" s="96">
        <v>50</v>
      </c>
      <c r="M41" s="96"/>
      <c r="N41" s="96">
        <f t="shared" si="0"/>
        <v>50</v>
      </c>
      <c r="O41" s="96">
        <v>51.39</v>
      </c>
      <c r="P41" s="96">
        <v>50</v>
      </c>
      <c r="Q41" s="98">
        <f t="shared" si="7"/>
        <v>1.3900000000000006</v>
      </c>
      <c r="R41" s="49">
        <f t="shared" si="4"/>
        <v>1.0278</v>
      </c>
      <c r="S41">
        <f t="shared" si="5"/>
        <v>-1.3900000000000006</v>
      </c>
      <c r="U41" t="s">
        <v>2178</v>
      </c>
      <c r="V41" t="s">
        <v>114</v>
      </c>
      <c r="W41">
        <v>50</v>
      </c>
      <c r="Y41">
        <f t="shared" si="9"/>
        <v>50</v>
      </c>
      <c r="AA41" t="b">
        <f t="shared" si="1"/>
        <v>1</v>
      </c>
    </row>
    <row r="42" spans="1:27" x14ac:dyDescent="0.25">
      <c r="A42" t="s">
        <v>1745</v>
      </c>
      <c r="B42" t="s">
        <v>115</v>
      </c>
      <c r="C42">
        <v>16.11</v>
      </c>
      <c r="D42">
        <v>16.11</v>
      </c>
      <c r="E42">
        <f t="shared" si="2"/>
        <v>0</v>
      </c>
      <c r="J42" s="99" t="s">
        <v>1745</v>
      </c>
      <c r="K42" s="100" t="s">
        <v>115</v>
      </c>
      <c r="L42" s="101">
        <v>50</v>
      </c>
      <c r="M42" s="101"/>
      <c r="N42" s="101">
        <f t="shared" si="0"/>
        <v>50</v>
      </c>
      <c r="O42" s="101">
        <v>16.11</v>
      </c>
      <c r="P42" s="101">
        <v>16.11</v>
      </c>
      <c r="Q42" s="102">
        <f t="shared" si="7"/>
        <v>0</v>
      </c>
      <c r="R42" s="103">
        <f t="shared" si="4"/>
        <v>0.32219999999999999</v>
      </c>
      <c r="S42">
        <f t="shared" si="5"/>
        <v>33.89</v>
      </c>
      <c r="U42" t="s">
        <v>2178</v>
      </c>
      <c r="V42" t="s">
        <v>115</v>
      </c>
      <c r="W42">
        <v>50</v>
      </c>
      <c r="Y42">
        <f t="shared" si="9"/>
        <v>50</v>
      </c>
      <c r="AA42" t="b">
        <f t="shared" si="1"/>
        <v>1</v>
      </c>
    </row>
    <row r="43" spans="1:27" hidden="1" x14ac:dyDescent="0.25">
      <c r="A43" t="s">
        <v>1670</v>
      </c>
      <c r="B43" t="s">
        <v>114</v>
      </c>
      <c r="C43">
        <v>455.58000000000004</v>
      </c>
      <c r="D43">
        <v>455</v>
      </c>
      <c r="E43">
        <f t="shared" si="2"/>
        <v>0.58000000000004093</v>
      </c>
      <c r="J43" s="94" t="s">
        <v>1670</v>
      </c>
      <c r="K43" s="95" t="s">
        <v>114</v>
      </c>
      <c r="L43" s="96">
        <v>425</v>
      </c>
      <c r="M43" s="96">
        <v>30</v>
      </c>
      <c r="N43" s="96">
        <f t="shared" si="0"/>
        <v>455</v>
      </c>
      <c r="O43" s="96">
        <v>455.58000000000004</v>
      </c>
      <c r="P43" s="96">
        <v>455</v>
      </c>
      <c r="Q43" s="98">
        <f t="shared" si="7"/>
        <v>0.58000000000004093</v>
      </c>
      <c r="R43" s="49">
        <f t="shared" si="4"/>
        <v>1.0719529411764708</v>
      </c>
      <c r="S43">
        <f t="shared" si="5"/>
        <v>-0.58000000000004093</v>
      </c>
      <c r="U43" t="s">
        <v>2179</v>
      </c>
      <c r="V43" t="s">
        <v>114</v>
      </c>
      <c r="W43">
        <v>425</v>
      </c>
      <c r="X43">
        <v>30</v>
      </c>
      <c r="Y43">
        <f t="shared" si="9"/>
        <v>455</v>
      </c>
      <c r="AA43" t="b">
        <f t="shared" si="1"/>
        <v>1</v>
      </c>
    </row>
    <row r="44" spans="1:27" x14ac:dyDescent="0.25">
      <c r="A44" t="s">
        <v>1670</v>
      </c>
      <c r="B44" t="s">
        <v>115</v>
      </c>
      <c r="C44">
        <v>392.81999999999994</v>
      </c>
      <c r="D44">
        <v>392.81999999999994</v>
      </c>
      <c r="E44">
        <f t="shared" si="2"/>
        <v>0</v>
      </c>
      <c r="J44" s="99" t="s">
        <v>1670</v>
      </c>
      <c r="K44" s="100" t="s">
        <v>115</v>
      </c>
      <c r="L44" s="101">
        <v>425</v>
      </c>
      <c r="M44" s="101"/>
      <c r="N44" s="101">
        <f t="shared" si="0"/>
        <v>425</v>
      </c>
      <c r="O44" s="101">
        <v>392.81999999999994</v>
      </c>
      <c r="P44" s="101">
        <v>392.81999999999994</v>
      </c>
      <c r="Q44" s="102">
        <f t="shared" si="7"/>
        <v>0</v>
      </c>
      <c r="R44" s="103">
        <f t="shared" si="4"/>
        <v>0.92428235294117633</v>
      </c>
      <c r="S44">
        <f t="shared" si="5"/>
        <v>32.180000000000064</v>
      </c>
      <c r="U44" t="s">
        <v>2179</v>
      </c>
      <c r="V44" t="s">
        <v>115</v>
      </c>
      <c r="W44">
        <v>425</v>
      </c>
      <c r="Y44">
        <f t="shared" si="9"/>
        <v>425</v>
      </c>
      <c r="AA44" t="b">
        <f t="shared" si="1"/>
        <v>1</v>
      </c>
    </row>
    <row r="45" spans="1:27" x14ac:dyDescent="0.25">
      <c r="A45" t="s">
        <v>2046</v>
      </c>
      <c r="C45">
        <v>6504.4799999999987</v>
      </c>
      <c r="D45">
        <v>6499.5099999999984</v>
      </c>
      <c r="E45">
        <f t="shared" si="2"/>
        <v>4.9700000000002547</v>
      </c>
    </row>
    <row r="46" spans="1:27" x14ac:dyDescent="0.25">
      <c r="L46">
        <v>3600</v>
      </c>
    </row>
    <row r="47" spans="1:27" x14ac:dyDescent="0.25">
      <c r="L47">
        <f>+L46*0.9</f>
        <v>3240</v>
      </c>
    </row>
  </sheetData>
  <autoFilter ref="R3:R44" xr:uid="{14482652-76B1-4AFB-BF58-4B08D1CD3BD4}"/>
  <conditionalFormatting sqref="AA4:AA50">
    <cfRule type="containsText" dxfId="27" priority="1" operator="containsText" text="FALSE">
      <formula>NOT(ISERROR(SEARCH("FALSE",AA4)))</formula>
    </cfRule>
  </conditionalFormatting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3"/>
  <sheetViews>
    <sheetView tabSelected="1" workbookViewId="0">
      <selection activeCell="AC46" sqref="AC4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hidden="1" customWidth="1"/>
    <col min="7" max="9" width="15.42578125" hidden="1" customWidth="1"/>
    <col min="10" max="10" width="18" bestFit="1" customWidth="1"/>
    <col min="11" max="11" width="18.85546875" bestFit="1" customWidth="1"/>
    <col min="12" max="13" width="22.42578125" hidden="1" customWidth="1"/>
    <col min="14" max="14" width="14.140625" bestFit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19" width="11.42578125" bestFit="1" customWidth="1"/>
    <col min="20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10.7109375" bestFit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hidden="1" x14ac:dyDescent="0.25">
      <c r="A2" t="s">
        <v>114</v>
      </c>
      <c r="B2">
        <v>50</v>
      </c>
      <c r="C2">
        <v>50.59</v>
      </c>
      <c r="D2">
        <v>50</v>
      </c>
      <c r="E2">
        <v>1</v>
      </c>
      <c r="F2">
        <v>1056.25</v>
      </c>
      <c r="G2">
        <v>325</v>
      </c>
      <c r="H2">
        <v>0</v>
      </c>
      <c r="I2">
        <v>0</v>
      </c>
      <c r="J2">
        <v>0.98795180722891596</v>
      </c>
      <c r="K2">
        <v>2.4390243902439001E-2</v>
      </c>
      <c r="L2">
        <v>162.5</v>
      </c>
      <c r="M2">
        <v>0</v>
      </c>
      <c r="N2">
        <v>0.78829808262502499</v>
      </c>
      <c r="O2">
        <v>81.25</v>
      </c>
      <c r="P2">
        <v>49.12</v>
      </c>
      <c r="Q2">
        <v>0</v>
      </c>
      <c r="R2">
        <v>0</v>
      </c>
      <c r="S2">
        <v>1674.12</v>
      </c>
      <c r="T2">
        <v>50</v>
      </c>
      <c r="U2">
        <v>325</v>
      </c>
      <c r="V2">
        <v>50</v>
      </c>
      <c r="W2">
        <v>0</v>
      </c>
      <c r="X2">
        <v>1</v>
      </c>
      <c r="Y2">
        <v>162.5</v>
      </c>
      <c r="Z2">
        <v>0</v>
      </c>
      <c r="AA2" s="2">
        <v>45656</v>
      </c>
      <c r="AB2" t="s">
        <v>1749</v>
      </c>
      <c r="AC2">
        <v>74</v>
      </c>
      <c r="AD2">
        <v>50.59</v>
      </c>
      <c r="AE2">
        <v>0</v>
      </c>
      <c r="AF2">
        <v>23</v>
      </c>
      <c r="AG2">
        <v>51</v>
      </c>
      <c r="AH2">
        <v>39.880000000000003</v>
      </c>
      <c r="AI2">
        <v>10.71</v>
      </c>
      <c r="AJ2">
        <v>40.590000000000003</v>
      </c>
      <c r="AK2">
        <v>32.53</v>
      </c>
      <c r="AL2">
        <v>1.46</v>
      </c>
      <c r="AM2">
        <v>82</v>
      </c>
      <c r="AN2">
        <v>0</v>
      </c>
      <c r="AO2">
        <v>2</v>
      </c>
      <c r="AP2">
        <v>50.59</v>
      </c>
      <c r="AQ2">
        <v>0.1</v>
      </c>
      <c r="AR2">
        <v>0.05</v>
      </c>
      <c r="AS2">
        <v>0.7</v>
      </c>
      <c r="AT2">
        <v>32.5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50</v>
      </c>
      <c r="BE2">
        <v>0</v>
      </c>
      <c r="BF2">
        <v>0</v>
      </c>
      <c r="BG2">
        <v>845.9</v>
      </c>
    </row>
    <row r="3" spans="1:59" hidden="1" x14ac:dyDescent="0.25">
      <c r="A3" t="s">
        <v>114</v>
      </c>
      <c r="B3">
        <v>50</v>
      </c>
      <c r="C3">
        <v>50.11</v>
      </c>
      <c r="D3">
        <v>50</v>
      </c>
      <c r="E3">
        <v>1</v>
      </c>
      <c r="F3">
        <v>1056.25</v>
      </c>
      <c r="G3">
        <v>325</v>
      </c>
      <c r="H3">
        <v>0</v>
      </c>
      <c r="I3">
        <v>0</v>
      </c>
      <c r="J3">
        <v>1</v>
      </c>
      <c r="K3">
        <v>1.5625E-2</v>
      </c>
      <c r="L3">
        <v>162.5</v>
      </c>
      <c r="M3">
        <v>0</v>
      </c>
      <c r="N3">
        <v>0.51267212133306705</v>
      </c>
      <c r="O3">
        <v>0</v>
      </c>
      <c r="P3">
        <v>44</v>
      </c>
      <c r="Q3">
        <v>0</v>
      </c>
      <c r="R3">
        <v>0</v>
      </c>
      <c r="S3">
        <v>1587.75</v>
      </c>
      <c r="T3">
        <v>50</v>
      </c>
      <c r="U3">
        <v>325</v>
      </c>
      <c r="V3">
        <v>50</v>
      </c>
      <c r="W3">
        <v>0</v>
      </c>
      <c r="X3">
        <v>0</v>
      </c>
      <c r="Y3">
        <v>162.5</v>
      </c>
      <c r="Z3">
        <v>0</v>
      </c>
      <c r="AA3" s="2">
        <v>45656</v>
      </c>
      <c r="AB3" t="s">
        <v>1815</v>
      </c>
      <c r="AC3">
        <v>50</v>
      </c>
      <c r="AD3">
        <v>50.11</v>
      </c>
      <c r="AE3">
        <v>0</v>
      </c>
      <c r="AF3">
        <v>10</v>
      </c>
      <c r="AG3">
        <v>40</v>
      </c>
      <c r="AH3">
        <v>25.69</v>
      </c>
      <c r="AI3">
        <v>24.42</v>
      </c>
      <c r="AJ3">
        <v>37.54</v>
      </c>
      <c r="AK3">
        <v>19.12</v>
      </c>
      <c r="AL3">
        <v>1</v>
      </c>
      <c r="AM3">
        <v>64</v>
      </c>
      <c r="AN3">
        <v>0</v>
      </c>
      <c r="AO3">
        <v>1</v>
      </c>
      <c r="AP3">
        <v>50.11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558.12</v>
      </c>
    </row>
    <row r="4" spans="1:59" hidden="1" x14ac:dyDescent="0.25">
      <c r="A4" t="s">
        <v>114</v>
      </c>
      <c r="B4">
        <v>106</v>
      </c>
      <c r="C4">
        <v>105.23</v>
      </c>
      <c r="D4">
        <v>105.23</v>
      </c>
      <c r="E4">
        <v>1</v>
      </c>
      <c r="F4">
        <v>2222.9838</v>
      </c>
      <c r="G4">
        <v>683.995</v>
      </c>
      <c r="H4">
        <v>0</v>
      </c>
      <c r="I4">
        <v>0</v>
      </c>
      <c r="J4">
        <v>1</v>
      </c>
      <c r="K4">
        <v>2.0547945205479399E-2</v>
      </c>
      <c r="L4">
        <v>341.9975</v>
      </c>
      <c r="M4">
        <v>0</v>
      </c>
      <c r="N4">
        <v>0.67746840254680196</v>
      </c>
      <c r="O4">
        <v>0</v>
      </c>
      <c r="P4">
        <v>94.3</v>
      </c>
      <c r="Q4">
        <v>0</v>
      </c>
      <c r="R4">
        <v>0</v>
      </c>
      <c r="S4">
        <v>3343.2761999999998</v>
      </c>
      <c r="T4">
        <v>100</v>
      </c>
      <c r="U4">
        <v>683.995</v>
      </c>
      <c r="V4">
        <v>105.23</v>
      </c>
      <c r="W4">
        <v>0</v>
      </c>
      <c r="X4">
        <v>0</v>
      </c>
      <c r="Y4">
        <v>341.9975</v>
      </c>
      <c r="Z4">
        <v>6</v>
      </c>
      <c r="AA4" s="2">
        <v>45656</v>
      </c>
      <c r="AB4" t="s">
        <v>1814</v>
      </c>
      <c r="AC4">
        <v>125</v>
      </c>
      <c r="AD4">
        <v>105.23</v>
      </c>
      <c r="AE4">
        <v>0</v>
      </c>
      <c r="AF4">
        <v>28</v>
      </c>
      <c r="AG4">
        <v>97</v>
      </c>
      <c r="AH4">
        <v>71.290000000000006</v>
      </c>
      <c r="AI4">
        <v>33.94</v>
      </c>
      <c r="AJ4">
        <v>50.04</v>
      </c>
      <c r="AK4">
        <v>36.68</v>
      </c>
      <c r="AL4">
        <v>2.3600000000000003</v>
      </c>
      <c r="AM4">
        <v>146</v>
      </c>
      <c r="AN4">
        <v>0</v>
      </c>
      <c r="AO4">
        <v>3</v>
      </c>
      <c r="AP4">
        <v>105.23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100</v>
      </c>
      <c r="BE4">
        <v>0</v>
      </c>
      <c r="BF4">
        <v>0</v>
      </c>
      <c r="BG4">
        <v>1635.8</v>
      </c>
    </row>
    <row r="5" spans="1:59" hidden="1" x14ac:dyDescent="0.25">
      <c r="A5" t="s">
        <v>114</v>
      </c>
      <c r="B5">
        <v>800</v>
      </c>
      <c r="C5">
        <v>759.67</v>
      </c>
      <c r="D5">
        <v>759.67</v>
      </c>
      <c r="E5">
        <v>0.94958750000000003</v>
      </c>
      <c r="F5">
        <v>17035.5998</v>
      </c>
      <c r="G5">
        <v>0</v>
      </c>
      <c r="H5">
        <v>0</v>
      </c>
      <c r="I5">
        <v>1310.43075</v>
      </c>
      <c r="J5">
        <v>0.90542099192618197</v>
      </c>
      <c r="K5">
        <v>3.3121019108280303E-2</v>
      </c>
      <c r="L5">
        <v>0</v>
      </c>
      <c r="M5">
        <v>0</v>
      </c>
      <c r="N5">
        <v>0.87012781865810196</v>
      </c>
      <c r="O5">
        <v>1310.4308000000001</v>
      </c>
      <c r="P5">
        <v>1076.6199999999999</v>
      </c>
      <c r="Q5">
        <v>0</v>
      </c>
      <c r="R5">
        <v>0</v>
      </c>
      <c r="S5">
        <v>20733.081300000002</v>
      </c>
      <c r="T5">
        <v>800</v>
      </c>
      <c r="U5">
        <v>1310.4308000000001</v>
      </c>
      <c r="V5">
        <v>0</v>
      </c>
      <c r="W5">
        <v>0</v>
      </c>
      <c r="X5">
        <v>26</v>
      </c>
      <c r="Y5">
        <v>0</v>
      </c>
      <c r="Z5">
        <v>0</v>
      </c>
      <c r="AA5" s="2">
        <v>45656</v>
      </c>
      <c r="AB5" t="s">
        <v>1599</v>
      </c>
      <c r="AC5">
        <v>1415</v>
      </c>
      <c r="AD5">
        <v>762.92999999999972</v>
      </c>
      <c r="AE5">
        <v>3.26</v>
      </c>
      <c r="AF5">
        <v>272</v>
      </c>
      <c r="AG5">
        <v>1143</v>
      </c>
      <c r="AH5">
        <v>661.01</v>
      </c>
      <c r="AI5">
        <v>98.579999999999984</v>
      </c>
      <c r="AJ5">
        <v>271.2999999999999</v>
      </c>
      <c r="AK5">
        <v>242.82000000000002</v>
      </c>
      <c r="AL5">
        <v>49.99</v>
      </c>
      <c r="AM5">
        <v>1570</v>
      </c>
      <c r="AN5">
        <v>138</v>
      </c>
      <c r="AO5">
        <v>52</v>
      </c>
      <c r="AP5">
        <v>381.26</v>
      </c>
      <c r="AQ5">
        <v>0.1</v>
      </c>
      <c r="AR5">
        <v>0.05</v>
      </c>
      <c r="AS5">
        <v>0.7</v>
      </c>
      <c r="AT5">
        <v>34.5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800</v>
      </c>
      <c r="BE5">
        <v>0</v>
      </c>
      <c r="BF5">
        <v>759.67</v>
      </c>
      <c r="BG5">
        <v>15682.530000000002</v>
      </c>
    </row>
    <row r="6" spans="1:59" hidden="1" x14ac:dyDescent="0.25">
      <c r="A6" t="s">
        <v>114</v>
      </c>
      <c r="B6">
        <v>42.01</v>
      </c>
      <c r="C6">
        <v>42.01</v>
      </c>
      <c r="D6">
        <v>42.01</v>
      </c>
      <c r="E6">
        <v>1</v>
      </c>
      <c r="F6">
        <v>887.46119999999996</v>
      </c>
      <c r="G6">
        <v>273.065</v>
      </c>
      <c r="H6">
        <v>0</v>
      </c>
      <c r="I6">
        <v>0</v>
      </c>
      <c r="J6">
        <v>1</v>
      </c>
      <c r="K6">
        <v>0</v>
      </c>
      <c r="L6">
        <v>136.5325</v>
      </c>
      <c r="M6">
        <v>0</v>
      </c>
      <c r="N6">
        <v>0.78362294691740098</v>
      </c>
      <c r="O6">
        <v>68.266199999999998</v>
      </c>
      <c r="P6">
        <v>64</v>
      </c>
      <c r="Q6">
        <v>0</v>
      </c>
      <c r="R6">
        <v>0</v>
      </c>
      <c r="S6">
        <v>1429.325</v>
      </c>
      <c r="T6">
        <v>42.01</v>
      </c>
      <c r="U6">
        <v>273.065</v>
      </c>
      <c r="V6">
        <v>42.01</v>
      </c>
      <c r="W6">
        <v>0</v>
      </c>
      <c r="X6">
        <v>0</v>
      </c>
      <c r="Y6">
        <v>136.5325</v>
      </c>
      <c r="Z6">
        <v>0</v>
      </c>
      <c r="AA6" s="2">
        <v>45656</v>
      </c>
      <c r="AB6" t="s">
        <v>1667</v>
      </c>
      <c r="AC6">
        <v>66</v>
      </c>
      <c r="AD6">
        <v>50.01</v>
      </c>
      <c r="AE6">
        <v>8</v>
      </c>
      <c r="AF6">
        <v>14</v>
      </c>
      <c r="AG6">
        <v>52</v>
      </c>
      <c r="AH6">
        <v>32.92</v>
      </c>
      <c r="AI6">
        <v>9.1</v>
      </c>
      <c r="AJ6">
        <v>20.77</v>
      </c>
      <c r="AK6">
        <v>12.63</v>
      </c>
      <c r="AL6">
        <v>1.32</v>
      </c>
      <c r="AM6">
        <v>64</v>
      </c>
      <c r="AN6">
        <v>0</v>
      </c>
      <c r="AO6">
        <v>0</v>
      </c>
      <c r="AP6">
        <v>42.01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42</v>
      </c>
      <c r="BE6">
        <v>0</v>
      </c>
      <c r="BF6">
        <v>0</v>
      </c>
      <c r="BG6">
        <v>843.4</v>
      </c>
    </row>
    <row r="7" spans="1:59" hidden="1" x14ac:dyDescent="0.25">
      <c r="A7" t="s">
        <v>114</v>
      </c>
      <c r="B7">
        <v>60</v>
      </c>
      <c r="C7">
        <v>60.370000000000005</v>
      </c>
      <c r="D7">
        <v>60</v>
      </c>
      <c r="E7">
        <v>1</v>
      </c>
      <c r="F7">
        <v>1267.5</v>
      </c>
      <c r="G7">
        <v>390</v>
      </c>
      <c r="H7">
        <v>0</v>
      </c>
      <c r="I7">
        <v>0</v>
      </c>
      <c r="J7">
        <v>0.99074074074074103</v>
      </c>
      <c r="K7">
        <v>9.3457943925233603E-3</v>
      </c>
      <c r="L7">
        <v>195</v>
      </c>
      <c r="M7">
        <v>0</v>
      </c>
      <c r="N7">
        <v>0.70101043564684395</v>
      </c>
      <c r="O7">
        <v>97.5</v>
      </c>
      <c r="P7">
        <v>22</v>
      </c>
      <c r="Q7">
        <v>0</v>
      </c>
      <c r="R7">
        <v>0</v>
      </c>
      <c r="S7">
        <v>1972</v>
      </c>
      <c r="T7">
        <v>50</v>
      </c>
      <c r="U7">
        <v>390</v>
      </c>
      <c r="V7">
        <v>60</v>
      </c>
      <c r="W7">
        <v>0</v>
      </c>
      <c r="X7">
        <v>1</v>
      </c>
      <c r="Y7">
        <v>195</v>
      </c>
      <c r="Z7">
        <v>10</v>
      </c>
      <c r="AA7" s="2">
        <v>45656</v>
      </c>
      <c r="AB7" t="s">
        <v>1812</v>
      </c>
      <c r="AC7">
        <v>87</v>
      </c>
      <c r="AD7">
        <v>60.45</v>
      </c>
      <c r="AE7">
        <v>0.08</v>
      </c>
      <c r="AF7">
        <v>12</v>
      </c>
      <c r="AG7">
        <v>75</v>
      </c>
      <c r="AH7">
        <v>42.32</v>
      </c>
      <c r="AI7">
        <v>18.04</v>
      </c>
      <c r="AJ7">
        <v>16.329999999999998</v>
      </c>
      <c r="AK7">
        <v>9.77</v>
      </c>
      <c r="AL7">
        <v>1.44</v>
      </c>
      <c r="AM7">
        <v>107</v>
      </c>
      <c r="AN7">
        <v>0</v>
      </c>
      <c r="AO7">
        <v>1</v>
      </c>
      <c r="AP7">
        <v>60.370000000000005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941.25</v>
      </c>
    </row>
    <row r="8" spans="1:59" hidden="1" x14ac:dyDescent="0.25">
      <c r="A8" t="s">
        <v>114</v>
      </c>
      <c r="B8">
        <v>485</v>
      </c>
      <c r="C8">
        <v>483.51</v>
      </c>
      <c r="D8">
        <v>483.51</v>
      </c>
      <c r="E8">
        <v>0.99692783505154603</v>
      </c>
      <c r="F8">
        <v>10365.0039</v>
      </c>
      <c r="G8">
        <v>3189.2319600000001</v>
      </c>
      <c r="H8">
        <v>0</v>
      </c>
      <c r="I8">
        <v>0</v>
      </c>
      <c r="J8">
        <v>0.98743961352656995</v>
      </c>
      <c r="K8">
        <v>1.8590998043052798E-2</v>
      </c>
      <c r="L8">
        <v>1594.616</v>
      </c>
      <c r="M8">
        <v>0</v>
      </c>
      <c r="N8">
        <v>0.90151186118177495</v>
      </c>
      <c r="O8">
        <v>797.30799999999999</v>
      </c>
      <c r="P8">
        <v>627.20000000000005</v>
      </c>
      <c r="Q8">
        <v>0</v>
      </c>
      <c r="R8">
        <v>0</v>
      </c>
      <c r="S8">
        <v>16573.359899999999</v>
      </c>
      <c r="T8">
        <v>485</v>
      </c>
      <c r="U8">
        <v>3189.232</v>
      </c>
      <c r="V8">
        <v>483.51</v>
      </c>
      <c r="W8">
        <v>0</v>
      </c>
      <c r="X8">
        <v>4</v>
      </c>
      <c r="Y8">
        <v>1594.616</v>
      </c>
      <c r="Z8">
        <v>0</v>
      </c>
      <c r="AA8" s="2">
        <v>45656</v>
      </c>
      <c r="AB8" t="s">
        <v>1600</v>
      </c>
      <c r="AC8">
        <v>877</v>
      </c>
      <c r="AD8">
        <v>492.09000000000003</v>
      </c>
      <c r="AE8">
        <v>8.58</v>
      </c>
      <c r="AF8">
        <v>210</v>
      </c>
      <c r="AG8">
        <v>667</v>
      </c>
      <c r="AH8">
        <v>435.89</v>
      </c>
      <c r="AI8">
        <v>47.610000000000007</v>
      </c>
      <c r="AJ8">
        <v>243.62</v>
      </c>
      <c r="AK8">
        <v>216.91000000000003</v>
      </c>
      <c r="AL8">
        <v>19.659999999999997</v>
      </c>
      <c r="AM8">
        <v>1022</v>
      </c>
      <c r="AN8">
        <v>9</v>
      </c>
      <c r="AO8">
        <v>19</v>
      </c>
      <c r="AP8">
        <v>436.15</v>
      </c>
      <c r="AQ8">
        <v>0.1</v>
      </c>
      <c r="AR8">
        <v>0.05</v>
      </c>
      <c r="AS8">
        <v>0.7</v>
      </c>
      <c r="AT8">
        <v>32.979999999999997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485</v>
      </c>
      <c r="BE8">
        <v>0</v>
      </c>
      <c r="BF8">
        <v>0</v>
      </c>
      <c r="BG8">
        <v>10148.430000000002</v>
      </c>
    </row>
    <row r="9" spans="1:59" hidden="1" x14ac:dyDescent="0.25">
      <c r="A9" t="s">
        <v>114</v>
      </c>
      <c r="B9">
        <v>60</v>
      </c>
      <c r="C9">
        <v>60.13</v>
      </c>
      <c r="D9">
        <v>60</v>
      </c>
      <c r="E9">
        <v>1</v>
      </c>
      <c r="F9">
        <v>1267.5</v>
      </c>
      <c r="G9">
        <v>390</v>
      </c>
      <c r="H9">
        <v>0</v>
      </c>
      <c r="I9">
        <v>0</v>
      </c>
      <c r="J9">
        <v>1</v>
      </c>
      <c r="K9">
        <v>0</v>
      </c>
      <c r="L9">
        <v>195</v>
      </c>
      <c r="M9">
        <v>0</v>
      </c>
      <c r="N9">
        <v>0.66322966905039105</v>
      </c>
      <c r="O9">
        <v>0</v>
      </c>
      <c r="P9">
        <v>20.07</v>
      </c>
      <c r="Q9">
        <v>0</v>
      </c>
      <c r="R9">
        <v>0</v>
      </c>
      <c r="S9">
        <v>1872.57</v>
      </c>
      <c r="T9">
        <v>50</v>
      </c>
      <c r="U9">
        <v>390</v>
      </c>
      <c r="V9">
        <v>60</v>
      </c>
      <c r="W9">
        <v>0</v>
      </c>
      <c r="X9">
        <v>0</v>
      </c>
      <c r="Y9">
        <v>195</v>
      </c>
      <c r="Z9">
        <v>10</v>
      </c>
      <c r="AA9" s="2">
        <v>45656</v>
      </c>
      <c r="AB9" t="s">
        <v>1742</v>
      </c>
      <c r="AC9">
        <v>66</v>
      </c>
      <c r="AD9">
        <v>60.13</v>
      </c>
      <c r="AE9">
        <v>0</v>
      </c>
      <c r="AF9">
        <v>16</v>
      </c>
      <c r="AG9">
        <v>50</v>
      </c>
      <c r="AH9">
        <v>39.880000000000003</v>
      </c>
      <c r="AI9">
        <v>20.239999999999998</v>
      </c>
      <c r="AJ9">
        <v>36.22</v>
      </c>
      <c r="AK9">
        <v>25.09</v>
      </c>
      <c r="AL9">
        <v>1.1000000000000001</v>
      </c>
      <c r="AM9">
        <v>73</v>
      </c>
      <c r="AN9">
        <v>0</v>
      </c>
      <c r="AO9">
        <v>0</v>
      </c>
      <c r="AP9">
        <v>60.13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820.71</v>
      </c>
    </row>
    <row r="10" spans="1:59" hidden="1" x14ac:dyDescent="0.25">
      <c r="A10" t="s">
        <v>114</v>
      </c>
      <c r="B10">
        <v>52</v>
      </c>
      <c r="C10">
        <v>52.04</v>
      </c>
      <c r="D10">
        <v>52</v>
      </c>
      <c r="E10">
        <v>1</v>
      </c>
      <c r="F10">
        <v>1098.5</v>
      </c>
      <c r="G10">
        <v>338</v>
      </c>
      <c r="H10">
        <v>0</v>
      </c>
      <c r="I10">
        <v>0</v>
      </c>
      <c r="J10">
        <v>1</v>
      </c>
      <c r="K10">
        <v>0</v>
      </c>
      <c r="L10">
        <v>169</v>
      </c>
      <c r="M10">
        <v>0</v>
      </c>
      <c r="N10">
        <v>0.73712528823981605</v>
      </c>
      <c r="O10">
        <v>84.5</v>
      </c>
      <c r="P10">
        <v>28</v>
      </c>
      <c r="Q10">
        <v>0</v>
      </c>
      <c r="R10">
        <v>0</v>
      </c>
      <c r="S10">
        <v>1718</v>
      </c>
      <c r="T10">
        <v>50</v>
      </c>
      <c r="U10">
        <v>338</v>
      </c>
      <c r="V10">
        <v>52</v>
      </c>
      <c r="W10">
        <v>0</v>
      </c>
      <c r="X10">
        <v>0</v>
      </c>
      <c r="Y10">
        <v>169</v>
      </c>
      <c r="Z10">
        <v>2</v>
      </c>
      <c r="AA10" s="2">
        <v>45656</v>
      </c>
      <c r="AB10" t="s">
        <v>1751</v>
      </c>
      <c r="AC10">
        <v>65</v>
      </c>
      <c r="AD10">
        <v>52.31</v>
      </c>
      <c r="AE10">
        <v>0.27</v>
      </c>
      <c r="AF10">
        <v>30</v>
      </c>
      <c r="AG10">
        <v>35</v>
      </c>
      <c r="AH10">
        <v>38.36</v>
      </c>
      <c r="AI10">
        <v>13.69</v>
      </c>
      <c r="AJ10">
        <v>46.75</v>
      </c>
      <c r="AK10">
        <v>34.979999999999997</v>
      </c>
      <c r="AL10">
        <v>1.24</v>
      </c>
      <c r="AM10">
        <v>71</v>
      </c>
      <c r="AN10">
        <v>0</v>
      </c>
      <c r="AO10">
        <v>0</v>
      </c>
      <c r="AP10">
        <v>52.04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753.43</v>
      </c>
    </row>
    <row r="11" spans="1:59" hidden="1" x14ac:dyDescent="0.25">
      <c r="A11" t="s">
        <v>114</v>
      </c>
      <c r="B11">
        <v>540</v>
      </c>
      <c r="C11">
        <v>533.29</v>
      </c>
      <c r="D11">
        <v>533.29</v>
      </c>
      <c r="E11">
        <v>0.98757407407407405</v>
      </c>
      <c r="F11">
        <v>11439.0705</v>
      </c>
      <c r="G11">
        <v>3519.7139999999999</v>
      </c>
      <c r="H11">
        <v>0</v>
      </c>
      <c r="I11">
        <v>0</v>
      </c>
      <c r="J11">
        <v>0.97360406091370599</v>
      </c>
      <c r="K11">
        <v>3.1282586027111599E-2</v>
      </c>
      <c r="L11">
        <v>1759.857</v>
      </c>
      <c r="M11">
        <v>0</v>
      </c>
      <c r="N11">
        <v>0.799358697894204</v>
      </c>
      <c r="O11">
        <v>879.92849999999999</v>
      </c>
      <c r="P11">
        <v>765.39</v>
      </c>
      <c r="Q11">
        <v>0</v>
      </c>
      <c r="R11">
        <v>0</v>
      </c>
      <c r="S11">
        <v>18363.96</v>
      </c>
      <c r="T11">
        <v>540</v>
      </c>
      <c r="U11">
        <v>3519.7139999999999</v>
      </c>
      <c r="V11">
        <v>533.29</v>
      </c>
      <c r="W11">
        <v>0</v>
      </c>
      <c r="X11">
        <v>12</v>
      </c>
      <c r="Y11">
        <v>1759.857</v>
      </c>
      <c r="Z11">
        <v>0</v>
      </c>
      <c r="AA11" s="2">
        <v>45656</v>
      </c>
      <c r="AB11" t="s">
        <v>1601</v>
      </c>
      <c r="AC11">
        <v>834</v>
      </c>
      <c r="AD11">
        <v>545</v>
      </c>
      <c r="AE11">
        <v>11.710000000000003</v>
      </c>
      <c r="AF11">
        <v>153</v>
      </c>
      <c r="AG11">
        <v>681</v>
      </c>
      <c r="AH11">
        <v>426.29</v>
      </c>
      <c r="AI11">
        <v>106.96</v>
      </c>
      <c r="AJ11">
        <v>264.64</v>
      </c>
      <c r="AK11">
        <v>198</v>
      </c>
      <c r="AL11">
        <v>26.880000000000003</v>
      </c>
      <c r="AM11">
        <v>959</v>
      </c>
      <c r="AN11">
        <v>14</v>
      </c>
      <c r="AO11">
        <v>30</v>
      </c>
      <c r="AP11">
        <v>390.59</v>
      </c>
      <c r="AQ11">
        <v>0.1</v>
      </c>
      <c r="AR11">
        <v>0.05</v>
      </c>
      <c r="AS11">
        <v>0.7</v>
      </c>
      <c r="AT11">
        <v>33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540</v>
      </c>
      <c r="BE11">
        <v>0</v>
      </c>
      <c r="BF11">
        <v>0</v>
      </c>
      <c r="BG11">
        <v>9806.239999999998</v>
      </c>
    </row>
    <row r="12" spans="1:59" hidden="1" x14ac:dyDescent="0.25">
      <c r="A12" t="s">
        <v>114</v>
      </c>
      <c r="B12">
        <v>50</v>
      </c>
      <c r="C12">
        <v>12.23</v>
      </c>
      <c r="D12">
        <v>12.23</v>
      </c>
      <c r="E12">
        <v>0.24460000000000001</v>
      </c>
      <c r="F12">
        <v>0</v>
      </c>
      <c r="G12">
        <v>0</v>
      </c>
      <c r="H12">
        <v>0</v>
      </c>
      <c r="I12">
        <v>0</v>
      </c>
      <c r="J12">
        <v>0.952380952380952</v>
      </c>
      <c r="K12">
        <v>0.05</v>
      </c>
      <c r="L12">
        <v>0</v>
      </c>
      <c r="M12">
        <v>0</v>
      </c>
      <c r="N12">
        <v>0.63368765331152899</v>
      </c>
      <c r="O12">
        <v>0</v>
      </c>
      <c r="P12">
        <v>0</v>
      </c>
      <c r="Q12">
        <v>0</v>
      </c>
      <c r="R12">
        <v>202.72</v>
      </c>
      <c r="S12">
        <v>202.72</v>
      </c>
      <c r="T12">
        <v>50</v>
      </c>
      <c r="U12">
        <v>0</v>
      </c>
      <c r="V12">
        <v>0</v>
      </c>
      <c r="W12">
        <v>12.23</v>
      </c>
      <c r="X12">
        <v>0</v>
      </c>
      <c r="Y12">
        <v>0</v>
      </c>
      <c r="Z12">
        <v>0</v>
      </c>
      <c r="AA12" s="2">
        <v>45656</v>
      </c>
      <c r="AB12" t="s">
        <v>1746</v>
      </c>
      <c r="AC12">
        <v>16</v>
      </c>
      <c r="AD12">
        <v>12.23</v>
      </c>
      <c r="AE12">
        <v>0</v>
      </c>
      <c r="AF12">
        <v>1</v>
      </c>
      <c r="AG12">
        <v>15</v>
      </c>
      <c r="AH12">
        <v>7.75</v>
      </c>
      <c r="AI12">
        <v>4.47</v>
      </c>
      <c r="AJ12">
        <v>1.17</v>
      </c>
      <c r="AK12">
        <v>0.61</v>
      </c>
      <c r="AL12">
        <v>1.31</v>
      </c>
      <c r="AM12">
        <v>20</v>
      </c>
      <c r="AN12">
        <v>1</v>
      </c>
      <c r="AO12">
        <v>1</v>
      </c>
      <c r="AP12">
        <v>0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0</v>
      </c>
      <c r="BG12">
        <v>202.72</v>
      </c>
    </row>
    <row r="13" spans="1:59" hidden="1" x14ac:dyDescent="0.25">
      <c r="A13" t="s">
        <v>114</v>
      </c>
      <c r="B13">
        <v>160</v>
      </c>
      <c r="C13">
        <v>154.14999999999998</v>
      </c>
      <c r="D13">
        <v>154.14999999999998</v>
      </c>
      <c r="E13">
        <v>1</v>
      </c>
      <c r="F13">
        <v>3256.4187999999999</v>
      </c>
      <c r="G13">
        <v>1001.9749999999999</v>
      </c>
      <c r="H13">
        <v>0</v>
      </c>
      <c r="I13">
        <v>0</v>
      </c>
      <c r="J13">
        <v>0.89491525423728802</v>
      </c>
      <c r="K13">
        <v>1.13636363636364E-2</v>
      </c>
      <c r="L13">
        <v>0</v>
      </c>
      <c r="M13">
        <v>0</v>
      </c>
      <c r="N13">
        <v>0.75822251054167999</v>
      </c>
      <c r="O13">
        <v>250.49379999999999</v>
      </c>
      <c r="P13">
        <v>136.06</v>
      </c>
      <c r="Q13">
        <v>0</v>
      </c>
      <c r="R13">
        <v>0</v>
      </c>
      <c r="S13">
        <v>4644.9475000000002</v>
      </c>
      <c r="T13">
        <v>150</v>
      </c>
      <c r="U13">
        <v>1001.975</v>
      </c>
      <c r="V13">
        <v>0</v>
      </c>
      <c r="W13">
        <v>0</v>
      </c>
      <c r="X13">
        <v>29</v>
      </c>
      <c r="Y13">
        <v>0</v>
      </c>
      <c r="Z13">
        <v>10</v>
      </c>
      <c r="AA13" s="2">
        <v>45656</v>
      </c>
      <c r="AB13" t="s">
        <v>1747</v>
      </c>
      <c r="AC13">
        <v>230</v>
      </c>
      <c r="AD13">
        <v>154.46</v>
      </c>
      <c r="AE13">
        <v>0.31</v>
      </c>
      <c r="AF13">
        <v>56</v>
      </c>
      <c r="AG13">
        <v>174</v>
      </c>
      <c r="AH13">
        <v>116.88</v>
      </c>
      <c r="AI13">
        <v>37.269999999999996</v>
      </c>
      <c r="AJ13">
        <v>79.22</v>
      </c>
      <c r="AK13">
        <v>60.82</v>
      </c>
      <c r="AL13">
        <v>4.4800000000000004</v>
      </c>
      <c r="AM13">
        <v>264</v>
      </c>
      <c r="AN13">
        <v>2</v>
      </c>
      <c r="AO13">
        <v>3</v>
      </c>
      <c r="AP13">
        <v>100.25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150</v>
      </c>
      <c r="BE13">
        <v>0</v>
      </c>
      <c r="BF13">
        <v>154.14999999999998</v>
      </c>
      <c r="BG13">
        <v>2687.6400000000003</v>
      </c>
    </row>
    <row r="14" spans="1:59" hidden="1" x14ac:dyDescent="0.25">
      <c r="A14" t="s">
        <v>114</v>
      </c>
      <c r="B14">
        <v>50</v>
      </c>
      <c r="C14">
        <v>49.51</v>
      </c>
      <c r="D14">
        <v>49.51</v>
      </c>
      <c r="E14">
        <v>0.99019999999999997</v>
      </c>
      <c r="F14">
        <v>1045.8987999999999</v>
      </c>
      <c r="G14">
        <v>321.815</v>
      </c>
      <c r="H14">
        <v>0</v>
      </c>
      <c r="I14">
        <v>0</v>
      </c>
      <c r="J14">
        <v>1</v>
      </c>
      <c r="K14">
        <v>1.8181818181818198E-2</v>
      </c>
      <c r="L14">
        <v>160.9075</v>
      </c>
      <c r="M14">
        <v>0</v>
      </c>
      <c r="N14">
        <v>0.55423146839022397</v>
      </c>
      <c r="O14">
        <v>0</v>
      </c>
      <c r="P14">
        <v>40.5</v>
      </c>
      <c r="Q14">
        <v>0</v>
      </c>
      <c r="R14">
        <v>0</v>
      </c>
      <c r="S14">
        <v>1569.1212</v>
      </c>
      <c r="T14">
        <v>50</v>
      </c>
      <c r="U14">
        <v>321.815</v>
      </c>
      <c r="V14">
        <v>49.51</v>
      </c>
      <c r="W14">
        <v>0</v>
      </c>
      <c r="X14">
        <v>0</v>
      </c>
      <c r="Y14">
        <v>160.9075</v>
      </c>
      <c r="Z14">
        <v>0</v>
      </c>
      <c r="AA14" s="2">
        <v>45656</v>
      </c>
      <c r="AB14" t="s">
        <v>1816</v>
      </c>
      <c r="AC14">
        <v>52</v>
      </c>
      <c r="AD14">
        <v>49.51</v>
      </c>
      <c r="AE14">
        <v>0</v>
      </c>
      <c r="AF14">
        <v>3</v>
      </c>
      <c r="AG14">
        <v>49</v>
      </c>
      <c r="AH14">
        <v>27.44</v>
      </c>
      <c r="AI14">
        <v>22.07</v>
      </c>
      <c r="AJ14">
        <v>6.21</v>
      </c>
      <c r="AK14">
        <v>3.43</v>
      </c>
      <c r="AL14">
        <v>1.05</v>
      </c>
      <c r="AM14">
        <v>55</v>
      </c>
      <c r="AN14">
        <v>0</v>
      </c>
      <c r="AO14">
        <v>1</v>
      </c>
      <c r="AP14">
        <v>49.51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50</v>
      </c>
      <c r="BE14">
        <v>0</v>
      </c>
      <c r="BF14">
        <v>0</v>
      </c>
      <c r="BG14">
        <v>640.42999999999995</v>
      </c>
    </row>
    <row r="15" spans="1:59" hidden="1" x14ac:dyDescent="0.25">
      <c r="A15" t="s">
        <v>114</v>
      </c>
      <c r="B15">
        <v>50</v>
      </c>
      <c r="C15">
        <v>49.95</v>
      </c>
      <c r="D15">
        <v>49.95</v>
      </c>
      <c r="E15">
        <v>0.999</v>
      </c>
      <c r="F15">
        <v>1055.1938</v>
      </c>
      <c r="G15">
        <v>324.67500000000001</v>
      </c>
      <c r="H15">
        <v>0</v>
      </c>
      <c r="I15">
        <v>0</v>
      </c>
      <c r="J15">
        <v>1</v>
      </c>
      <c r="K15">
        <v>0</v>
      </c>
      <c r="L15">
        <v>162.33750000000001</v>
      </c>
      <c r="M15">
        <v>0</v>
      </c>
      <c r="N15">
        <v>0.61421421421421396</v>
      </c>
      <c r="O15">
        <v>0</v>
      </c>
      <c r="P15">
        <v>46</v>
      </c>
      <c r="Q15">
        <v>0</v>
      </c>
      <c r="R15">
        <v>0</v>
      </c>
      <c r="S15">
        <v>1588.2062000000001</v>
      </c>
      <c r="T15">
        <v>50</v>
      </c>
      <c r="U15">
        <v>324.67500000000001</v>
      </c>
      <c r="V15">
        <v>49.95</v>
      </c>
      <c r="W15">
        <v>0</v>
      </c>
      <c r="X15">
        <v>0</v>
      </c>
      <c r="Y15">
        <v>162.33750000000001</v>
      </c>
      <c r="Z15">
        <v>0</v>
      </c>
      <c r="AA15" s="2">
        <v>45656</v>
      </c>
      <c r="AB15" t="s">
        <v>1699</v>
      </c>
      <c r="AC15">
        <v>63</v>
      </c>
      <c r="AD15">
        <v>50</v>
      </c>
      <c r="AE15">
        <v>0.05</v>
      </c>
      <c r="AF15">
        <v>9</v>
      </c>
      <c r="AG15">
        <v>54</v>
      </c>
      <c r="AH15">
        <v>30.68</v>
      </c>
      <c r="AI15">
        <v>19.28</v>
      </c>
      <c r="AJ15">
        <v>15.85</v>
      </c>
      <c r="AK15">
        <v>7.91</v>
      </c>
      <c r="AL15">
        <v>1.26</v>
      </c>
      <c r="AM15">
        <v>70</v>
      </c>
      <c r="AN15">
        <v>0</v>
      </c>
      <c r="AO15">
        <v>0</v>
      </c>
      <c r="AP15">
        <v>49.95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</v>
      </c>
      <c r="BG15">
        <v>700.1</v>
      </c>
    </row>
    <row r="16" spans="1:59" hidden="1" x14ac:dyDescent="0.25">
      <c r="A16" t="s">
        <v>114</v>
      </c>
      <c r="B16">
        <v>50</v>
      </c>
      <c r="C16">
        <v>50.34</v>
      </c>
      <c r="D16">
        <v>50</v>
      </c>
      <c r="E16">
        <v>1</v>
      </c>
      <c r="F16">
        <v>1056.25</v>
      </c>
      <c r="G16">
        <v>325</v>
      </c>
      <c r="H16">
        <v>0</v>
      </c>
      <c r="I16">
        <v>0</v>
      </c>
      <c r="J16">
        <v>1</v>
      </c>
      <c r="K16">
        <v>0</v>
      </c>
      <c r="L16">
        <v>162.5</v>
      </c>
      <c r="M16">
        <v>0</v>
      </c>
      <c r="N16">
        <v>0.67640047675804504</v>
      </c>
      <c r="O16">
        <v>0</v>
      </c>
      <c r="P16">
        <v>24</v>
      </c>
      <c r="Q16">
        <v>0</v>
      </c>
      <c r="R16">
        <v>0</v>
      </c>
      <c r="S16">
        <v>1567.75</v>
      </c>
      <c r="T16">
        <v>50</v>
      </c>
      <c r="U16">
        <v>325</v>
      </c>
      <c r="V16">
        <v>50</v>
      </c>
      <c r="W16">
        <v>0</v>
      </c>
      <c r="X16">
        <v>0</v>
      </c>
      <c r="Y16">
        <v>162.5</v>
      </c>
      <c r="Z16">
        <v>0</v>
      </c>
      <c r="AA16" s="2">
        <v>45656</v>
      </c>
      <c r="AB16" t="s">
        <v>1748</v>
      </c>
      <c r="AC16">
        <v>67</v>
      </c>
      <c r="AD16">
        <v>50.34</v>
      </c>
      <c r="AE16">
        <v>0</v>
      </c>
      <c r="AF16">
        <v>10</v>
      </c>
      <c r="AG16">
        <v>57</v>
      </c>
      <c r="AH16">
        <v>34.049999999999997</v>
      </c>
      <c r="AI16">
        <v>16.3</v>
      </c>
      <c r="AJ16">
        <v>19.940000000000001</v>
      </c>
      <c r="AK16">
        <v>9.9600000000000009</v>
      </c>
      <c r="AL16">
        <v>1.33</v>
      </c>
      <c r="AM16">
        <v>75</v>
      </c>
      <c r="AN16">
        <v>0</v>
      </c>
      <c r="AO16">
        <v>0</v>
      </c>
      <c r="AP16">
        <v>50.34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759.04</v>
      </c>
    </row>
    <row r="17" spans="1:59" hidden="1" x14ac:dyDescent="0.25">
      <c r="A17" t="s">
        <v>114</v>
      </c>
      <c r="B17">
        <v>105</v>
      </c>
      <c r="C17">
        <v>103.31</v>
      </c>
      <c r="D17">
        <v>103.31</v>
      </c>
      <c r="E17">
        <v>1</v>
      </c>
      <c r="F17">
        <v>2182.4238</v>
      </c>
      <c r="G17">
        <v>671.51499999999999</v>
      </c>
      <c r="H17">
        <v>0</v>
      </c>
      <c r="I17">
        <v>0</v>
      </c>
      <c r="J17">
        <v>0.99484536082474195</v>
      </c>
      <c r="K17">
        <v>3.10880829015544E-2</v>
      </c>
      <c r="L17">
        <v>335.75749999999999</v>
      </c>
      <c r="M17">
        <v>0</v>
      </c>
      <c r="N17">
        <v>0.75471880747265496</v>
      </c>
      <c r="O17">
        <v>167.87880000000001</v>
      </c>
      <c r="P17">
        <v>121.36</v>
      </c>
      <c r="Q17">
        <v>0</v>
      </c>
      <c r="R17">
        <v>0</v>
      </c>
      <c r="S17">
        <v>3478.9349999999999</v>
      </c>
      <c r="T17">
        <v>100</v>
      </c>
      <c r="U17">
        <v>671.51499999999999</v>
      </c>
      <c r="V17">
        <v>103.31</v>
      </c>
      <c r="W17">
        <v>0</v>
      </c>
      <c r="X17">
        <v>1</v>
      </c>
      <c r="Y17">
        <v>335.75749999999999</v>
      </c>
      <c r="Z17">
        <v>5</v>
      </c>
      <c r="AA17" s="2">
        <v>45656</v>
      </c>
      <c r="AB17" t="s">
        <v>1787</v>
      </c>
      <c r="AC17">
        <v>168</v>
      </c>
      <c r="AD17">
        <v>103.32</v>
      </c>
      <c r="AE17">
        <v>0.01</v>
      </c>
      <c r="AF17">
        <v>32</v>
      </c>
      <c r="AG17">
        <v>136</v>
      </c>
      <c r="AH17">
        <v>77.97</v>
      </c>
      <c r="AI17">
        <v>25.34</v>
      </c>
      <c r="AJ17">
        <v>48.47</v>
      </c>
      <c r="AK17">
        <v>33.79</v>
      </c>
      <c r="AL17">
        <v>3.25</v>
      </c>
      <c r="AM17">
        <v>193</v>
      </c>
      <c r="AN17">
        <v>0</v>
      </c>
      <c r="AO17">
        <v>6</v>
      </c>
      <c r="AP17">
        <v>103.31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100</v>
      </c>
      <c r="BE17">
        <v>0</v>
      </c>
      <c r="BF17">
        <v>0</v>
      </c>
      <c r="BG17">
        <v>1854.1799999999998</v>
      </c>
    </row>
    <row r="18" spans="1:59" hidden="1" x14ac:dyDescent="0.25">
      <c r="A18" t="s">
        <v>114</v>
      </c>
      <c r="B18">
        <v>60</v>
      </c>
      <c r="C18">
        <v>60.190000000000005</v>
      </c>
      <c r="D18">
        <v>60</v>
      </c>
      <c r="E18">
        <v>1</v>
      </c>
      <c r="F18">
        <v>1267.5</v>
      </c>
      <c r="G18">
        <v>390</v>
      </c>
      <c r="H18">
        <v>0</v>
      </c>
      <c r="I18">
        <v>0</v>
      </c>
      <c r="J18">
        <v>1</v>
      </c>
      <c r="K18">
        <v>1.1111111111111099E-2</v>
      </c>
      <c r="L18">
        <v>195</v>
      </c>
      <c r="M18">
        <v>0</v>
      </c>
      <c r="N18">
        <v>0.63864429307193904</v>
      </c>
      <c r="O18">
        <v>0</v>
      </c>
      <c r="P18">
        <v>28</v>
      </c>
      <c r="Q18">
        <v>0</v>
      </c>
      <c r="R18">
        <v>0</v>
      </c>
      <c r="S18">
        <v>1880.5</v>
      </c>
      <c r="T18">
        <v>50</v>
      </c>
      <c r="U18">
        <v>390</v>
      </c>
      <c r="V18">
        <v>60</v>
      </c>
      <c r="W18">
        <v>0</v>
      </c>
      <c r="X18">
        <v>0</v>
      </c>
      <c r="Y18">
        <v>195</v>
      </c>
      <c r="Z18">
        <v>10</v>
      </c>
      <c r="AA18" s="2">
        <v>45656</v>
      </c>
      <c r="AB18" t="s">
        <v>1788</v>
      </c>
      <c r="AC18">
        <v>81</v>
      </c>
      <c r="AD18">
        <v>60.2</v>
      </c>
      <c r="AE18">
        <v>0.01</v>
      </c>
      <c r="AF18">
        <v>10</v>
      </c>
      <c r="AG18">
        <v>71</v>
      </c>
      <c r="AH18">
        <v>38.44</v>
      </c>
      <c r="AI18">
        <v>21.76</v>
      </c>
      <c r="AJ18">
        <v>38.4</v>
      </c>
      <c r="AK18">
        <v>25.32</v>
      </c>
      <c r="AL18">
        <v>1.35</v>
      </c>
      <c r="AM18">
        <v>90</v>
      </c>
      <c r="AN18">
        <v>0</v>
      </c>
      <c r="AO18">
        <v>1</v>
      </c>
      <c r="AP18">
        <v>60.190000000000005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874.02</v>
      </c>
    </row>
    <row r="19" spans="1:59" hidden="1" x14ac:dyDescent="0.25">
      <c r="A19" t="s">
        <v>114</v>
      </c>
      <c r="B19">
        <v>85</v>
      </c>
      <c r="C19">
        <v>85.63</v>
      </c>
      <c r="D19">
        <v>85</v>
      </c>
      <c r="E19">
        <v>1</v>
      </c>
      <c r="F19">
        <v>1795.625</v>
      </c>
      <c r="G19">
        <v>552.5</v>
      </c>
      <c r="H19">
        <v>0</v>
      </c>
      <c r="I19">
        <v>0</v>
      </c>
      <c r="J19">
        <v>0.97972972972973005</v>
      </c>
      <c r="K19">
        <v>0</v>
      </c>
      <c r="L19">
        <v>276.25</v>
      </c>
      <c r="M19">
        <v>0</v>
      </c>
      <c r="N19">
        <v>0.77694733154268403</v>
      </c>
      <c r="O19">
        <v>138.125</v>
      </c>
      <c r="P19">
        <v>102.76</v>
      </c>
      <c r="Q19">
        <v>0</v>
      </c>
      <c r="R19">
        <v>0</v>
      </c>
      <c r="S19">
        <v>2865.26</v>
      </c>
      <c r="T19">
        <v>50</v>
      </c>
      <c r="U19">
        <v>552.5</v>
      </c>
      <c r="V19">
        <v>85</v>
      </c>
      <c r="W19">
        <v>0</v>
      </c>
      <c r="X19">
        <v>3</v>
      </c>
      <c r="Y19">
        <v>276.25</v>
      </c>
      <c r="Z19">
        <v>35</v>
      </c>
      <c r="AA19" s="2">
        <v>45656</v>
      </c>
      <c r="AB19" t="s">
        <v>1716</v>
      </c>
      <c r="AC19">
        <v>148</v>
      </c>
      <c r="AD19">
        <v>85.75</v>
      </c>
      <c r="AE19">
        <v>0.12</v>
      </c>
      <c r="AF19">
        <v>14</v>
      </c>
      <c r="AG19">
        <v>134</v>
      </c>
      <c r="AH19">
        <v>66.53</v>
      </c>
      <c r="AI19">
        <v>19.09</v>
      </c>
      <c r="AJ19">
        <v>13.81</v>
      </c>
      <c r="AK19">
        <v>8.59</v>
      </c>
      <c r="AL19">
        <v>1.73</v>
      </c>
      <c r="AM19">
        <v>145</v>
      </c>
      <c r="AN19">
        <v>0</v>
      </c>
      <c r="AO19">
        <v>0</v>
      </c>
      <c r="AP19">
        <v>85.63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50</v>
      </c>
      <c r="BE19">
        <v>0</v>
      </c>
      <c r="BF19">
        <v>0</v>
      </c>
      <c r="BG19">
        <v>1749.36</v>
      </c>
    </row>
    <row r="20" spans="1:59" hidden="1" x14ac:dyDescent="0.25">
      <c r="A20" t="s">
        <v>114</v>
      </c>
      <c r="B20">
        <v>50</v>
      </c>
      <c r="C20">
        <v>51.39</v>
      </c>
      <c r="D20">
        <v>50</v>
      </c>
      <c r="E20">
        <v>1</v>
      </c>
      <c r="F20">
        <v>1056.25</v>
      </c>
      <c r="G20">
        <v>325</v>
      </c>
      <c r="H20">
        <v>0</v>
      </c>
      <c r="I20">
        <v>0</v>
      </c>
      <c r="J20">
        <v>0.98630136986301398</v>
      </c>
      <c r="K20">
        <v>0</v>
      </c>
      <c r="L20">
        <v>162.5</v>
      </c>
      <c r="M20">
        <v>0</v>
      </c>
      <c r="N20">
        <v>0.62949990270480605</v>
      </c>
      <c r="O20">
        <v>0</v>
      </c>
      <c r="P20">
        <v>59.19</v>
      </c>
      <c r="Q20">
        <v>0</v>
      </c>
      <c r="R20">
        <v>0</v>
      </c>
      <c r="S20">
        <v>1602.94</v>
      </c>
      <c r="T20">
        <v>50</v>
      </c>
      <c r="U20">
        <v>325</v>
      </c>
      <c r="V20">
        <v>50</v>
      </c>
      <c r="W20">
        <v>0</v>
      </c>
      <c r="X20">
        <v>1</v>
      </c>
      <c r="Y20">
        <v>162.5</v>
      </c>
      <c r="Z20">
        <v>0</v>
      </c>
      <c r="AA20" s="2">
        <v>45656</v>
      </c>
      <c r="AB20" t="s">
        <v>1745</v>
      </c>
      <c r="AC20">
        <v>68</v>
      </c>
      <c r="AD20">
        <v>51.88</v>
      </c>
      <c r="AE20">
        <v>0.49</v>
      </c>
      <c r="AF20">
        <v>12</v>
      </c>
      <c r="AG20">
        <v>56</v>
      </c>
      <c r="AH20">
        <v>32.35</v>
      </c>
      <c r="AI20">
        <v>19.03</v>
      </c>
      <c r="AJ20">
        <v>18.829999999999998</v>
      </c>
      <c r="AK20">
        <v>12.28</v>
      </c>
      <c r="AL20">
        <v>1.31</v>
      </c>
      <c r="AM20">
        <v>72</v>
      </c>
      <c r="AN20">
        <v>0</v>
      </c>
      <c r="AO20">
        <v>0</v>
      </c>
      <c r="AP20">
        <v>51.39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822.63</v>
      </c>
    </row>
    <row r="21" spans="1:59" hidden="1" x14ac:dyDescent="0.25">
      <c r="A21" t="s">
        <v>114</v>
      </c>
      <c r="B21">
        <v>455</v>
      </c>
      <c r="C21">
        <v>455.58000000000004</v>
      </c>
      <c r="D21">
        <v>455</v>
      </c>
      <c r="E21">
        <v>1</v>
      </c>
      <c r="F21">
        <v>9611.875</v>
      </c>
      <c r="G21">
        <v>2957.5</v>
      </c>
      <c r="H21">
        <v>0</v>
      </c>
      <c r="I21">
        <v>0</v>
      </c>
      <c r="J21">
        <v>0.83912483912483904</v>
      </c>
      <c r="K21">
        <v>2.4539877300613501E-2</v>
      </c>
      <c r="L21">
        <v>0</v>
      </c>
      <c r="M21">
        <v>0</v>
      </c>
      <c r="N21">
        <v>0.69197506475262305</v>
      </c>
      <c r="O21">
        <v>0</v>
      </c>
      <c r="P21">
        <v>508.34</v>
      </c>
      <c r="Q21">
        <v>0</v>
      </c>
      <c r="R21">
        <v>0</v>
      </c>
      <c r="S21">
        <v>13077.715</v>
      </c>
      <c r="T21">
        <v>425</v>
      </c>
      <c r="U21">
        <v>2957.5</v>
      </c>
      <c r="V21">
        <v>0</v>
      </c>
      <c r="W21">
        <v>0</v>
      </c>
      <c r="X21">
        <v>117</v>
      </c>
      <c r="Y21">
        <v>0</v>
      </c>
      <c r="Z21">
        <v>30</v>
      </c>
      <c r="AA21" s="2">
        <v>45656</v>
      </c>
      <c r="AB21" t="s">
        <v>1670</v>
      </c>
      <c r="AC21">
        <v>582</v>
      </c>
      <c r="AD21">
        <v>474.79999999999995</v>
      </c>
      <c r="AE21">
        <v>19.22</v>
      </c>
      <c r="AF21">
        <v>117</v>
      </c>
      <c r="AG21">
        <v>465</v>
      </c>
      <c r="AH21">
        <v>315.25</v>
      </c>
      <c r="AI21">
        <v>140.32</v>
      </c>
      <c r="AJ21">
        <v>215.27</v>
      </c>
      <c r="AK21">
        <v>158.34</v>
      </c>
      <c r="AL21">
        <v>12.13</v>
      </c>
      <c r="AM21">
        <v>652</v>
      </c>
      <c r="AN21">
        <v>8</v>
      </c>
      <c r="AO21">
        <v>16</v>
      </c>
      <c r="AP21">
        <v>244.61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425</v>
      </c>
      <c r="BE21">
        <v>0</v>
      </c>
      <c r="BF21">
        <v>455</v>
      </c>
      <c r="BG21">
        <v>7118.41</v>
      </c>
    </row>
    <row r="22" spans="1:59" x14ac:dyDescent="0.25">
      <c r="A22" t="s">
        <v>115</v>
      </c>
      <c r="B22">
        <v>50</v>
      </c>
      <c r="C22">
        <v>49.83</v>
      </c>
      <c r="D22">
        <v>49.83</v>
      </c>
      <c r="E22">
        <v>0.99660000000000004</v>
      </c>
      <c r="F22">
        <v>1052.6587999999999</v>
      </c>
      <c r="G22">
        <v>323.89499999999998</v>
      </c>
      <c r="H22">
        <v>0</v>
      </c>
      <c r="I22">
        <v>0</v>
      </c>
      <c r="J22">
        <v>0.78723404255319196</v>
      </c>
      <c r="K22">
        <v>0</v>
      </c>
      <c r="L22">
        <v>0</v>
      </c>
      <c r="M22">
        <v>0</v>
      </c>
      <c r="N22">
        <v>0.86213124623720605</v>
      </c>
      <c r="O22">
        <v>80.973799999999997</v>
      </c>
      <c r="P22">
        <v>22.07</v>
      </c>
      <c r="Q22">
        <v>6</v>
      </c>
      <c r="R22">
        <v>0</v>
      </c>
      <c r="S22">
        <v>1485.5975000000001</v>
      </c>
      <c r="T22">
        <v>50</v>
      </c>
      <c r="U22">
        <v>323.89499999999998</v>
      </c>
      <c r="V22">
        <v>0</v>
      </c>
      <c r="W22">
        <v>0</v>
      </c>
      <c r="X22">
        <v>20</v>
      </c>
      <c r="Y22">
        <v>0</v>
      </c>
      <c r="Z22">
        <v>0</v>
      </c>
      <c r="AA22" s="2">
        <v>45663</v>
      </c>
      <c r="AB22" t="s">
        <v>1749</v>
      </c>
      <c r="AC22">
        <v>66</v>
      </c>
      <c r="AD22">
        <v>50.059999999999995</v>
      </c>
      <c r="AE22">
        <v>0.23</v>
      </c>
      <c r="AF22">
        <v>29</v>
      </c>
      <c r="AG22">
        <v>37</v>
      </c>
      <c r="AH22">
        <v>42.96</v>
      </c>
      <c r="AI22">
        <v>6.87</v>
      </c>
      <c r="AJ22">
        <v>36.799999999999997</v>
      </c>
      <c r="AK22">
        <v>32.549999999999997</v>
      </c>
      <c r="AL22">
        <v>1.32</v>
      </c>
      <c r="AM22">
        <v>74</v>
      </c>
      <c r="AN22">
        <v>0</v>
      </c>
      <c r="AO22">
        <v>0</v>
      </c>
      <c r="AP22">
        <v>0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49.83</v>
      </c>
      <c r="BG22">
        <v>788.92</v>
      </c>
    </row>
    <row r="23" spans="1:59" x14ac:dyDescent="0.25">
      <c r="A23" t="s">
        <v>115</v>
      </c>
      <c r="B23">
        <v>50</v>
      </c>
      <c r="C23">
        <v>50.089999999999996</v>
      </c>
      <c r="D23">
        <v>50</v>
      </c>
      <c r="E23">
        <v>1</v>
      </c>
      <c r="F23">
        <v>1056.25</v>
      </c>
      <c r="G23">
        <v>325</v>
      </c>
      <c r="H23">
        <v>0</v>
      </c>
      <c r="I23">
        <v>0</v>
      </c>
      <c r="J23">
        <v>0.95744680851063801</v>
      </c>
      <c r="K23">
        <v>6.6666666666666693E-2</v>
      </c>
      <c r="L23">
        <v>0</v>
      </c>
      <c r="M23">
        <v>0</v>
      </c>
      <c r="N23">
        <v>0.52445597923737297</v>
      </c>
      <c r="O23">
        <v>0</v>
      </c>
      <c r="P23">
        <v>43</v>
      </c>
      <c r="Q23">
        <v>0</v>
      </c>
      <c r="R23">
        <v>0</v>
      </c>
      <c r="S23">
        <v>1424.25</v>
      </c>
      <c r="T23">
        <v>50</v>
      </c>
      <c r="U23">
        <v>325</v>
      </c>
      <c r="V23">
        <v>0</v>
      </c>
      <c r="W23">
        <v>0</v>
      </c>
      <c r="X23">
        <v>2</v>
      </c>
      <c r="Y23">
        <v>0</v>
      </c>
      <c r="Z23">
        <v>0</v>
      </c>
      <c r="AA23" s="2">
        <v>45663</v>
      </c>
      <c r="AB23" t="s">
        <v>1815</v>
      </c>
      <c r="AC23">
        <v>40</v>
      </c>
      <c r="AD23">
        <v>50.11</v>
      </c>
      <c r="AE23">
        <v>0.02</v>
      </c>
      <c r="AF23">
        <v>21</v>
      </c>
      <c r="AG23">
        <v>19</v>
      </c>
      <c r="AH23">
        <v>26.27</v>
      </c>
      <c r="AI23">
        <v>23.82</v>
      </c>
      <c r="AJ23">
        <v>38.07</v>
      </c>
      <c r="AK23">
        <v>20.74</v>
      </c>
      <c r="AL23">
        <v>0.8</v>
      </c>
      <c r="AM23">
        <v>45</v>
      </c>
      <c r="AN23">
        <v>0</v>
      </c>
      <c r="AO23">
        <v>3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50</v>
      </c>
      <c r="BG23">
        <v>486.08</v>
      </c>
    </row>
    <row r="24" spans="1:59" x14ac:dyDescent="0.25">
      <c r="A24" t="s">
        <v>115</v>
      </c>
      <c r="B24">
        <v>105</v>
      </c>
      <c r="C24">
        <v>104.53</v>
      </c>
      <c r="D24">
        <v>104.53</v>
      </c>
      <c r="E24">
        <v>1</v>
      </c>
      <c r="F24">
        <v>2208.1961999999999</v>
      </c>
      <c r="G24">
        <v>679.44500000000005</v>
      </c>
      <c r="H24">
        <v>0</v>
      </c>
      <c r="I24">
        <v>0</v>
      </c>
      <c r="J24">
        <v>0.98369565217391297</v>
      </c>
      <c r="K24">
        <v>5.5248618784530398E-2</v>
      </c>
      <c r="L24">
        <v>0</v>
      </c>
      <c r="M24">
        <v>0</v>
      </c>
      <c r="N24">
        <v>0.70362575337223798</v>
      </c>
      <c r="O24">
        <v>169.8612</v>
      </c>
      <c r="P24">
        <v>120.61</v>
      </c>
      <c r="Q24">
        <v>19.53</v>
      </c>
      <c r="R24">
        <v>0</v>
      </c>
      <c r="S24">
        <v>3197.6424999999999</v>
      </c>
      <c r="T24">
        <v>100</v>
      </c>
      <c r="U24">
        <v>679.44500000000005</v>
      </c>
      <c r="V24">
        <v>0</v>
      </c>
      <c r="W24">
        <v>0</v>
      </c>
      <c r="X24">
        <v>3</v>
      </c>
      <c r="Y24">
        <v>0</v>
      </c>
      <c r="Z24">
        <v>5</v>
      </c>
      <c r="AA24" s="2">
        <v>45663</v>
      </c>
      <c r="AB24" t="s">
        <v>1814</v>
      </c>
      <c r="AC24">
        <v>146</v>
      </c>
      <c r="AD24">
        <v>105.08000000000001</v>
      </c>
      <c r="AE24">
        <v>0.55000000000000004</v>
      </c>
      <c r="AF24">
        <v>30</v>
      </c>
      <c r="AG24">
        <v>116</v>
      </c>
      <c r="AH24">
        <v>73.550000000000011</v>
      </c>
      <c r="AI24">
        <v>30.979999999999997</v>
      </c>
      <c r="AJ24">
        <v>34.31</v>
      </c>
      <c r="AK24">
        <v>24.32</v>
      </c>
      <c r="AL24">
        <v>3.29</v>
      </c>
      <c r="AM24">
        <v>181</v>
      </c>
      <c r="AN24">
        <v>0</v>
      </c>
      <c r="AO24">
        <v>10</v>
      </c>
      <c r="AP24">
        <v>0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100</v>
      </c>
      <c r="BE24">
        <v>0</v>
      </c>
      <c r="BF24">
        <v>104.53</v>
      </c>
      <c r="BG24">
        <v>1572.03</v>
      </c>
    </row>
    <row r="25" spans="1:59" x14ac:dyDescent="0.25">
      <c r="A25" t="s">
        <v>115</v>
      </c>
      <c r="B25">
        <v>800</v>
      </c>
      <c r="C25">
        <v>761.53999999999985</v>
      </c>
      <c r="D25">
        <v>761.53999999999985</v>
      </c>
      <c r="E25">
        <v>0.95192500000000002</v>
      </c>
      <c r="F25">
        <v>17077.534500000002</v>
      </c>
      <c r="G25">
        <v>0</v>
      </c>
      <c r="H25">
        <v>0</v>
      </c>
      <c r="I25">
        <v>1313.6564999999998</v>
      </c>
      <c r="J25">
        <v>0.92668136714443206</v>
      </c>
      <c r="K25">
        <v>3.8072575847709698E-2</v>
      </c>
      <c r="L25">
        <v>0</v>
      </c>
      <c r="M25">
        <v>1313.6565000000001</v>
      </c>
      <c r="N25">
        <v>0.89513354518475796</v>
      </c>
      <c r="O25">
        <v>1313.6565000000001</v>
      </c>
      <c r="P25">
        <v>835.64</v>
      </c>
      <c r="Q25">
        <v>101.79</v>
      </c>
      <c r="R25">
        <v>0</v>
      </c>
      <c r="S25">
        <v>21955.934000000001</v>
      </c>
      <c r="T25">
        <v>800</v>
      </c>
      <c r="U25">
        <v>1313.6565000000001</v>
      </c>
      <c r="V25">
        <v>0</v>
      </c>
      <c r="W25">
        <v>761.53999999999985</v>
      </c>
      <c r="X25">
        <v>42</v>
      </c>
      <c r="Y25">
        <v>1313.6565000000001</v>
      </c>
      <c r="Z25">
        <v>0</v>
      </c>
      <c r="AA25" s="2">
        <v>45663</v>
      </c>
      <c r="AB25" t="s">
        <v>1599</v>
      </c>
      <c r="AC25">
        <v>1418</v>
      </c>
      <c r="AD25">
        <v>769.45999999999992</v>
      </c>
      <c r="AE25">
        <v>7.919999999999999</v>
      </c>
      <c r="AF25">
        <v>233</v>
      </c>
      <c r="AG25">
        <v>1185</v>
      </c>
      <c r="AH25">
        <v>681.68000000000006</v>
      </c>
      <c r="AI25">
        <v>79.860000000000014</v>
      </c>
      <c r="AJ25">
        <v>275.06</v>
      </c>
      <c r="AK25">
        <v>251.04</v>
      </c>
      <c r="AL25">
        <v>47.930000000000007</v>
      </c>
      <c r="AM25">
        <v>1681</v>
      </c>
      <c r="AN25">
        <v>91</v>
      </c>
      <c r="AO25">
        <v>64</v>
      </c>
      <c r="AP25">
        <v>410.20999999999992</v>
      </c>
      <c r="AQ25">
        <v>0.1</v>
      </c>
      <c r="AR25">
        <v>0.05</v>
      </c>
      <c r="AS25">
        <v>0.7</v>
      </c>
      <c r="AT25">
        <v>34.5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800</v>
      </c>
      <c r="BE25">
        <v>0</v>
      </c>
      <c r="BF25">
        <v>0</v>
      </c>
      <c r="BG25">
        <v>14885.35</v>
      </c>
    </row>
    <row r="26" spans="1:59" x14ac:dyDescent="0.25">
      <c r="A26" t="s">
        <v>115</v>
      </c>
      <c r="B26">
        <v>50</v>
      </c>
      <c r="C26">
        <v>22.21</v>
      </c>
      <c r="D26">
        <v>22.21</v>
      </c>
      <c r="E26">
        <v>0.44419999999999998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0.83025664115263398</v>
      </c>
      <c r="O26">
        <v>0</v>
      </c>
      <c r="P26">
        <v>46.8</v>
      </c>
      <c r="Q26">
        <v>0</v>
      </c>
      <c r="R26">
        <v>494.39</v>
      </c>
      <c r="S26">
        <v>541.19000000000005</v>
      </c>
      <c r="T26">
        <v>50</v>
      </c>
      <c r="U26">
        <v>0</v>
      </c>
      <c r="V26">
        <v>22.21</v>
      </c>
      <c r="W26">
        <v>0</v>
      </c>
      <c r="X26">
        <v>0</v>
      </c>
      <c r="Y26">
        <v>0</v>
      </c>
      <c r="Z26">
        <v>0</v>
      </c>
      <c r="AA26" s="2">
        <v>45663</v>
      </c>
      <c r="AB26" t="s">
        <v>1667</v>
      </c>
      <c r="AC26">
        <v>36</v>
      </c>
      <c r="AD26">
        <v>27.69</v>
      </c>
      <c r="AE26">
        <v>5.48</v>
      </c>
      <c r="AF26">
        <v>8</v>
      </c>
      <c r="AG26">
        <v>28</v>
      </c>
      <c r="AH26">
        <v>18.440000000000001</v>
      </c>
      <c r="AI26">
        <v>3.77</v>
      </c>
      <c r="AJ26">
        <v>7.31</v>
      </c>
      <c r="AK26">
        <v>3.46</v>
      </c>
      <c r="AL26">
        <v>1.3</v>
      </c>
      <c r="AM26">
        <v>32</v>
      </c>
      <c r="AN26">
        <v>0</v>
      </c>
      <c r="AO26">
        <v>0</v>
      </c>
      <c r="AP26">
        <v>22.21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0</v>
      </c>
      <c r="BG26">
        <v>494.39</v>
      </c>
    </row>
    <row r="27" spans="1:59" x14ac:dyDescent="0.25">
      <c r="A27" t="s">
        <v>115</v>
      </c>
      <c r="B27">
        <v>35.159999999999997</v>
      </c>
      <c r="C27">
        <v>35.160000000000004</v>
      </c>
      <c r="D27">
        <v>35.159999999999997</v>
      </c>
      <c r="E27">
        <v>1</v>
      </c>
      <c r="F27">
        <v>742.755</v>
      </c>
      <c r="G27">
        <v>228.53999999999996</v>
      </c>
      <c r="H27">
        <v>0</v>
      </c>
      <c r="I27">
        <v>0</v>
      </c>
      <c r="J27">
        <v>1</v>
      </c>
      <c r="K27">
        <v>0</v>
      </c>
      <c r="L27">
        <v>114.27</v>
      </c>
      <c r="M27">
        <v>0</v>
      </c>
      <c r="N27">
        <v>0.62855517633674596</v>
      </c>
      <c r="O27">
        <v>0</v>
      </c>
      <c r="P27">
        <v>20.5</v>
      </c>
      <c r="Q27">
        <v>0</v>
      </c>
      <c r="R27">
        <v>0</v>
      </c>
      <c r="S27">
        <v>1106.0650000000001</v>
      </c>
      <c r="T27">
        <v>35.159999999999997</v>
      </c>
      <c r="U27">
        <v>228.54</v>
      </c>
      <c r="V27">
        <v>35.159999999999997</v>
      </c>
      <c r="W27">
        <v>0</v>
      </c>
      <c r="X27">
        <v>0</v>
      </c>
      <c r="Y27">
        <v>114.27</v>
      </c>
      <c r="Z27">
        <v>0</v>
      </c>
      <c r="AA27" s="2">
        <v>45663</v>
      </c>
      <c r="AB27" t="s">
        <v>1812</v>
      </c>
      <c r="AC27">
        <v>54</v>
      </c>
      <c r="AD27">
        <v>35.380000000000003</v>
      </c>
      <c r="AE27">
        <v>0.22</v>
      </c>
      <c r="AF27">
        <v>5</v>
      </c>
      <c r="AG27">
        <v>49</v>
      </c>
      <c r="AH27">
        <v>22.1</v>
      </c>
      <c r="AI27">
        <v>13.06</v>
      </c>
      <c r="AJ27">
        <v>5.69</v>
      </c>
      <c r="AK27">
        <v>3.5</v>
      </c>
      <c r="AL27">
        <v>1.53</v>
      </c>
      <c r="AM27">
        <v>60</v>
      </c>
      <c r="AN27">
        <v>0</v>
      </c>
      <c r="AO27">
        <v>0</v>
      </c>
      <c r="AP27">
        <v>35.160000000000004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35</v>
      </c>
      <c r="BE27">
        <v>0</v>
      </c>
      <c r="BF27">
        <v>0</v>
      </c>
      <c r="BG27">
        <v>500.57</v>
      </c>
    </row>
    <row r="28" spans="1:59" x14ac:dyDescent="0.25">
      <c r="A28" t="s">
        <v>115</v>
      </c>
      <c r="B28">
        <v>50</v>
      </c>
      <c r="C28">
        <v>50.02</v>
      </c>
      <c r="D28">
        <v>50</v>
      </c>
      <c r="E28">
        <v>1</v>
      </c>
      <c r="F28">
        <v>1056.25</v>
      </c>
      <c r="G28">
        <v>325</v>
      </c>
      <c r="H28">
        <v>0</v>
      </c>
      <c r="I28">
        <v>0</v>
      </c>
      <c r="J28">
        <v>1</v>
      </c>
      <c r="K28">
        <v>0</v>
      </c>
      <c r="L28">
        <v>162.5</v>
      </c>
      <c r="M28">
        <v>0</v>
      </c>
      <c r="N28">
        <v>0.72890843662534999</v>
      </c>
      <c r="O28">
        <v>81.25</v>
      </c>
      <c r="P28">
        <v>43</v>
      </c>
      <c r="Q28">
        <v>0</v>
      </c>
      <c r="R28">
        <v>0</v>
      </c>
      <c r="S28">
        <v>1668</v>
      </c>
      <c r="T28">
        <v>50</v>
      </c>
      <c r="U28">
        <v>325</v>
      </c>
      <c r="V28">
        <v>50</v>
      </c>
      <c r="W28">
        <v>0</v>
      </c>
      <c r="X28">
        <v>0</v>
      </c>
      <c r="Y28">
        <v>162.5</v>
      </c>
      <c r="Z28">
        <v>0</v>
      </c>
      <c r="AA28" s="2">
        <v>45663</v>
      </c>
      <c r="AB28" t="s">
        <v>1750</v>
      </c>
      <c r="AC28">
        <v>72</v>
      </c>
      <c r="AD28">
        <v>50.02</v>
      </c>
      <c r="AE28">
        <v>0</v>
      </c>
      <c r="AF28">
        <v>17</v>
      </c>
      <c r="AG28">
        <v>55</v>
      </c>
      <c r="AH28">
        <v>36.46</v>
      </c>
      <c r="AI28">
        <v>13.56</v>
      </c>
      <c r="AJ28">
        <v>16.09</v>
      </c>
      <c r="AK28">
        <v>15</v>
      </c>
      <c r="AL28">
        <v>1.44</v>
      </c>
      <c r="AM28">
        <v>76</v>
      </c>
      <c r="AN28">
        <v>0</v>
      </c>
      <c r="AO28">
        <v>0</v>
      </c>
      <c r="AP28">
        <v>50.02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712.47</v>
      </c>
    </row>
    <row r="29" spans="1:59" x14ac:dyDescent="0.25">
      <c r="A29" t="s">
        <v>115</v>
      </c>
      <c r="B29">
        <v>547</v>
      </c>
      <c r="C29">
        <v>547.21</v>
      </c>
      <c r="D29">
        <v>547</v>
      </c>
      <c r="E29">
        <v>1</v>
      </c>
      <c r="F29">
        <v>11726.039000000001</v>
      </c>
      <c r="G29">
        <v>3608.0120000000002</v>
      </c>
      <c r="H29">
        <v>0</v>
      </c>
      <c r="I29">
        <v>0</v>
      </c>
      <c r="J29">
        <v>0.98653198653198604</v>
      </c>
      <c r="K29">
        <v>1.1092150170648501E-2</v>
      </c>
      <c r="L29">
        <v>1804.0060000000001</v>
      </c>
      <c r="M29">
        <v>0</v>
      </c>
      <c r="N29">
        <v>0.926847097092524</v>
      </c>
      <c r="O29">
        <v>902.00300000000004</v>
      </c>
      <c r="P29">
        <v>637.13</v>
      </c>
      <c r="Q29">
        <v>75.3</v>
      </c>
      <c r="R29">
        <v>0</v>
      </c>
      <c r="S29">
        <v>18752.490000000002</v>
      </c>
      <c r="T29">
        <v>540</v>
      </c>
      <c r="U29">
        <v>3608.0120000000002</v>
      </c>
      <c r="V29">
        <v>547</v>
      </c>
      <c r="W29">
        <v>0</v>
      </c>
      <c r="X29">
        <v>4</v>
      </c>
      <c r="Y29">
        <v>1804.0060000000001</v>
      </c>
      <c r="Z29">
        <v>7</v>
      </c>
      <c r="AA29" s="2">
        <v>45663</v>
      </c>
      <c r="AB29" t="s">
        <v>1600</v>
      </c>
      <c r="AC29">
        <v>1010</v>
      </c>
      <c r="AD29">
        <v>550.91999999999996</v>
      </c>
      <c r="AE29">
        <v>3.7099999999999991</v>
      </c>
      <c r="AF29">
        <v>251</v>
      </c>
      <c r="AG29">
        <v>759</v>
      </c>
      <c r="AH29">
        <v>507.18</v>
      </c>
      <c r="AI29">
        <v>40</v>
      </c>
      <c r="AJ29">
        <v>244.76</v>
      </c>
      <c r="AK29">
        <v>231.21</v>
      </c>
      <c r="AL29">
        <v>19.8</v>
      </c>
      <c r="AM29">
        <v>1172</v>
      </c>
      <c r="AN29">
        <v>12</v>
      </c>
      <c r="AO29">
        <v>13</v>
      </c>
      <c r="AP29">
        <v>511.12</v>
      </c>
      <c r="AQ29">
        <v>0.1</v>
      </c>
      <c r="AR29">
        <v>0.05</v>
      </c>
      <c r="AS29">
        <v>0.7</v>
      </c>
      <c r="AT29">
        <v>32.979999999999997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540</v>
      </c>
      <c r="BE29">
        <v>0</v>
      </c>
      <c r="BF29">
        <v>0</v>
      </c>
      <c r="BG29">
        <v>10799.99</v>
      </c>
    </row>
    <row r="30" spans="1:59" x14ac:dyDescent="0.25">
      <c r="A30" t="s">
        <v>115</v>
      </c>
      <c r="B30">
        <v>55</v>
      </c>
      <c r="C30">
        <v>52.970000000000006</v>
      </c>
      <c r="D30">
        <v>52.970000000000006</v>
      </c>
      <c r="E30">
        <v>1</v>
      </c>
      <c r="F30">
        <v>1118.9911999999999</v>
      </c>
      <c r="G30">
        <v>344.30500000000006</v>
      </c>
      <c r="H30">
        <v>0</v>
      </c>
      <c r="I30">
        <v>0</v>
      </c>
      <c r="J30">
        <v>0.931506849315068</v>
      </c>
      <c r="K30">
        <v>2.9411764705882401E-2</v>
      </c>
      <c r="L30">
        <v>0</v>
      </c>
      <c r="M30">
        <v>86.0762</v>
      </c>
      <c r="N30">
        <v>0.63620917500471996</v>
      </c>
      <c r="O30">
        <v>0</v>
      </c>
      <c r="P30">
        <v>78.23</v>
      </c>
      <c r="Q30">
        <v>0</v>
      </c>
      <c r="R30">
        <v>0</v>
      </c>
      <c r="S30">
        <v>1627.6024</v>
      </c>
      <c r="T30">
        <v>50</v>
      </c>
      <c r="U30">
        <v>344.30500000000001</v>
      </c>
      <c r="V30">
        <v>0</v>
      </c>
      <c r="W30">
        <v>52.970000000000006</v>
      </c>
      <c r="X30">
        <v>5</v>
      </c>
      <c r="Y30">
        <v>86.0762</v>
      </c>
      <c r="Z30">
        <v>5</v>
      </c>
      <c r="AA30" s="2">
        <v>45663</v>
      </c>
      <c r="AB30" t="s">
        <v>1742</v>
      </c>
      <c r="AC30">
        <v>67</v>
      </c>
      <c r="AD30">
        <v>53.02</v>
      </c>
      <c r="AE30">
        <v>0.05</v>
      </c>
      <c r="AF30">
        <v>13</v>
      </c>
      <c r="AG30">
        <v>54</v>
      </c>
      <c r="AH30">
        <v>33.700000000000003</v>
      </c>
      <c r="AI30">
        <v>19.27</v>
      </c>
      <c r="AJ30">
        <v>17.22</v>
      </c>
      <c r="AK30">
        <v>10</v>
      </c>
      <c r="AL30">
        <v>1.26</v>
      </c>
      <c r="AM30">
        <v>68</v>
      </c>
      <c r="AN30">
        <v>0</v>
      </c>
      <c r="AO30">
        <v>2</v>
      </c>
      <c r="AP30">
        <v>0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0</v>
      </c>
      <c r="BG30">
        <v>706.08</v>
      </c>
    </row>
    <row r="31" spans="1:59" x14ac:dyDescent="0.25">
      <c r="A31" t="s">
        <v>115</v>
      </c>
      <c r="B31">
        <v>55</v>
      </c>
      <c r="C31">
        <v>52.62</v>
      </c>
      <c r="D31">
        <v>52.62</v>
      </c>
      <c r="E31">
        <v>1</v>
      </c>
      <c r="F31">
        <v>1111.5975000000001</v>
      </c>
      <c r="G31">
        <v>342.03</v>
      </c>
      <c r="H31">
        <v>0</v>
      </c>
      <c r="I31">
        <v>0</v>
      </c>
      <c r="J31">
        <v>1</v>
      </c>
      <c r="K31">
        <v>3.3333333333333298E-2</v>
      </c>
      <c r="L31">
        <v>171.01499999999999</v>
      </c>
      <c r="M31">
        <v>0</v>
      </c>
      <c r="N31">
        <v>0.71702774610414299</v>
      </c>
      <c r="O31">
        <v>85.507499999999993</v>
      </c>
      <c r="P31">
        <v>64.47</v>
      </c>
      <c r="Q31">
        <v>0</v>
      </c>
      <c r="R31">
        <v>0</v>
      </c>
      <c r="S31">
        <v>1774.62</v>
      </c>
      <c r="T31">
        <v>50</v>
      </c>
      <c r="U31">
        <v>342.03</v>
      </c>
      <c r="V31">
        <v>52.62</v>
      </c>
      <c r="W31">
        <v>0</v>
      </c>
      <c r="X31">
        <v>0</v>
      </c>
      <c r="Y31">
        <v>171.01499999999999</v>
      </c>
      <c r="Z31">
        <v>5</v>
      </c>
      <c r="AA31" s="2">
        <v>45663</v>
      </c>
      <c r="AB31" t="s">
        <v>1751</v>
      </c>
      <c r="AC31">
        <v>62</v>
      </c>
      <c r="AD31">
        <v>52.62</v>
      </c>
      <c r="AE31">
        <v>0</v>
      </c>
      <c r="AF31">
        <v>15</v>
      </c>
      <c r="AG31">
        <v>47</v>
      </c>
      <c r="AH31">
        <v>37.729999999999997</v>
      </c>
      <c r="AI31">
        <v>14.89</v>
      </c>
      <c r="AJ31">
        <v>31.02</v>
      </c>
      <c r="AK31">
        <v>22.44</v>
      </c>
      <c r="AL31">
        <v>1.18</v>
      </c>
      <c r="AM31">
        <v>60</v>
      </c>
      <c r="AN31">
        <v>0</v>
      </c>
      <c r="AO31">
        <v>2</v>
      </c>
      <c r="AP31">
        <v>52.62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858.96</v>
      </c>
    </row>
    <row r="32" spans="1:59" x14ac:dyDescent="0.25">
      <c r="A32" t="s">
        <v>115</v>
      </c>
      <c r="B32">
        <v>570</v>
      </c>
      <c r="C32">
        <v>568.14</v>
      </c>
      <c r="D32">
        <v>568.14</v>
      </c>
      <c r="E32">
        <v>1</v>
      </c>
      <c r="F32">
        <v>12186.602999999999</v>
      </c>
      <c r="G32">
        <v>3749.7240000000002</v>
      </c>
      <c r="H32">
        <v>0</v>
      </c>
      <c r="I32">
        <v>0</v>
      </c>
      <c r="J32">
        <v>0.97733454215775195</v>
      </c>
      <c r="K32">
        <v>2.2263450834879399E-2</v>
      </c>
      <c r="L32">
        <v>1874.8620000000001</v>
      </c>
      <c r="M32">
        <v>0</v>
      </c>
      <c r="N32">
        <v>0.85272996092512399</v>
      </c>
      <c r="O32">
        <v>937.43100000000004</v>
      </c>
      <c r="P32">
        <v>599.45000000000005</v>
      </c>
      <c r="Q32">
        <v>68.23</v>
      </c>
      <c r="R32">
        <v>0</v>
      </c>
      <c r="S32">
        <v>19416.3</v>
      </c>
      <c r="T32">
        <v>540</v>
      </c>
      <c r="U32">
        <v>3749.7240000000002</v>
      </c>
      <c r="V32">
        <v>568.14</v>
      </c>
      <c r="W32">
        <v>0</v>
      </c>
      <c r="X32">
        <v>18</v>
      </c>
      <c r="Y32">
        <v>1874.8620000000001</v>
      </c>
      <c r="Z32">
        <v>30</v>
      </c>
      <c r="AA32" s="2">
        <v>45663</v>
      </c>
      <c r="AB32" t="s">
        <v>1601</v>
      </c>
      <c r="AC32">
        <v>924</v>
      </c>
      <c r="AD32">
        <v>584.08000000000004</v>
      </c>
      <c r="AE32">
        <v>15.94</v>
      </c>
      <c r="AF32">
        <v>207</v>
      </c>
      <c r="AG32">
        <v>717</v>
      </c>
      <c r="AH32">
        <v>484.47</v>
      </c>
      <c r="AI32">
        <v>83.69</v>
      </c>
      <c r="AJ32">
        <v>272.54999999999995</v>
      </c>
      <c r="AK32">
        <v>232.85000000000002</v>
      </c>
      <c r="AL32">
        <v>26.249999999999996</v>
      </c>
      <c r="AM32">
        <v>1078</v>
      </c>
      <c r="AN32">
        <v>7</v>
      </c>
      <c r="AO32">
        <v>24</v>
      </c>
      <c r="AP32">
        <v>321.30000000000007</v>
      </c>
      <c r="AQ32">
        <v>0.1</v>
      </c>
      <c r="AR32">
        <v>0.05</v>
      </c>
      <c r="AS32">
        <v>0.7</v>
      </c>
      <c r="AT32">
        <v>33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540</v>
      </c>
      <c r="BE32">
        <v>0</v>
      </c>
      <c r="BF32">
        <v>0</v>
      </c>
      <c r="BG32">
        <v>10146.25</v>
      </c>
    </row>
    <row r="33" spans="1:59" x14ac:dyDescent="0.25">
      <c r="A33" t="s">
        <v>115</v>
      </c>
      <c r="B33">
        <v>50</v>
      </c>
      <c r="C33">
        <v>26.04</v>
      </c>
      <c r="D33">
        <v>26.04</v>
      </c>
      <c r="E33">
        <v>0.52080000000000004</v>
      </c>
      <c r="F33">
        <v>0</v>
      </c>
      <c r="G33">
        <v>0</v>
      </c>
      <c r="H33">
        <v>0</v>
      </c>
      <c r="I33">
        <v>0</v>
      </c>
      <c r="J33">
        <v>0.89130434782608703</v>
      </c>
      <c r="K33">
        <v>4.8780487804878002E-2</v>
      </c>
      <c r="L33">
        <v>0</v>
      </c>
      <c r="M33">
        <v>0</v>
      </c>
      <c r="N33">
        <v>0.62519201228878596</v>
      </c>
      <c r="O33">
        <v>0</v>
      </c>
      <c r="P33">
        <v>30</v>
      </c>
      <c r="Q33">
        <v>1.51</v>
      </c>
      <c r="R33">
        <v>400.25</v>
      </c>
      <c r="S33">
        <v>431.76</v>
      </c>
      <c r="T33">
        <v>50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s="2">
        <v>45663</v>
      </c>
      <c r="AB33" t="s">
        <v>1746</v>
      </c>
      <c r="AC33">
        <v>35</v>
      </c>
      <c r="AD33">
        <v>26.04</v>
      </c>
      <c r="AE33">
        <v>0</v>
      </c>
      <c r="AF33">
        <v>1</v>
      </c>
      <c r="AG33">
        <v>34</v>
      </c>
      <c r="AH33">
        <v>16.28</v>
      </c>
      <c r="AI33">
        <v>9.75</v>
      </c>
      <c r="AJ33">
        <v>0.47</v>
      </c>
      <c r="AK33">
        <v>0.01</v>
      </c>
      <c r="AL33">
        <v>1.34</v>
      </c>
      <c r="AM33">
        <v>41</v>
      </c>
      <c r="AN33">
        <v>5</v>
      </c>
      <c r="AO33">
        <v>2</v>
      </c>
      <c r="AP33">
        <v>0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26.04</v>
      </c>
      <c r="BG33">
        <v>400.25</v>
      </c>
    </row>
    <row r="34" spans="1:59" x14ac:dyDescent="0.25">
      <c r="A34" t="s">
        <v>115</v>
      </c>
      <c r="B34">
        <v>161</v>
      </c>
      <c r="C34">
        <v>160.78</v>
      </c>
      <c r="D34">
        <v>160.78</v>
      </c>
      <c r="E34">
        <v>1</v>
      </c>
      <c r="F34">
        <v>3396.4775</v>
      </c>
      <c r="G34">
        <v>1045.07</v>
      </c>
      <c r="H34">
        <v>0</v>
      </c>
      <c r="I34">
        <v>0</v>
      </c>
      <c r="J34">
        <v>0.75184275184275196</v>
      </c>
      <c r="K34">
        <v>1.30718954248366E-2</v>
      </c>
      <c r="L34">
        <v>0</v>
      </c>
      <c r="M34">
        <v>0</v>
      </c>
      <c r="N34">
        <v>0.79220052245304096</v>
      </c>
      <c r="O34">
        <v>261.26749999999998</v>
      </c>
      <c r="P34">
        <v>151.1</v>
      </c>
      <c r="Q34">
        <v>2.88</v>
      </c>
      <c r="R34">
        <v>0</v>
      </c>
      <c r="S34">
        <v>4856.7950000000001</v>
      </c>
      <c r="T34">
        <v>150</v>
      </c>
      <c r="U34">
        <v>1045.07</v>
      </c>
      <c r="V34">
        <v>0</v>
      </c>
      <c r="W34">
        <v>0</v>
      </c>
      <c r="X34">
        <v>64</v>
      </c>
      <c r="Y34">
        <v>0</v>
      </c>
      <c r="Z34">
        <v>11</v>
      </c>
      <c r="AA34" s="2">
        <v>45663</v>
      </c>
      <c r="AB34" t="s">
        <v>1747</v>
      </c>
      <c r="AC34">
        <v>274</v>
      </c>
      <c r="AD34">
        <v>160.98999999999998</v>
      </c>
      <c r="AE34">
        <v>0.21</v>
      </c>
      <c r="AF34">
        <v>50</v>
      </c>
      <c r="AG34">
        <v>224</v>
      </c>
      <c r="AH34">
        <v>127.37</v>
      </c>
      <c r="AI34">
        <v>33.43</v>
      </c>
      <c r="AJ34">
        <v>57.84</v>
      </c>
      <c r="AK34">
        <v>50.72</v>
      </c>
      <c r="AL34">
        <v>7.870000000000001</v>
      </c>
      <c r="AM34">
        <v>306</v>
      </c>
      <c r="AN34">
        <v>37</v>
      </c>
      <c r="AO34">
        <v>4</v>
      </c>
      <c r="AP34">
        <v>100.00999999999999</v>
      </c>
      <c r="AQ34">
        <v>0.1</v>
      </c>
      <c r="AR34">
        <v>0.05</v>
      </c>
      <c r="AS34">
        <v>0.7</v>
      </c>
      <c r="AT34">
        <v>32.5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150</v>
      </c>
      <c r="BE34">
        <v>0</v>
      </c>
      <c r="BF34">
        <v>160.78</v>
      </c>
      <c r="BG34">
        <v>2481.5899999999997</v>
      </c>
    </row>
    <row r="35" spans="1:59" x14ac:dyDescent="0.25">
      <c r="A35" t="s">
        <v>115</v>
      </c>
      <c r="B35">
        <v>50</v>
      </c>
      <c r="C35">
        <v>49.309999999999995</v>
      </c>
      <c r="D35">
        <v>49.309999999999995</v>
      </c>
      <c r="E35">
        <v>0.98619999999999997</v>
      </c>
      <c r="F35">
        <v>1041.6738</v>
      </c>
      <c r="G35">
        <v>320.51499999999999</v>
      </c>
      <c r="H35">
        <v>0</v>
      </c>
      <c r="I35">
        <v>0</v>
      </c>
      <c r="J35">
        <v>0.93548387096774199</v>
      </c>
      <c r="K35">
        <v>1.72413793103448E-2</v>
      </c>
      <c r="L35">
        <v>0</v>
      </c>
      <c r="M35">
        <v>80.128799999999998</v>
      </c>
      <c r="N35">
        <v>0.53761914418982004</v>
      </c>
      <c r="O35">
        <v>0</v>
      </c>
      <c r="P35">
        <v>46</v>
      </c>
      <c r="Q35">
        <v>0</v>
      </c>
      <c r="R35">
        <v>0</v>
      </c>
      <c r="S35">
        <v>1488.3176000000001</v>
      </c>
      <c r="T35">
        <v>50</v>
      </c>
      <c r="U35">
        <v>320.51499999999999</v>
      </c>
      <c r="V35">
        <v>0</v>
      </c>
      <c r="W35">
        <v>49.309999999999995</v>
      </c>
      <c r="X35">
        <v>1</v>
      </c>
      <c r="Y35">
        <v>80.128799999999998</v>
      </c>
      <c r="Z35">
        <v>0</v>
      </c>
      <c r="AA35" s="2">
        <v>45663</v>
      </c>
      <c r="AB35" t="s">
        <v>1816</v>
      </c>
      <c r="AC35">
        <v>52</v>
      </c>
      <c r="AD35">
        <v>49.41</v>
      </c>
      <c r="AE35">
        <v>0.1</v>
      </c>
      <c r="AF35">
        <v>5</v>
      </c>
      <c r="AG35">
        <v>47</v>
      </c>
      <c r="AH35">
        <v>26.51</v>
      </c>
      <c r="AI35">
        <v>22.8</v>
      </c>
      <c r="AJ35">
        <v>7.52</v>
      </c>
      <c r="AK35">
        <v>6.86</v>
      </c>
      <c r="AL35">
        <v>1.05</v>
      </c>
      <c r="AM35">
        <v>58</v>
      </c>
      <c r="AN35">
        <v>3</v>
      </c>
      <c r="AO35">
        <v>1</v>
      </c>
      <c r="AP35">
        <v>0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527.72</v>
      </c>
    </row>
    <row r="36" spans="1:59" x14ac:dyDescent="0.25">
      <c r="A36" t="s">
        <v>115</v>
      </c>
      <c r="B36">
        <v>50</v>
      </c>
      <c r="C36">
        <v>50.07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0.98571428571428599</v>
      </c>
      <c r="K36">
        <v>5.7971014492753603E-2</v>
      </c>
      <c r="L36">
        <v>0</v>
      </c>
      <c r="M36">
        <v>0</v>
      </c>
      <c r="N36">
        <v>0.56221290193728801</v>
      </c>
      <c r="O36">
        <v>0</v>
      </c>
      <c r="P36">
        <v>68.5</v>
      </c>
      <c r="Q36">
        <v>0</v>
      </c>
      <c r="R36">
        <v>0</v>
      </c>
      <c r="S36">
        <v>1449.75</v>
      </c>
      <c r="T36">
        <v>50</v>
      </c>
      <c r="U36">
        <v>325</v>
      </c>
      <c r="V36">
        <v>0</v>
      </c>
      <c r="W36">
        <v>0</v>
      </c>
      <c r="X36">
        <v>1</v>
      </c>
      <c r="Y36">
        <v>0</v>
      </c>
      <c r="Z36">
        <v>0</v>
      </c>
      <c r="AA36" s="2">
        <v>45663</v>
      </c>
      <c r="AB36" t="s">
        <v>1699</v>
      </c>
      <c r="AC36">
        <v>60</v>
      </c>
      <c r="AD36">
        <v>50.18</v>
      </c>
      <c r="AE36">
        <v>0.11</v>
      </c>
      <c r="AF36">
        <v>11</v>
      </c>
      <c r="AG36">
        <v>49</v>
      </c>
      <c r="AH36">
        <v>28.15</v>
      </c>
      <c r="AI36">
        <v>21.92</v>
      </c>
      <c r="AJ36">
        <v>10.85</v>
      </c>
      <c r="AK36">
        <v>7.44</v>
      </c>
      <c r="AL36">
        <v>1.2</v>
      </c>
      <c r="AM36">
        <v>69</v>
      </c>
      <c r="AN36">
        <v>0</v>
      </c>
      <c r="AO36">
        <v>4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50</v>
      </c>
      <c r="BG36">
        <v>617.22</v>
      </c>
    </row>
    <row r="37" spans="1:59" x14ac:dyDescent="0.25">
      <c r="A37" t="s">
        <v>115</v>
      </c>
      <c r="B37">
        <v>50</v>
      </c>
      <c r="C37">
        <v>50.21</v>
      </c>
      <c r="D37">
        <v>50</v>
      </c>
      <c r="E37">
        <v>1</v>
      </c>
      <c r="F37">
        <v>1056.25</v>
      </c>
      <c r="G37">
        <v>325</v>
      </c>
      <c r="H37">
        <v>0</v>
      </c>
      <c r="I37">
        <v>0</v>
      </c>
      <c r="J37">
        <v>0.98360655737704905</v>
      </c>
      <c r="K37">
        <v>3.3333333333333298E-2</v>
      </c>
      <c r="L37">
        <v>162.5</v>
      </c>
      <c r="M37">
        <v>0</v>
      </c>
      <c r="N37">
        <v>0.68970324636526603</v>
      </c>
      <c r="O37">
        <v>0</v>
      </c>
      <c r="P37">
        <v>23.4</v>
      </c>
      <c r="Q37">
        <v>0</v>
      </c>
      <c r="R37">
        <v>0</v>
      </c>
      <c r="S37">
        <v>1567.15</v>
      </c>
      <c r="T37">
        <v>50</v>
      </c>
      <c r="U37">
        <v>325</v>
      </c>
      <c r="V37">
        <v>50</v>
      </c>
      <c r="W37">
        <v>0</v>
      </c>
      <c r="X37">
        <v>0</v>
      </c>
      <c r="Y37">
        <v>162.5</v>
      </c>
      <c r="Z37">
        <v>0</v>
      </c>
      <c r="AA37" s="2">
        <v>45663</v>
      </c>
      <c r="AB37" t="s">
        <v>1748</v>
      </c>
      <c r="AC37">
        <v>56</v>
      </c>
      <c r="AD37">
        <v>50.21</v>
      </c>
      <c r="AE37">
        <v>0</v>
      </c>
      <c r="AF37">
        <v>18</v>
      </c>
      <c r="AG37">
        <v>38</v>
      </c>
      <c r="AH37">
        <v>34.630000000000003</v>
      </c>
      <c r="AI37">
        <v>15.57</v>
      </c>
      <c r="AJ37">
        <v>20.57</v>
      </c>
      <c r="AK37">
        <v>19.489999999999998</v>
      </c>
      <c r="AL37">
        <v>1.1200000000000001</v>
      </c>
      <c r="AM37">
        <v>60</v>
      </c>
      <c r="AN37">
        <v>1</v>
      </c>
      <c r="AO37">
        <v>2</v>
      </c>
      <c r="AP37">
        <v>50.21</v>
      </c>
      <c r="AQ37">
        <v>0.1</v>
      </c>
      <c r="AR37">
        <v>0.05</v>
      </c>
      <c r="AS37">
        <v>0.7</v>
      </c>
      <c r="AT37">
        <v>32.5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50</v>
      </c>
      <c r="BE37">
        <v>0</v>
      </c>
      <c r="BF37">
        <v>0</v>
      </c>
      <c r="BG37">
        <v>633.08000000000004</v>
      </c>
    </row>
    <row r="38" spans="1:59" x14ac:dyDescent="0.25">
      <c r="A38" t="s">
        <v>115</v>
      </c>
      <c r="B38">
        <v>105</v>
      </c>
      <c r="C38">
        <v>102.25</v>
      </c>
      <c r="D38">
        <v>102.25</v>
      </c>
      <c r="E38">
        <v>1</v>
      </c>
      <c r="F38">
        <v>2160.0311999999999</v>
      </c>
      <c r="G38">
        <v>664.625</v>
      </c>
      <c r="H38">
        <v>0</v>
      </c>
      <c r="I38">
        <v>0</v>
      </c>
      <c r="J38">
        <v>0.99481865284974103</v>
      </c>
      <c r="K38">
        <v>3.125E-2</v>
      </c>
      <c r="L38">
        <v>332.3125</v>
      </c>
      <c r="M38">
        <v>0</v>
      </c>
      <c r="N38">
        <v>0.71657701711491395</v>
      </c>
      <c r="O38">
        <v>166.15620000000001</v>
      </c>
      <c r="P38">
        <v>128.63</v>
      </c>
      <c r="Q38">
        <v>0</v>
      </c>
      <c r="R38">
        <v>0</v>
      </c>
      <c r="S38">
        <v>3451.7550000000001</v>
      </c>
      <c r="T38">
        <v>100</v>
      </c>
      <c r="U38">
        <v>664.625</v>
      </c>
      <c r="V38">
        <v>102.25</v>
      </c>
      <c r="W38">
        <v>0</v>
      </c>
      <c r="X38">
        <v>0</v>
      </c>
      <c r="Y38">
        <v>332.3125</v>
      </c>
      <c r="Z38">
        <v>5</v>
      </c>
      <c r="AA38" s="2">
        <v>45663</v>
      </c>
      <c r="AB38" t="s">
        <v>1787</v>
      </c>
      <c r="AC38">
        <v>166</v>
      </c>
      <c r="AD38">
        <v>102.25</v>
      </c>
      <c r="AE38">
        <v>0</v>
      </c>
      <c r="AF38">
        <v>19</v>
      </c>
      <c r="AG38">
        <v>147</v>
      </c>
      <c r="AH38">
        <v>73.27000000000001</v>
      </c>
      <c r="AI38">
        <v>28.97</v>
      </c>
      <c r="AJ38">
        <v>30.22</v>
      </c>
      <c r="AK38">
        <v>21.97</v>
      </c>
      <c r="AL38">
        <v>3.25</v>
      </c>
      <c r="AM38">
        <v>192</v>
      </c>
      <c r="AN38">
        <v>1</v>
      </c>
      <c r="AO38">
        <v>6</v>
      </c>
      <c r="AP38">
        <v>50.49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100</v>
      </c>
      <c r="BE38">
        <v>0</v>
      </c>
      <c r="BF38">
        <v>0</v>
      </c>
      <c r="BG38">
        <v>1594.98</v>
      </c>
    </row>
    <row r="39" spans="1:59" x14ac:dyDescent="0.25">
      <c r="A39" t="s">
        <v>115</v>
      </c>
      <c r="B39">
        <v>52</v>
      </c>
      <c r="C39">
        <v>51.06</v>
      </c>
      <c r="D39">
        <v>51.06</v>
      </c>
      <c r="E39">
        <v>1</v>
      </c>
      <c r="F39">
        <v>1078.6424999999999</v>
      </c>
      <c r="G39">
        <v>331.89</v>
      </c>
      <c r="H39">
        <v>0</v>
      </c>
      <c r="I39">
        <v>0</v>
      </c>
      <c r="J39">
        <v>1</v>
      </c>
      <c r="K39">
        <v>0</v>
      </c>
      <c r="L39">
        <v>165.94499999999999</v>
      </c>
      <c r="M39">
        <v>0</v>
      </c>
      <c r="N39">
        <v>0.68488053270661997</v>
      </c>
      <c r="O39">
        <v>0</v>
      </c>
      <c r="P39">
        <v>42</v>
      </c>
      <c r="Q39">
        <v>0</v>
      </c>
      <c r="R39">
        <v>0</v>
      </c>
      <c r="S39">
        <v>1618.4775</v>
      </c>
      <c r="T39">
        <v>50</v>
      </c>
      <c r="U39">
        <v>331.89</v>
      </c>
      <c r="V39">
        <v>51.06</v>
      </c>
      <c r="W39">
        <v>0</v>
      </c>
      <c r="X39">
        <v>0</v>
      </c>
      <c r="Y39">
        <v>165.94499999999999</v>
      </c>
      <c r="Z39">
        <v>2</v>
      </c>
      <c r="AA39" s="2">
        <v>45663</v>
      </c>
      <c r="AB39" t="s">
        <v>1788</v>
      </c>
      <c r="AC39">
        <v>66</v>
      </c>
      <c r="AD39">
        <v>51.07</v>
      </c>
      <c r="AE39">
        <v>0.01</v>
      </c>
      <c r="AF39">
        <v>9</v>
      </c>
      <c r="AG39">
        <v>57</v>
      </c>
      <c r="AH39">
        <v>34.97</v>
      </c>
      <c r="AI39">
        <v>16.09</v>
      </c>
      <c r="AJ39">
        <v>19.920000000000002</v>
      </c>
      <c r="AK39">
        <v>14.96</v>
      </c>
      <c r="AL39">
        <v>1.29</v>
      </c>
      <c r="AM39">
        <v>82</v>
      </c>
      <c r="AN39">
        <v>0</v>
      </c>
      <c r="AO39">
        <v>0</v>
      </c>
      <c r="AP39">
        <v>51.06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0</v>
      </c>
      <c r="BG39">
        <v>695.25</v>
      </c>
    </row>
    <row r="40" spans="1:59" x14ac:dyDescent="0.25">
      <c r="A40" t="s">
        <v>115</v>
      </c>
      <c r="B40">
        <v>43</v>
      </c>
      <c r="C40">
        <v>42.28</v>
      </c>
      <c r="D40">
        <v>42.28</v>
      </c>
      <c r="E40">
        <v>0.98325581395348804</v>
      </c>
      <c r="F40">
        <v>893.16499999999996</v>
      </c>
      <c r="G40">
        <v>274.82</v>
      </c>
      <c r="H40">
        <v>0</v>
      </c>
      <c r="I40">
        <v>0</v>
      </c>
      <c r="J40">
        <v>1</v>
      </c>
      <c r="K40">
        <v>0.05</v>
      </c>
      <c r="L40">
        <v>0</v>
      </c>
      <c r="M40">
        <v>68.704999999999998</v>
      </c>
      <c r="N40">
        <v>0.78192999053926204</v>
      </c>
      <c r="O40">
        <v>68.704999999999998</v>
      </c>
      <c r="P40">
        <v>67.25</v>
      </c>
      <c r="Q40">
        <v>9.02</v>
      </c>
      <c r="R40">
        <v>0</v>
      </c>
      <c r="S40">
        <v>1381.665</v>
      </c>
      <c r="T40">
        <v>43</v>
      </c>
      <c r="U40">
        <v>274.82</v>
      </c>
      <c r="V40">
        <v>0</v>
      </c>
      <c r="W40">
        <v>42.28</v>
      </c>
      <c r="X40">
        <v>0</v>
      </c>
      <c r="Y40">
        <v>68.704999999999998</v>
      </c>
      <c r="Z40">
        <v>0</v>
      </c>
      <c r="AA40" s="2">
        <v>45663</v>
      </c>
      <c r="AB40" t="s">
        <v>1716</v>
      </c>
      <c r="AC40">
        <v>71</v>
      </c>
      <c r="AD40">
        <v>42.58</v>
      </c>
      <c r="AE40">
        <v>0.3</v>
      </c>
      <c r="AF40">
        <v>11</v>
      </c>
      <c r="AG40">
        <v>60</v>
      </c>
      <c r="AH40">
        <v>33.06</v>
      </c>
      <c r="AI40">
        <v>9.2200000000000006</v>
      </c>
      <c r="AJ40">
        <v>12.76</v>
      </c>
      <c r="AK40">
        <v>10.31</v>
      </c>
      <c r="AL40">
        <v>1.67</v>
      </c>
      <c r="AM40">
        <v>80</v>
      </c>
      <c r="AN40">
        <v>0</v>
      </c>
      <c r="AO40">
        <v>4</v>
      </c>
      <c r="AP40">
        <v>0</v>
      </c>
      <c r="AQ40">
        <v>0.1</v>
      </c>
      <c r="AR40">
        <v>0.05</v>
      </c>
      <c r="AS40">
        <v>0.7</v>
      </c>
      <c r="AT40">
        <v>32.5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43</v>
      </c>
      <c r="BE40">
        <v>0</v>
      </c>
      <c r="BF40">
        <v>0</v>
      </c>
      <c r="BG40">
        <v>769.33</v>
      </c>
    </row>
    <row r="41" spans="1:59" x14ac:dyDescent="0.25">
      <c r="A41" t="s">
        <v>115</v>
      </c>
      <c r="B41">
        <v>50</v>
      </c>
      <c r="C41">
        <v>16.11</v>
      </c>
      <c r="D41">
        <v>16.11</v>
      </c>
      <c r="E41">
        <v>0.32219999999999999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0.59528243327125996</v>
      </c>
      <c r="O41">
        <v>0</v>
      </c>
      <c r="P41">
        <v>20</v>
      </c>
      <c r="Q41">
        <v>6</v>
      </c>
      <c r="R41">
        <v>193.96</v>
      </c>
      <c r="S41">
        <v>219.96</v>
      </c>
      <c r="T41">
        <v>50</v>
      </c>
      <c r="U41">
        <v>0</v>
      </c>
      <c r="V41">
        <v>16.11</v>
      </c>
      <c r="W41">
        <v>0</v>
      </c>
      <c r="X41">
        <v>0</v>
      </c>
      <c r="Y41">
        <v>0</v>
      </c>
      <c r="Z41">
        <v>0</v>
      </c>
      <c r="AA41" s="2">
        <v>45663</v>
      </c>
      <c r="AB41" t="s">
        <v>1745</v>
      </c>
      <c r="AC41">
        <v>25</v>
      </c>
      <c r="AD41">
        <v>16.3</v>
      </c>
      <c r="AE41">
        <v>0.19</v>
      </c>
      <c r="AF41">
        <v>4</v>
      </c>
      <c r="AG41">
        <v>21</v>
      </c>
      <c r="AH41">
        <v>9.59</v>
      </c>
      <c r="AI41">
        <v>6.52</v>
      </c>
      <c r="AJ41">
        <v>4.99</v>
      </c>
      <c r="AK41">
        <v>3.69</v>
      </c>
      <c r="AL41">
        <v>1.53</v>
      </c>
      <c r="AM41">
        <v>28</v>
      </c>
      <c r="AN41">
        <v>0</v>
      </c>
      <c r="AO41">
        <v>0</v>
      </c>
      <c r="AP41">
        <v>16.11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0</v>
      </c>
      <c r="BG41">
        <v>193.96</v>
      </c>
    </row>
    <row r="42" spans="1:59" x14ac:dyDescent="0.25">
      <c r="A42" t="s">
        <v>115</v>
      </c>
      <c r="B42">
        <v>425</v>
      </c>
      <c r="C42">
        <v>392.81999999999994</v>
      </c>
      <c r="D42">
        <v>392.81999999999994</v>
      </c>
      <c r="E42">
        <v>0.924282352941176</v>
      </c>
      <c r="F42">
        <v>0</v>
      </c>
      <c r="G42">
        <v>0</v>
      </c>
      <c r="H42">
        <v>0</v>
      </c>
      <c r="I42">
        <v>0</v>
      </c>
      <c r="J42">
        <v>0.89569752281616699</v>
      </c>
      <c r="K42">
        <v>3.2023289665211098E-2</v>
      </c>
      <c r="L42">
        <v>0</v>
      </c>
      <c r="M42">
        <v>0</v>
      </c>
      <c r="N42">
        <v>0.786416170256097</v>
      </c>
      <c r="O42">
        <v>0</v>
      </c>
      <c r="P42">
        <v>454.63</v>
      </c>
      <c r="Q42">
        <v>37.35</v>
      </c>
      <c r="R42">
        <v>5998.76</v>
      </c>
      <c r="S42">
        <v>6490.74</v>
      </c>
      <c r="T42">
        <v>425</v>
      </c>
      <c r="U42">
        <v>0</v>
      </c>
      <c r="V42">
        <v>0</v>
      </c>
      <c r="W42">
        <v>0</v>
      </c>
      <c r="X42">
        <v>70</v>
      </c>
      <c r="Y42">
        <v>0</v>
      </c>
      <c r="Z42">
        <v>0</v>
      </c>
      <c r="AA42" s="2">
        <v>45663</v>
      </c>
      <c r="AB42" t="s">
        <v>1670</v>
      </c>
      <c r="AC42">
        <v>537</v>
      </c>
      <c r="AD42">
        <v>401.55</v>
      </c>
      <c r="AE42">
        <v>8.73</v>
      </c>
      <c r="AF42">
        <v>133</v>
      </c>
      <c r="AG42">
        <v>404</v>
      </c>
      <c r="AH42">
        <v>308.92</v>
      </c>
      <c r="AI42">
        <v>83.890000000000015</v>
      </c>
      <c r="AJ42">
        <v>161.37</v>
      </c>
      <c r="AK42">
        <v>139.38999999999999</v>
      </c>
      <c r="AL42">
        <v>12.26</v>
      </c>
      <c r="AM42">
        <v>687</v>
      </c>
      <c r="AN42">
        <v>10</v>
      </c>
      <c r="AO42">
        <v>22</v>
      </c>
      <c r="AP42">
        <v>198.26999999999998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425</v>
      </c>
      <c r="BE42">
        <v>0</v>
      </c>
      <c r="BF42">
        <v>392.81999999999994</v>
      </c>
      <c r="BG42">
        <v>5998.76</v>
      </c>
    </row>
    <row r="43" spans="1:59" x14ac:dyDescent="0.25">
      <c r="J43">
        <f>AVERAGE(J2:J21)</f>
        <v>0.97462273602483407</v>
      </c>
      <c r="AA43" s="116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" sqref="C2:C6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24" t="s">
        <v>1667</v>
      </c>
      <c r="C2" s="124"/>
      <c r="D2" s="124"/>
      <c r="E2" s="124"/>
      <c r="F2" s="124"/>
      <c r="H2" s="23" t="s">
        <v>67</v>
      </c>
      <c r="I2" s="24">
        <v>1386.52</v>
      </c>
      <c r="M2" s="8"/>
      <c r="V2" s="63" t="s">
        <v>51</v>
      </c>
      <c r="W2" s="63"/>
      <c r="Y2" s="121" t="s">
        <v>47</v>
      </c>
      <c r="Z2" s="121"/>
      <c r="AB2" s="121" t="s">
        <v>127</v>
      </c>
      <c r="AC2" s="121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125" t="s">
        <v>219</v>
      </c>
      <c r="I4" s="126"/>
      <c r="J4" s="127"/>
      <c r="K4" s="128" t="s">
        <v>220</v>
      </c>
      <c r="L4" s="129"/>
      <c r="M4" s="129"/>
      <c r="N4" s="130"/>
      <c r="V4" s="14" t="s">
        <v>53</v>
      </c>
      <c r="W4" s="17">
        <v>0</v>
      </c>
      <c r="Y4" s="9" t="s">
        <v>49</v>
      </c>
      <c r="Z4" s="10">
        <v>334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250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42.01</v>
      </c>
      <c r="D6" s="4">
        <v>42.01</v>
      </c>
      <c r="E6" s="4">
        <v>42.01</v>
      </c>
      <c r="F6" s="58">
        <v>1</v>
      </c>
      <c r="G6" s="66">
        <v>887.46</v>
      </c>
      <c r="H6" s="8">
        <v>273.07</v>
      </c>
      <c r="I6" s="8">
        <v>0</v>
      </c>
      <c r="J6" s="66">
        <v>0</v>
      </c>
      <c r="K6" s="58">
        <v>1</v>
      </c>
      <c r="L6" s="77">
        <v>0</v>
      </c>
      <c r="M6" s="8">
        <v>136.53</v>
      </c>
      <c r="N6" s="66">
        <v>0</v>
      </c>
      <c r="O6" s="77">
        <v>0.78362294691740098</v>
      </c>
      <c r="P6" s="8">
        <v>68.27</v>
      </c>
      <c r="Q6" s="8">
        <v>64</v>
      </c>
      <c r="R6" s="8">
        <v>0</v>
      </c>
      <c r="S6" s="8">
        <v>0</v>
      </c>
      <c r="T6" s="8">
        <v>1429.33</v>
      </c>
      <c r="U6" s="6"/>
      <c r="V6" s="46" t="s">
        <v>55</v>
      </c>
      <c r="W6" s="47">
        <v>0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v>584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92.009999999999991</v>
      </c>
      <c r="D8" s="21">
        <v>64.22</v>
      </c>
      <c r="E8" s="21">
        <v>64.22</v>
      </c>
      <c r="F8" s="67"/>
      <c r="G8" s="76">
        <v>887.46</v>
      </c>
      <c r="H8" s="22">
        <v>273.07</v>
      </c>
      <c r="I8" s="22">
        <v>0</v>
      </c>
      <c r="J8" s="22">
        <v>0</v>
      </c>
      <c r="K8" s="21"/>
      <c r="L8" s="78"/>
      <c r="M8" s="22">
        <v>136.53</v>
      </c>
      <c r="N8" s="22">
        <v>0</v>
      </c>
      <c r="O8" s="78"/>
      <c r="P8" s="22">
        <v>68.27</v>
      </c>
      <c r="Q8" s="22">
        <v>110.8</v>
      </c>
      <c r="R8" s="22">
        <v>0</v>
      </c>
      <c r="S8" s="22">
        <v>494.39</v>
      </c>
      <c r="T8" s="22">
        <v>1970.52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31" t="s">
        <v>56</v>
      </c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3"/>
      <c r="N10" s="6"/>
      <c r="O10" s="6"/>
      <c r="P10" s="6"/>
      <c r="Q10" s="6"/>
      <c r="R10" s="6"/>
      <c r="S10" s="6"/>
      <c r="T10" s="6"/>
      <c r="U10" s="6"/>
      <c r="V10" s="122" t="s">
        <v>119</v>
      </c>
      <c r="W10" s="123"/>
      <c r="X10" s="123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45663</v>
      </c>
      <c r="C12" s="6" t="s">
        <v>1866</v>
      </c>
      <c r="D12" s="6" t="s">
        <v>1867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45656</v>
      </c>
      <c r="C13" s="6" t="s">
        <v>1866</v>
      </c>
      <c r="D13" s="6" t="s">
        <v>1867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8:34" x14ac:dyDescent="0.25">
      <c r="I17" s="4"/>
      <c r="V17" s="8"/>
      <c r="W17" s="3"/>
      <c r="X17" s="8"/>
      <c r="AA17" s="6"/>
      <c r="AC17" s="6"/>
      <c r="AH17" s="6"/>
    </row>
    <row r="18" spans="8:34" x14ac:dyDescent="0.25">
      <c r="I18" s="4"/>
      <c r="V18" s="8"/>
      <c r="W18" s="3"/>
      <c r="X18" s="8"/>
      <c r="AA18" s="6"/>
      <c r="AC18" s="6"/>
      <c r="AH18" s="6"/>
    </row>
    <row r="19" spans="8:34" x14ac:dyDescent="0.25">
      <c r="I19" s="4"/>
      <c r="V19" s="8"/>
      <c r="W19" s="3"/>
      <c r="X19" s="8"/>
      <c r="AA19" s="6"/>
      <c r="AC19" s="6"/>
      <c r="AH19" s="6"/>
    </row>
    <row r="20" spans="8:34" x14ac:dyDescent="0.25">
      <c r="H20" s="80"/>
      <c r="I20" s="4"/>
      <c r="V20" s="8"/>
      <c r="W20" s="3"/>
      <c r="X20" s="8"/>
      <c r="AA20" s="6"/>
      <c r="AC20" s="6"/>
      <c r="AH20" s="6"/>
    </row>
    <row r="21" spans="8:34" x14ac:dyDescent="0.25">
      <c r="I21" s="4"/>
      <c r="V21" s="8"/>
      <c r="W21" s="3"/>
      <c r="X21" s="8"/>
      <c r="AA21" s="6"/>
      <c r="AC21" s="6"/>
      <c r="AH21" s="6"/>
    </row>
    <row r="22" spans="8:34" x14ac:dyDescent="0.25">
      <c r="I22" s="4"/>
      <c r="V22" s="8"/>
      <c r="W22" s="3"/>
      <c r="X22" s="8"/>
      <c r="AA22" s="6"/>
      <c r="AC22" s="6"/>
      <c r="AH22" s="6"/>
    </row>
    <row r="23" spans="8:34" x14ac:dyDescent="0.25">
      <c r="I23" s="4"/>
      <c r="V23" s="8"/>
      <c r="W23" s="3"/>
      <c r="X23" s="8"/>
      <c r="AA23" s="6"/>
      <c r="AC23" s="6"/>
      <c r="AH23" s="6"/>
    </row>
    <row r="24" spans="8:34" x14ac:dyDescent="0.25">
      <c r="I24" s="4"/>
      <c r="V24" s="8"/>
      <c r="W24" s="3"/>
      <c r="X24" s="8"/>
      <c r="AA24" s="6"/>
      <c r="AC24" s="6"/>
      <c r="AH24" s="6"/>
    </row>
    <row r="25" spans="8:34" x14ac:dyDescent="0.25">
      <c r="I25" s="4"/>
      <c r="V25" s="8"/>
      <c r="W25" s="3"/>
      <c r="X25" s="8"/>
      <c r="AA25" s="6"/>
      <c r="AC25" s="6"/>
      <c r="AH25" s="6"/>
    </row>
    <row r="26" spans="8:34" x14ac:dyDescent="0.25">
      <c r="I26" s="4"/>
      <c r="V26" s="8"/>
      <c r="W26" s="3"/>
      <c r="X26" s="8"/>
      <c r="AA26" s="6"/>
      <c r="AC26" s="6"/>
      <c r="AH26" s="6"/>
    </row>
    <row r="27" spans="8:34" x14ac:dyDescent="0.25">
      <c r="I27" s="4"/>
      <c r="V27" s="8"/>
      <c r="W27" s="3"/>
      <c r="X27" s="8"/>
      <c r="AA27" s="6"/>
      <c r="AC27" s="6"/>
      <c r="AH27" s="6"/>
    </row>
    <row r="28" spans="8:34" x14ac:dyDescent="0.25">
      <c r="I28" s="4"/>
      <c r="V28" s="8"/>
      <c r="W28" s="3"/>
      <c r="X28" s="8"/>
      <c r="AA28" s="6"/>
      <c r="AC28" s="6"/>
      <c r="AH28" s="6"/>
    </row>
    <row r="29" spans="8:34" x14ac:dyDescent="0.25">
      <c r="I29" s="4"/>
      <c r="V29" s="8"/>
      <c r="W29" s="3"/>
      <c r="X29" s="8"/>
      <c r="AA29" s="6"/>
      <c r="AC29" s="6"/>
      <c r="AH29" s="6"/>
    </row>
    <row r="30" spans="8:34" x14ac:dyDescent="0.25">
      <c r="I30" s="4"/>
      <c r="V30" s="8"/>
      <c r="W30" s="3"/>
      <c r="X30" s="8"/>
      <c r="AA30" s="6"/>
      <c r="AC30" s="6"/>
      <c r="AH30" s="6"/>
    </row>
    <row r="31" spans="8:34" x14ac:dyDescent="0.25">
      <c r="I31" s="4"/>
      <c r="V31" s="8"/>
      <c r="W31" s="3"/>
      <c r="X31" s="8"/>
      <c r="AA31" s="6"/>
      <c r="AC31" s="6"/>
      <c r="AH31" s="6"/>
    </row>
    <row r="32" spans="8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2100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2061</v>
      </c>
      <c r="B24">
        <v>12200</v>
      </c>
      <c r="C24" t="s">
        <v>2101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6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2102</v>
      </c>
      <c r="C95" t="s">
        <v>21</v>
      </c>
      <c r="D95" t="s">
        <v>22</v>
      </c>
      <c r="E95" t="s">
        <v>2100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2103</v>
      </c>
      <c r="C127" t="s">
        <v>21</v>
      </c>
      <c r="D127" t="s">
        <v>22</v>
      </c>
      <c r="E127" t="s">
        <v>2100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2016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1960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1961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1962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1963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1959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1964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1965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1966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1967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1968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1969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1970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1971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1972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1997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1998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2017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2018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2019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2022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2023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2024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2025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2026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2027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2028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2029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2052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2053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2054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2055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2056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2057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2058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2059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2060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2061</v>
      </c>
      <c r="B186" t="s">
        <v>2061</v>
      </c>
      <c r="C186" t="s">
        <v>21</v>
      </c>
      <c r="D186" t="s">
        <v>22</v>
      </c>
      <c r="E186" t="s">
        <v>2101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2062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2063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2064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2065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2066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2067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2068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2104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2105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2106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2107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2108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2109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2130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2131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  <row r="202" spans="1:20" x14ac:dyDescent="0.25">
      <c r="A202" t="s">
        <v>1749</v>
      </c>
      <c r="B202" t="s">
        <v>2141</v>
      </c>
      <c r="C202" t="s">
        <v>21</v>
      </c>
      <c r="D202" t="s">
        <v>22</v>
      </c>
      <c r="E202" t="s">
        <v>1647</v>
      </c>
      <c r="F202">
        <v>12088</v>
      </c>
      <c r="T202" t="s">
        <v>21</v>
      </c>
    </row>
    <row r="203" spans="1:20" x14ac:dyDescent="0.25">
      <c r="A203" t="s">
        <v>1601</v>
      </c>
      <c r="B203" t="s">
        <v>2142</v>
      </c>
      <c r="C203" t="s">
        <v>21</v>
      </c>
      <c r="D203" t="s">
        <v>22</v>
      </c>
      <c r="E203" t="s">
        <v>1644</v>
      </c>
      <c r="F203">
        <v>9066</v>
      </c>
      <c r="T203" t="s">
        <v>21</v>
      </c>
    </row>
    <row r="204" spans="1:20" x14ac:dyDescent="0.25">
      <c r="A204" t="s">
        <v>1747</v>
      </c>
      <c r="B204" t="s">
        <v>2143</v>
      </c>
      <c r="C204" t="s">
        <v>21</v>
      </c>
      <c r="D204" t="s">
        <v>22</v>
      </c>
      <c r="E204" t="s">
        <v>1698</v>
      </c>
      <c r="F204">
        <v>12141</v>
      </c>
      <c r="T204" t="s">
        <v>21</v>
      </c>
    </row>
    <row r="205" spans="1:20" x14ac:dyDescent="0.25">
      <c r="A205" t="s">
        <v>1599</v>
      </c>
      <c r="B205" t="s">
        <v>2144</v>
      </c>
      <c r="C205" t="s">
        <v>21</v>
      </c>
      <c r="D205" t="s">
        <v>22</v>
      </c>
      <c r="E205" t="s">
        <v>1645</v>
      </c>
      <c r="F205">
        <v>1202</v>
      </c>
      <c r="T205" t="s">
        <v>21</v>
      </c>
    </row>
    <row r="206" spans="1:20" x14ac:dyDescent="0.25">
      <c r="A206" t="s">
        <v>1599</v>
      </c>
      <c r="B206" t="s">
        <v>2145</v>
      </c>
      <c r="C206" t="s">
        <v>21</v>
      </c>
      <c r="D206" t="s">
        <v>22</v>
      </c>
      <c r="E206" t="s">
        <v>1645</v>
      </c>
      <c r="F206">
        <v>1202</v>
      </c>
      <c r="T206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C:\Users\USER\Desktop\DIV12\RAW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FE9ADED-26C8-4D41-B793-4767AF5FC55A}">
  <ds:schemaRefs>
    <ds:schemaRef ds:uri="http://purl.org/dc/dcmitype/"/>
    <ds:schemaRef ds:uri="http://schemas.microsoft.com/office/infopath/2007/PartnerControls"/>
    <ds:schemaRef ds:uri="7f2e4ee4-515b-4d13-9a18-91f5c892a786"/>
    <ds:schemaRef ds:uri="7da8d662-c373-4bdc-9a9f-4efd5212cc08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AFAC79-1606-4FD1-ABB9-F9411692BDF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997F1FE-2BFF-4571-8FA4-FD289BC917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2025-02-28T02:56:57Z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